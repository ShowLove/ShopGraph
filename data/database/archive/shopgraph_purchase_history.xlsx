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0" yWindow="760" windowWidth="33620" windowHeight="21580" tabRatio="600" firstSheet="0" activeTab="7" autoFilterDateGrouping="1"/>
  </bookViews>
  <sheets>
    <sheet xmlns:r="http://schemas.openxmlformats.org/officeDocument/2006/relationships" name="Purchase History" sheetId="1" state="visible" r:id="rId1"/>
    <sheet xmlns:r="http://schemas.openxmlformats.org/officeDocument/2006/relationships" name="Category Manager" sheetId="2" state="visible" r:id="rId2"/>
    <sheet xmlns:r="http://schemas.openxmlformats.org/officeDocument/2006/relationships" name="Sub Analytics" sheetId="3" state="visible" r:id="rId3"/>
    <sheet xmlns:r="http://schemas.openxmlformats.org/officeDocument/2006/relationships" name="_SubAnalyticsData" sheetId="4" state="hidden" r:id="rId4"/>
    <sheet xmlns:r="http://schemas.openxmlformats.org/officeDocument/2006/relationships" name="Analytics" sheetId="5" state="visible" r:id="rId5"/>
    <sheet xmlns:r="http://schemas.openxmlformats.org/officeDocument/2006/relationships" name="_AnalyticsData" sheetId="6" state="hidden" r:id="rId6"/>
    <sheet xmlns:r="http://schemas.openxmlformats.org/officeDocument/2006/relationships" name="Imported Receipts" sheetId="7" state="hidden" r:id="rId7"/>
    <sheet xmlns:r="http://schemas.openxmlformats.org/officeDocument/2006/relationships" name="Sheet1" sheetId="8" state="visible" r:id="rId8"/>
    <sheet xmlns:r="http://schemas.openxmlformats.org/officeDocument/2006/relationships" name="BP w1_Aug 26" sheetId="9" state="visible" r:id="rId9"/>
    <sheet xmlns:r="http://schemas.openxmlformats.org/officeDocument/2006/relationships" name="BP w1_sep 26" sheetId="10" state="visible" r:id="rId10"/>
  </sheets>
  <definedNames>
    <definedName name="_xlnm._FilterDatabase" localSheetId="0" hidden="1">'Purchase History'!$A$1:$S$151</definedName>
    <definedName name="_xlnm._FilterDatabase" localSheetId="1" hidden="1">'Category Manager'!$A$1:$T$66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mm/dd/yyyy"/>
    <numFmt numFmtId="165" formatCode="mm/dd/yyyy\ hh:mm"/>
    <numFmt numFmtId="166" formatCode="mmm\ yyyy"/>
    <numFmt numFmtId="167" formatCode="\$#,##0.00"/>
    <numFmt numFmtId="168" formatCode="$#,##0.00"/>
    <numFmt numFmtId="169" formatCode="yyyy-mm-dd"/>
  </numFmts>
  <fonts count="20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FFFF"/>
      <sz val="22"/>
    </font>
    <font>
      <name val="Calibri"/>
      <family val="2"/>
      <b val="1"/>
      <color rgb="FF404040"/>
      <sz val="11"/>
    </font>
    <font>
      <name val="Calibri"/>
      <family val="2"/>
      <b val="1"/>
      <sz val="12"/>
    </font>
    <font>
      <name val="Calibri"/>
      <family val="2"/>
      <b val="1"/>
      <color rgb="FFFFFFFF"/>
      <sz val="12"/>
    </font>
    <font>
      <name val="Calibri"/>
      <family val="2"/>
      <b val="1"/>
      <color rgb="FF1F4E78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22"/>
    </font>
    <font>
      <name val="Calibri"/>
      <family val="2"/>
      <b val="1"/>
      <color rgb="FF404040"/>
      <sz val="11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1F4E78"/>
      <sz val="11"/>
    </font>
    <font>
      <name val="Calibri"/>
      <family val="2"/>
      <b val="1"/>
      <color rgb="FFFFFFFF"/>
      <sz val="11"/>
    </font>
    <font>
      <b val="1"/>
      <sz val="18"/>
    </font>
    <font>
      <b val="1"/>
    </font>
    <font>
      <b val="1"/>
      <sz val="14"/>
    </font>
    <font>
      <b val="1"/>
      <sz val="12"/>
    </font>
    <font>
      <b val="1"/>
      <color rgb="00FFFFFF"/>
    </font>
  </fonts>
  <fills count="5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8064A2"/>
      </patternFill>
    </fill>
    <fill>
      <patternFill patternType="solid">
        <fgColor rgb="FF264478"/>
      </patternFill>
    </fill>
    <fill>
      <patternFill patternType="solid">
        <fgColor rgb="FF9E480E"/>
      </patternFill>
    </fill>
    <fill>
      <patternFill patternType="solid">
        <fgColor rgb="FF636363"/>
      </patternFill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A5A5A5"/>
      </patternFill>
    </fill>
    <fill>
      <patternFill patternType="solid">
        <fgColor rgb="FFFFC000"/>
      </patternFill>
    </fill>
    <fill>
      <patternFill patternType="solid">
        <fgColor rgb="FF5B9BD5"/>
      </patternFill>
    </fill>
    <fill>
      <patternFill patternType="solid">
        <fgColor rgb="FFC55A11"/>
      </patternFill>
    </fill>
    <fill>
      <patternFill patternType="solid">
        <fgColor rgb="FF548235"/>
      </patternFill>
    </fill>
    <fill>
      <patternFill patternType="solid">
        <fgColor rgb="FF8064A2"/>
      </patternFill>
    </fill>
    <fill>
      <patternFill patternType="solid">
        <fgColor rgb="FF264478"/>
      </patternFill>
    </fill>
    <fill>
      <patternFill patternType="solid">
        <fgColor rgb="FF9E480E"/>
      </patternFill>
    </fill>
    <fill>
      <patternFill patternType="solid">
        <fgColor rgb="FF636363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A5A5A5"/>
      </patternFill>
    </fill>
    <fill>
      <patternFill patternType="solid">
        <fgColor rgb="00FFC000"/>
      </patternFill>
    </fill>
    <fill>
      <patternFill patternType="solid">
        <fgColor rgb="004472C4"/>
      </patternFill>
    </fill>
    <fill>
      <patternFill patternType="solid">
        <fgColor rgb="00255E91"/>
      </patternFill>
    </fill>
    <fill>
      <patternFill patternType="solid">
        <fgColor rgb="009E480E"/>
      </patternFill>
    </fill>
    <fill>
      <patternFill patternType="solid">
        <fgColor rgb="00636363"/>
      </patternFill>
    </fill>
    <fill>
      <patternFill patternType="solid">
        <fgColor rgb="00997300"/>
      </patternFill>
    </fill>
    <fill>
      <patternFill patternType="solid">
        <fgColor rgb="00264478"/>
      </patternFill>
    </fill>
    <fill>
      <patternFill patternType="solid">
        <fgColor rgb="0043682B"/>
      </patternFill>
    </fill>
    <fill>
      <patternFill patternType="solid">
        <fgColor rgb="008064A2"/>
      </patternFill>
    </fill>
    <fill>
      <patternFill patternType="solid">
        <fgColor rgb="004BACC6"/>
      </patternFill>
    </fill>
    <fill>
      <patternFill patternType="solid">
        <fgColor rgb="00F79646"/>
      </patternFill>
    </fill>
    <fill>
      <patternFill patternType="solid">
        <fgColor rgb="0092A9CF"/>
      </patternFill>
    </fill>
    <fill>
      <patternFill patternType="solid">
        <fgColor rgb="0095B3D7"/>
      </patternFill>
    </fill>
    <fill>
      <patternFill patternType="solid">
        <fgColor rgb="00C0504D"/>
      </patternFill>
    </fill>
    <fill>
      <patternFill patternType="solid">
        <fgColor rgb="009BBB59"/>
      </patternFill>
    </fill>
    <fill>
      <patternFill patternType="solid">
        <fgColor rgb="007F7F7F"/>
      </patternFill>
    </fill>
    <fill>
      <patternFill patternType="solid">
        <fgColor rgb="00806000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horizontal="left"/>
    </xf>
    <xf numFmtId="167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1" fillId="0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9" fillId="0" borderId="0" applyAlignment="1" pivotButton="0" quotePrefix="0" xfId="0">
      <alignment horizontal="left"/>
    </xf>
    <xf numFmtId="167" fontId="10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vertical="center"/>
    </xf>
    <xf numFmtId="0" fontId="0" fillId="17" borderId="0" pivotButton="0" quotePrefix="0" xfId="0"/>
    <xf numFmtId="0" fontId="11" fillId="0" borderId="0" applyAlignment="1" pivotButton="0" quotePrefix="0" xfId="0">
      <alignment horizontal="center"/>
    </xf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11" fillId="0" borderId="0" pivotButton="0" quotePrefix="0" xfId="0"/>
    <xf numFmtId="0" fontId="14" fillId="16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vertical="top" wrapText="1"/>
    </xf>
    <xf numFmtId="0" fontId="0" fillId="29" borderId="1" applyAlignment="1" pivotButton="0" quotePrefix="0" xfId="0">
      <alignment vertical="top" wrapText="1"/>
    </xf>
    <xf numFmtId="0" fontId="11" fillId="30" borderId="1" applyAlignment="1" pivotButton="0" quotePrefix="0" xfId="0">
      <alignment vertical="top" wrapText="1"/>
    </xf>
    <xf numFmtId="0" fontId="0" fillId="30" borderId="1" applyAlignment="1" pivotButton="0" quotePrefix="0" xfId="0">
      <alignment vertical="top" wrapText="1"/>
    </xf>
    <xf numFmtId="0" fontId="11" fillId="31" borderId="1" applyAlignment="1" pivotButton="0" quotePrefix="0" xfId="0">
      <alignment vertical="top" wrapText="1"/>
    </xf>
    <xf numFmtId="0" fontId="0" fillId="31" borderId="1" applyAlignment="1" pivotButton="0" quotePrefix="0" xfId="0">
      <alignment vertical="top" wrapText="1"/>
    </xf>
    <xf numFmtId="0" fontId="11" fillId="32" borderId="1" applyAlignment="1" pivotButton="0" quotePrefix="0" xfId="0">
      <alignment vertical="top" wrapText="1"/>
    </xf>
    <xf numFmtId="0" fontId="0" fillId="32" borderId="1" applyAlignment="1" pivotButton="0" quotePrefix="0" xfId="0">
      <alignment vertical="top" wrapText="1"/>
    </xf>
    <xf numFmtId="0" fontId="11" fillId="33" borderId="1" applyAlignment="1" pivotButton="0" quotePrefix="0" xfId="0">
      <alignment vertical="top" wrapText="1"/>
    </xf>
    <xf numFmtId="0" fontId="0" fillId="33" borderId="1" applyAlignment="1" pivotButton="0" quotePrefix="0" xfId="0">
      <alignment vertical="top" wrapText="1"/>
    </xf>
    <xf numFmtId="0" fontId="11" fillId="34" borderId="1" applyAlignment="1" pivotButton="0" quotePrefix="0" xfId="0">
      <alignment vertical="top" wrapText="1"/>
    </xf>
    <xf numFmtId="0" fontId="0" fillId="34" borderId="1" applyAlignment="1" pivotButton="0" quotePrefix="0" xfId="0">
      <alignment vertical="top" wrapText="1"/>
    </xf>
    <xf numFmtId="0" fontId="1" fillId="30" borderId="1" applyAlignment="1" pivotButton="0" quotePrefix="0" xfId="0">
      <alignment vertical="top" wrapText="1"/>
    </xf>
    <xf numFmtId="0" fontId="1" fillId="33" borderId="1" applyAlignment="1" pivotButton="0" quotePrefix="0" xfId="0">
      <alignment vertical="top" wrapText="1"/>
    </xf>
    <xf numFmtId="0" fontId="1" fillId="31" borderId="1" applyAlignment="1" pivotButton="0" quotePrefix="0" xfId="0">
      <alignment vertical="top" wrapText="1"/>
    </xf>
    <xf numFmtId="0" fontId="1" fillId="3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12" fillId="16" borderId="0" applyAlignment="1" pivotButton="0" quotePrefix="0" xfId="0">
      <alignment horizontal="left" vertical="center"/>
    </xf>
    <xf numFmtId="0" fontId="13" fillId="0" borderId="0" pivotButton="0" quotePrefix="0" xfId="0"/>
    <xf numFmtId="0" fontId="8" fillId="16" borderId="0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15" fillId="35" borderId="0" pivotButton="0" quotePrefix="0" xfId="0"/>
    <xf numFmtId="0" fontId="16" fillId="0" borderId="0" pivotButton="0" quotePrefix="0" xfId="0"/>
    <xf numFmtId="168" fontId="0" fillId="0" borderId="0" pivotButton="0" quotePrefix="0" xfId="0"/>
    <xf numFmtId="0" fontId="16" fillId="36" borderId="0" pivotButton="0" quotePrefix="0" xfId="0"/>
    <xf numFmtId="0" fontId="17" fillId="0" borderId="0" pivotButton="0" quotePrefix="0" xfId="0"/>
    <xf numFmtId="168" fontId="0" fillId="0" borderId="0" pivotButton="0" quotePrefix="0" xfId="0"/>
    <xf numFmtId="0" fontId="18" fillId="0" borderId="0" pivotButton="0" quotePrefix="0" xfId="0"/>
    <xf numFmtId="0" fontId="19" fillId="37" borderId="0" applyAlignment="1" pivotButton="0" quotePrefix="0" xfId="0">
      <alignment horizontal="center"/>
    </xf>
    <xf numFmtId="0" fontId="19" fillId="38" borderId="0" applyAlignment="1" pivotButton="0" quotePrefix="0" xfId="0">
      <alignment horizontal="center"/>
    </xf>
    <xf numFmtId="0" fontId="19" fillId="39" borderId="0" applyAlignment="1" pivotButton="0" quotePrefix="0" xfId="0">
      <alignment horizontal="center"/>
    </xf>
    <xf numFmtId="0" fontId="19" fillId="40" borderId="0" applyAlignment="1" pivotButton="0" quotePrefix="0" xfId="0">
      <alignment horizontal="center"/>
    </xf>
    <xf numFmtId="0" fontId="19" fillId="41" borderId="0" applyAlignment="1" pivotButton="0" quotePrefix="0" xfId="0">
      <alignment horizontal="center"/>
    </xf>
    <xf numFmtId="0" fontId="19" fillId="42" borderId="0" applyAlignment="1" pivotButton="0" quotePrefix="0" xfId="0">
      <alignment horizontal="center"/>
    </xf>
    <xf numFmtId="0" fontId="19" fillId="43" borderId="0" applyAlignment="1" pivotButton="0" quotePrefix="0" xfId="0">
      <alignment horizontal="center"/>
    </xf>
    <xf numFmtId="0" fontId="19" fillId="44" borderId="0" applyAlignment="1" pivotButton="0" quotePrefix="0" xfId="0">
      <alignment horizontal="center"/>
    </xf>
    <xf numFmtId="0" fontId="19" fillId="45" borderId="0" applyAlignment="1" pivotButton="0" quotePrefix="0" xfId="0">
      <alignment horizontal="center"/>
    </xf>
    <xf numFmtId="0" fontId="19" fillId="46" borderId="0" applyAlignment="1" pivotButton="0" quotePrefix="0" xfId="0">
      <alignment horizontal="center"/>
    </xf>
    <xf numFmtId="0" fontId="19" fillId="47" borderId="0" applyAlignment="1" pivotButton="0" quotePrefix="0" xfId="0">
      <alignment horizontal="center"/>
    </xf>
    <xf numFmtId="0" fontId="19" fillId="48" borderId="0" applyAlignment="1" pivotButton="0" quotePrefix="0" xfId="0">
      <alignment horizontal="center"/>
    </xf>
    <xf numFmtId="0" fontId="19" fillId="49" borderId="0" applyAlignment="1" pivotButton="0" quotePrefix="0" xfId="0">
      <alignment horizontal="center"/>
    </xf>
    <xf numFmtId="0" fontId="19" fillId="50" borderId="0" applyAlignment="1" pivotButton="0" quotePrefix="0" xfId="0">
      <alignment horizontal="center"/>
    </xf>
    <xf numFmtId="0" fontId="19" fillId="51" borderId="0" applyAlignment="1" pivotButton="0" quotePrefix="0" xfId="0">
      <alignment horizontal="center"/>
    </xf>
    <xf numFmtId="0" fontId="19" fillId="52" borderId="0" applyAlignment="1" pivotButton="0" quotePrefix="0" xfId="0">
      <alignment horizontal="center"/>
    </xf>
    <xf numFmtId="0" fontId="19" fillId="53" borderId="0" applyAlignment="1" pivotButton="0" quotePrefix="0" xfId="0">
      <alignment horizontal="center"/>
    </xf>
    <xf numFmtId="0" fontId="19" fillId="54" borderId="0" applyAlignment="1" pivotButton="0" quotePrefix="0" xfId="0">
      <alignment horizontal="center"/>
    </xf>
    <xf numFmtId="0" fontId="19" fillId="55" borderId="0" applyAlignment="1" pivotButton="0" quotePrefix="0" xfId="0">
      <alignment horizontal="center"/>
    </xf>
    <xf numFmtId="0" fontId="19" fillId="5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Monthly Spending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_SubAnalyticsData!$C$2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_SubAnalyticsData!$A$3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_SubAnalyticsData!$C$3</f>
              <numCache>
                <formatCode>\$#,##0.00</formatCode>
                <ptCount val="1"/>
                <pt idx="0">
                  <v>979.8000000000004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by Sub-Category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_SubAnalyticsData!$G$2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21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22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23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24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25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6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7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28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29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30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31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32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33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34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35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36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37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8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9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0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41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42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43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44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45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46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47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48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49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50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51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52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3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54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55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56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57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58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59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6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6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6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6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_SubAnalyticsData!$E$3:$E$66</f>
              <numCache>
                <formatCode>General</formatCode>
                <ptCount val="6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</numCache>
            </numRef>
          </cat>
          <val>
            <numRef>
              <f>_SubAnalyticsData!$G$3:$G$66</f>
              <numCache>
                <formatCode>\$#,##0.00</formatCode>
                <ptCount val="64"/>
                <pt idx="0">
                  <v>136.04</v>
                </pt>
                <pt idx="1">
                  <v>87.39</v>
                </pt>
                <pt idx="2">
                  <v>69.72</v>
                </pt>
                <pt idx="3">
                  <v>53.99000000000001</v>
                </pt>
                <pt idx="4">
                  <v>47.88</v>
                </pt>
                <pt idx="5">
                  <v>45.36000000000001</v>
                </pt>
                <pt idx="6">
                  <v>32.26000000000001</v>
                </pt>
                <pt idx="7">
                  <v>31.2</v>
                </pt>
                <pt idx="8">
                  <v>28.54</v>
                </pt>
                <pt idx="9">
                  <v>26.91</v>
                </pt>
                <pt idx="10">
                  <v>19.88</v>
                </pt>
                <pt idx="11">
                  <v>18.88</v>
                </pt>
                <pt idx="12">
                  <v>18.49</v>
                </pt>
                <pt idx="13">
                  <v>18.19</v>
                </pt>
                <pt idx="14">
                  <v>16.58</v>
                </pt>
                <pt idx="15">
                  <v>16.14</v>
                </pt>
                <pt idx="16">
                  <v>14.46</v>
                </pt>
                <pt idx="17">
                  <v>14.29</v>
                </pt>
                <pt idx="18">
                  <v>13.98</v>
                </pt>
                <pt idx="19">
                  <v>13.92</v>
                </pt>
                <pt idx="20">
                  <v>13.42</v>
                </pt>
                <pt idx="21">
                  <v>13.08</v>
                </pt>
                <pt idx="22">
                  <v>11.76</v>
                </pt>
                <pt idx="23">
                  <v>11</v>
                </pt>
                <pt idx="24">
                  <v>10.64</v>
                </pt>
                <pt idx="25">
                  <v>10</v>
                </pt>
                <pt idx="26">
                  <v>9.98</v>
                </pt>
                <pt idx="27">
                  <v>9.949999999999999</v>
                </pt>
                <pt idx="28">
                  <v>8.380000000000001</v>
                </pt>
                <pt idx="29">
                  <v>7.78</v>
                </pt>
                <pt idx="30">
                  <v>7.19</v>
                </pt>
                <pt idx="31">
                  <v>7.01</v>
                </pt>
                <pt idx="32">
                  <v>6.99</v>
                </pt>
                <pt idx="33">
                  <v>6.88</v>
                </pt>
                <pt idx="34">
                  <v>6.48</v>
                </pt>
                <pt idx="35">
                  <v>6.29</v>
                </pt>
                <pt idx="36">
                  <v>6.24</v>
                </pt>
                <pt idx="37">
                  <v>5.99</v>
                </pt>
                <pt idx="38">
                  <v>5.99</v>
                </pt>
                <pt idx="39">
                  <v>5.99</v>
                </pt>
                <pt idx="40">
                  <v>5.89</v>
                </pt>
                <pt idx="41">
                  <v>5.74</v>
                </pt>
                <pt idx="42">
                  <v>5.65</v>
                </pt>
                <pt idx="43">
                  <v>5.42</v>
                </pt>
                <pt idx="44">
                  <v>5.25</v>
                </pt>
                <pt idx="45">
                  <v>4.88</v>
                </pt>
                <pt idx="46">
                  <v>4.46</v>
                </pt>
                <pt idx="47">
                  <v>3.89</v>
                </pt>
                <pt idx="48">
                  <v>3.69</v>
                </pt>
                <pt idx="49">
                  <v>3.45</v>
                </pt>
                <pt idx="50">
                  <v>3.29</v>
                </pt>
                <pt idx="51">
                  <v>3.19</v>
                </pt>
                <pt idx="52">
                  <v>3.16</v>
                </pt>
                <pt idx="53">
                  <v>3.12</v>
                </pt>
                <pt idx="54">
                  <v>2.99</v>
                </pt>
                <pt idx="55">
                  <v>2.99</v>
                </pt>
                <pt idx="56">
                  <v>2.99</v>
                </pt>
                <pt idx="57">
                  <v>2.86</v>
                </pt>
                <pt idx="58">
                  <v>2.79</v>
                </pt>
                <pt idx="59">
                  <v>2.39</v>
                </pt>
                <pt idx="60">
                  <v>1.99</v>
                </pt>
                <pt idx="61">
                  <v>1.84</v>
                </pt>
                <pt idx="62">
                  <v>1.79</v>
                </pt>
                <pt idx="63">
                  <v>0.95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by Store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_SubAnalyticsData!$K$2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_SubAnalyticsData!$I$3:$I$7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_SubAnalyticsData!$K$3:$K$7</f>
              <numCache>
                <formatCode>\$#,##0.00</formatCode>
                <ptCount val="5"/>
                <pt idx="0">
                  <v>574.9700000000004</v>
                </pt>
                <pt idx="1">
                  <v>180.8899999999999</v>
                </pt>
                <pt idx="2">
                  <v>145.58</v>
                </pt>
                <pt idx="3">
                  <v>48.12</v>
                </pt>
                <pt idx="4">
                  <v>30.24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Share by Sub-Category</a:t>
            </a:r>
          </a:p>
        </rich>
      </tx>
      <overlay val="1"/>
    </title>
    <plotArea>
      <layout/>
      <doughnutChart>
        <varyColors val="1"/>
        <ser>
          <idx val="0"/>
          <order val="0"/>
          <tx>
            <strRef>
              <f>_SubAnalyticsData!$O$2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55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56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57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58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59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6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6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62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63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0"/>
            <showCatName val="1"/>
            <showSerName val="1"/>
            <showPercent val="0"/>
            <showBubbleSize val="1"/>
            <showLeaderLines val="1"/>
          </dLbls>
          <cat>
            <numRef>
              <f>_SubAnalyticsData!$M$3:$M$66</f>
              <numCache>
                <formatCode>General</formatCode>
                <ptCount val="6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</numCache>
            </numRef>
          </cat>
          <val>
            <numRef>
              <f>_SubAnalyticsData!$O$3:$O$66</f>
              <numCache>
                <formatCode>\$#,##0.00</formatCode>
                <ptCount val="64"/>
                <pt idx="0">
                  <v>136.04</v>
                </pt>
                <pt idx="1">
                  <v>87.39</v>
                </pt>
                <pt idx="2">
                  <v>69.72</v>
                </pt>
                <pt idx="3">
                  <v>53.99000000000001</v>
                </pt>
                <pt idx="4">
                  <v>47.88</v>
                </pt>
                <pt idx="5">
                  <v>45.36000000000001</v>
                </pt>
                <pt idx="6">
                  <v>32.26000000000001</v>
                </pt>
                <pt idx="7">
                  <v>31.2</v>
                </pt>
                <pt idx="8">
                  <v>28.54</v>
                </pt>
                <pt idx="9">
                  <v>26.91</v>
                </pt>
                <pt idx="10">
                  <v>19.88</v>
                </pt>
                <pt idx="11">
                  <v>18.88</v>
                </pt>
                <pt idx="12">
                  <v>18.49</v>
                </pt>
                <pt idx="13">
                  <v>18.19</v>
                </pt>
                <pt idx="14">
                  <v>16.58</v>
                </pt>
                <pt idx="15">
                  <v>16.14</v>
                </pt>
                <pt idx="16">
                  <v>14.46</v>
                </pt>
                <pt idx="17">
                  <v>14.29</v>
                </pt>
                <pt idx="18">
                  <v>13.98</v>
                </pt>
                <pt idx="19">
                  <v>13.92</v>
                </pt>
                <pt idx="20">
                  <v>13.42</v>
                </pt>
                <pt idx="21">
                  <v>13.08</v>
                </pt>
                <pt idx="22">
                  <v>11.76</v>
                </pt>
                <pt idx="23">
                  <v>11</v>
                </pt>
                <pt idx="24">
                  <v>10.64</v>
                </pt>
                <pt idx="25">
                  <v>10</v>
                </pt>
                <pt idx="26">
                  <v>9.98</v>
                </pt>
                <pt idx="27">
                  <v>9.949999999999999</v>
                </pt>
                <pt idx="28">
                  <v>8.380000000000001</v>
                </pt>
                <pt idx="29">
                  <v>7.78</v>
                </pt>
                <pt idx="30">
                  <v>7.19</v>
                </pt>
                <pt idx="31">
                  <v>7.01</v>
                </pt>
                <pt idx="32">
                  <v>6.99</v>
                </pt>
                <pt idx="33">
                  <v>6.88</v>
                </pt>
                <pt idx="34">
                  <v>6.48</v>
                </pt>
                <pt idx="35">
                  <v>6.29</v>
                </pt>
                <pt idx="36">
                  <v>6.24</v>
                </pt>
                <pt idx="37">
                  <v>5.99</v>
                </pt>
                <pt idx="38">
                  <v>5.99</v>
                </pt>
                <pt idx="39">
                  <v>5.99</v>
                </pt>
                <pt idx="40">
                  <v>5.89</v>
                </pt>
                <pt idx="41">
                  <v>5.74</v>
                </pt>
                <pt idx="42">
                  <v>5.65</v>
                </pt>
                <pt idx="43">
                  <v>5.42</v>
                </pt>
                <pt idx="44">
                  <v>5.25</v>
                </pt>
                <pt idx="45">
                  <v>4.88</v>
                </pt>
                <pt idx="46">
                  <v>4.46</v>
                </pt>
                <pt idx="47">
                  <v>3.89</v>
                </pt>
                <pt idx="48">
                  <v>3.69</v>
                </pt>
                <pt idx="49">
                  <v>3.45</v>
                </pt>
                <pt idx="50">
                  <v>3.29</v>
                </pt>
                <pt idx="51">
                  <v>3.19</v>
                </pt>
                <pt idx="52">
                  <v>3.16</v>
                </pt>
                <pt idx="53">
                  <v>3.12</v>
                </pt>
                <pt idx="54">
                  <v>2.99</v>
                </pt>
                <pt idx="55">
                  <v>2.99</v>
                </pt>
                <pt idx="56">
                  <v>2.99</v>
                </pt>
                <pt idx="57">
                  <v>2.86</v>
                </pt>
                <pt idx="58">
                  <v>2.79</v>
                </pt>
                <pt idx="59">
                  <v>2.39</v>
                </pt>
                <pt idx="60">
                  <v>1.99</v>
                </pt>
                <pt idx="61">
                  <v>1.84</v>
                </pt>
                <pt idx="62">
                  <v>1.79</v>
                </pt>
                <pt idx="63">
                  <v>0.95</v>
                </pt>
              </numCache>
            </numRef>
          </val>
        </ser>
        <dLbls>
          <showLegendKey val="1"/>
          <showVal val="0"/>
          <showCatName val="1"/>
          <showSerName val="1"/>
          <showPercent val="0"/>
          <showBubbleSize val="1"/>
          <showLeaderLines val="1"/>
        </dLbls>
        <firstSliceAng val="0"/>
        <holeSize val="58"/>
      </doughnutChart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Top 10 Products by Spending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_SubAnalyticsData!$S$2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_SubAnalyticsData!$Q$3:$Q$12</f>
              <numCache>
                <formatCode>General</formatCod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numCache>
            </numRef>
          </cat>
          <val>
            <numRef>
              <f>_SubAnalyticsData!$S$3:$S$12</f>
              <numCache>
                <formatCode>\$#,##0.00</formatCode>
                <ptCount val="10"/>
                <pt idx="0">
                  <v>79.54000000000001</v>
                </pt>
                <pt idx="1">
                  <v>47.88</v>
                </pt>
                <pt idx="2">
                  <v>46.78</v>
                </pt>
                <pt idx="3">
                  <v>28.54</v>
                </pt>
                <pt idx="4">
                  <v>24.88</v>
                </pt>
                <pt idx="5">
                  <v>19.96</v>
                </pt>
                <pt idx="6">
                  <v>19.91</v>
                </pt>
                <pt idx="7">
                  <v>19.88</v>
                </pt>
                <pt idx="8">
                  <v>19.34</v>
                </pt>
                <pt idx="9">
                  <v>18.57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Monthly Spending by Store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_SubAnalyticsData!$Z$2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_SubAnalyticsData!$Z$3</f>
              <numCache>
                <formatCode>\$#,##0.00</formatCode>
                <ptCount val="1"/>
                <pt idx="0">
                  <v>574.9700000000004</v>
                </pt>
              </numCache>
            </numRef>
          </val>
        </ser>
        <ser>
          <idx val="1"/>
          <order val="1"/>
          <tx>
            <strRef>
              <f>_SubAnalyticsData!$AA$2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_SubAnalyticsData!$AA$3</f>
              <numCache>
                <formatCode>\$#,##0.00</formatCode>
                <ptCount val="1"/>
                <pt idx="0">
                  <v>180.8899999999999</v>
                </pt>
              </numCache>
            </numRef>
          </val>
        </ser>
        <ser>
          <idx val="2"/>
          <order val="2"/>
          <tx>
            <strRef>
              <f>_SubAnalyticsData!$AB$2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_SubAnalyticsData!$AB$3</f>
              <numCache>
                <formatCode>\$#,##0.00</formatCode>
                <ptCount val="1"/>
                <pt idx="0">
                  <v>145.58</v>
                </pt>
              </numCache>
            </numRef>
          </val>
        </ser>
        <ser>
          <idx val="3"/>
          <order val="3"/>
          <tx>
            <strRef>
              <f>_SubAnalyticsData!$AC$2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_SubAnalyticsData!$AC$3</f>
              <numCache>
                <formatCode>\$#,##0.00</formatCode>
                <ptCount val="1"/>
                <pt idx="0">
                  <v>48.12</v>
                </pt>
              </numCache>
            </numRef>
          </val>
        </ser>
        <ser>
          <idx val="4"/>
          <order val="4"/>
          <tx>
            <strRef>
              <f>_SubAnalyticsData!$AD$2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cat>
            <numRef>
              <f>_SubAnalyticsData!$Y$3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_SubAnalyticsData!$AD$3</f>
              <numCache>
                <formatCode>\$#,##0.00</formatCode>
                <ptCount val="1"/>
                <pt idx="0">
                  <v>30.24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Purchase Frequency by Sub-Category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_SubAnalyticsData!$W$2</f>
              <strCache>
                <ptCount val="1"/>
                <pt idx="0">
                  <v>Purchases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21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22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23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24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25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6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27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28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29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30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31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32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33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34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35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36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37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38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9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0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41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42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43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44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45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46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47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48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49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50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51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52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3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54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55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56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57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58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59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6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6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6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6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_SubAnalyticsData!$U$3:$U$66</f>
              <numCache>
                <formatCode>General</formatCode>
                <ptCount val="6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  <pt idx="25">
                  <v>26</v>
                </pt>
                <pt idx="26">
                  <v>27</v>
                </pt>
                <pt idx="27">
                  <v>28</v>
                </pt>
                <pt idx="28">
                  <v>29</v>
                </pt>
                <pt idx="29">
                  <v>30</v>
                </pt>
                <pt idx="30">
                  <v>31</v>
                </pt>
                <pt idx="31">
                  <v>32</v>
                </pt>
                <pt idx="32">
                  <v>33</v>
                </pt>
                <pt idx="33">
                  <v>34</v>
                </pt>
                <pt idx="34">
                  <v>35</v>
                </pt>
                <pt idx="35">
                  <v>36</v>
                </pt>
                <pt idx="36">
                  <v>37</v>
                </pt>
                <pt idx="37">
                  <v>38</v>
                </pt>
                <pt idx="38">
                  <v>39</v>
                </pt>
                <pt idx="39">
                  <v>40</v>
                </pt>
                <pt idx="40">
                  <v>41</v>
                </pt>
                <pt idx="41">
                  <v>42</v>
                </pt>
                <pt idx="42">
                  <v>43</v>
                </pt>
                <pt idx="43">
                  <v>44</v>
                </pt>
                <pt idx="44">
                  <v>45</v>
                </pt>
                <pt idx="45">
                  <v>46</v>
                </pt>
                <pt idx="46">
                  <v>47</v>
                </pt>
                <pt idx="47">
                  <v>48</v>
                </pt>
                <pt idx="48">
                  <v>49</v>
                </pt>
                <pt idx="49">
                  <v>50</v>
                </pt>
                <pt idx="50">
                  <v>51</v>
                </pt>
                <pt idx="51">
                  <v>52</v>
                </pt>
                <pt idx="52">
                  <v>53</v>
                </pt>
                <pt idx="53">
                  <v>54</v>
                </pt>
                <pt idx="54">
                  <v>55</v>
                </pt>
                <pt idx="55">
                  <v>56</v>
                </pt>
                <pt idx="56">
                  <v>57</v>
                </pt>
                <pt idx="57">
                  <v>58</v>
                </pt>
                <pt idx="58">
                  <v>59</v>
                </pt>
                <pt idx="59">
                  <v>60</v>
                </pt>
                <pt idx="60">
                  <v>61</v>
                </pt>
                <pt idx="61">
                  <v>62</v>
                </pt>
                <pt idx="62">
                  <v>63</v>
                </pt>
                <pt idx="63">
                  <v>64</v>
                </pt>
              </numCache>
            </numRef>
          </cat>
          <val>
            <numRef>
              <f>_SubAnalyticsData!$W$3:$W$66</f>
              <numCache>
                <formatCode>General</formatCode>
                <ptCount val="64"/>
                <pt idx="0">
                  <v>24</v>
                </pt>
                <pt idx="1">
                  <v>23</v>
                </pt>
                <pt idx="2">
                  <v>14</v>
                </pt>
                <pt idx="3">
                  <v>10</v>
                </pt>
                <pt idx="4">
                  <v>6</v>
                </pt>
                <pt idx="5">
                  <v>6</v>
                </pt>
                <pt idx="6">
                  <v>6</v>
                </pt>
                <pt idx="7">
                  <v>5</v>
                </pt>
                <pt idx="8">
                  <v>5</v>
                </pt>
                <pt idx="9">
                  <v>4</v>
                </pt>
                <pt idx="10">
                  <v>4</v>
                </pt>
                <pt idx="11">
                  <v>4</v>
                </pt>
                <pt idx="12">
                  <v>3</v>
                </pt>
                <pt idx="13">
                  <v>3</v>
                </pt>
                <pt idx="14">
                  <v>3</v>
                </pt>
                <pt idx="15">
                  <v>3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2</v>
                </pt>
                <pt idx="23">
                  <v>2</v>
                </pt>
                <pt idx="24">
                  <v>2</v>
                </pt>
                <pt idx="25">
                  <v>2</v>
                </pt>
                <pt idx="26">
                  <v>2</v>
                </pt>
                <pt idx="27">
                  <v>2</v>
                </pt>
                <pt idx="28">
                  <v>2</v>
                </pt>
                <pt idx="29">
                  <v>2</v>
                </pt>
                <pt idx="30">
                  <v>2</v>
                </pt>
                <pt idx="31">
                  <v>2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1</v>
                </pt>
                <pt idx="37">
                  <v>1</v>
                </pt>
                <pt idx="38">
                  <v>1</v>
                </pt>
                <pt idx="39">
                  <v>1</v>
                </pt>
                <pt idx="40">
                  <v>1</v>
                </pt>
                <pt idx="41">
                  <v>1</v>
                </pt>
                <pt idx="42">
                  <v>1</v>
                </pt>
                <pt idx="43">
                  <v>1</v>
                </pt>
                <pt idx="44">
                  <v>1</v>
                </pt>
                <pt idx="45">
                  <v>1</v>
                </pt>
                <pt idx="46">
                  <v>1</v>
                </pt>
                <pt idx="47">
                  <v>1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Purchases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Monthly Spending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_AnalyticsData!$C$2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 w="28575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_AnalyticsData!$A$3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_AnalyticsData!$C$3</f>
              <numCache>
                <formatCode>\$#,##0.00</formatCode>
                <ptCount val="1"/>
                <pt idx="0">
                  <v>899.7300000000005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Spending by 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_AnalyticsData!$G$2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_AnalyticsData!$E$3:$E$23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</numCache>
            </numRef>
          </cat>
          <val>
            <numRef>
              <f>_AnalyticsData!$G$3:$G$23</f>
              <numCache>
                <formatCode>\$#,##0.00</formatCode>
                <ptCount val="21"/>
                <pt idx="0">
                  <v>146.02</v>
                </pt>
                <pt idx="1">
                  <v>111.93</v>
                </pt>
                <pt idx="2">
                  <v>111.26</v>
                </pt>
                <pt idx="3">
                  <v>87.39</v>
                </pt>
                <pt idx="4">
                  <v>86.17999999999999</v>
                </pt>
                <pt idx="5">
                  <v>56.28</v>
                </pt>
                <pt idx="6">
                  <v>47.88</v>
                </pt>
                <pt idx="7">
                  <v>42.2</v>
                </pt>
                <pt idx="8">
                  <v>37.96</v>
                </pt>
                <pt idx="9">
                  <v>28.54</v>
                </pt>
                <pt idx="10">
                  <v>25.48</v>
                </pt>
                <pt idx="11">
                  <v>24.83</v>
                </pt>
                <pt idx="12">
                  <v>22.13</v>
                </pt>
                <pt idx="13">
                  <v>14.29</v>
                </pt>
                <pt idx="14">
                  <v>13.92</v>
                </pt>
                <pt idx="15">
                  <v>9.76</v>
                </pt>
                <pt idx="16">
                  <v>9.559999999999999</v>
                </pt>
                <pt idx="17">
                  <v>7.78</v>
                </pt>
                <pt idx="18">
                  <v>7.19</v>
                </pt>
                <pt idx="19">
                  <v>5.99</v>
                </pt>
                <pt idx="20">
                  <v>3.16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Spending by Store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_AnalyticsData!$K$2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_AnalyticsData!$I$3:$I$7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_AnalyticsData!$K$3:$K$7</f>
              <numCache>
                <formatCode>\$#,##0.00</formatCode>
                <ptCount val="5"/>
                <pt idx="0">
                  <v>574.9700000000004</v>
                </pt>
                <pt idx="1">
                  <v>145.58</v>
                </pt>
                <pt idx="2">
                  <v>100.82</v>
                </pt>
                <pt idx="3">
                  <v>48.12</v>
                </pt>
                <pt idx="4">
                  <v>30.24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Spending Share by Category</a:t>
            </a:r>
          </a:p>
        </rich>
      </tx>
      <overlay val="1"/>
    </title>
    <plotArea>
      <layout/>
      <doughnutChart>
        <varyColors val="1"/>
        <ser>
          <idx val="0"/>
          <order val="0"/>
          <tx>
            <strRef>
              <f>_AnalyticsData!$O$2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0"/>
            <showCatName val="1"/>
            <showSerName val="1"/>
            <showPercent val="0"/>
            <showBubbleSize val="1"/>
            <showLeaderLines val="1"/>
          </dLbls>
          <cat>
            <numRef>
              <f>_AnalyticsData!$M$3:$M$23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</numCache>
            </numRef>
          </cat>
          <val>
            <numRef>
              <f>_AnalyticsData!$O$3:$O$23</f>
              <numCache>
                <formatCode>\$#,##0.00</formatCode>
                <ptCount val="21"/>
                <pt idx="0">
                  <v>146.02</v>
                </pt>
                <pt idx="1">
                  <v>111.93</v>
                </pt>
                <pt idx="2">
                  <v>111.26</v>
                </pt>
                <pt idx="3">
                  <v>87.39</v>
                </pt>
                <pt idx="4">
                  <v>86.17999999999999</v>
                </pt>
                <pt idx="5">
                  <v>56.28</v>
                </pt>
                <pt idx="6">
                  <v>47.88</v>
                </pt>
                <pt idx="7">
                  <v>42.2</v>
                </pt>
                <pt idx="8">
                  <v>37.96</v>
                </pt>
                <pt idx="9">
                  <v>28.54</v>
                </pt>
                <pt idx="10">
                  <v>25.48</v>
                </pt>
                <pt idx="11">
                  <v>24.83</v>
                </pt>
                <pt idx="12">
                  <v>22.13</v>
                </pt>
                <pt idx="13">
                  <v>14.29</v>
                </pt>
                <pt idx="14">
                  <v>13.92</v>
                </pt>
                <pt idx="15">
                  <v>9.76</v>
                </pt>
                <pt idx="16">
                  <v>9.559999999999999</v>
                </pt>
                <pt idx="17">
                  <v>7.78</v>
                </pt>
                <pt idx="18">
                  <v>7.19</v>
                </pt>
                <pt idx="19">
                  <v>5.99</v>
                </pt>
                <pt idx="20">
                  <v>3.16</v>
                </pt>
              </numCache>
            </numRef>
          </val>
        </ser>
        <dLbls>
          <showLegendKey val="1"/>
          <showVal val="0"/>
          <showCatName val="1"/>
          <showSerName val="1"/>
          <showPercent val="0"/>
          <showBubbleSize val="1"/>
          <showLeaderLines val="1"/>
        </dLbls>
        <firstSliceAng val="0"/>
        <holeSize val="58"/>
      </doughnutChart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Top 10 Products by Spending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_AnalyticsData!$S$2</f>
              <strCache>
                <ptCount val="1"/>
                <pt idx="0">
                  <v>Spending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_AnalyticsData!$Q$3:$Q$12</f>
              <numCache>
                <formatCode>General</formatCode>
                <ptCount val="1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</numCache>
            </numRef>
          </cat>
          <val>
            <numRef>
              <f>_AnalyticsData!$S$3:$S$12</f>
              <numCache>
                <formatCode>\$#,##0.00</formatCode>
                <ptCount val="10"/>
                <pt idx="0">
                  <v>79.54000000000001</v>
                </pt>
                <pt idx="1">
                  <v>47.88</v>
                </pt>
                <pt idx="2">
                  <v>46.78</v>
                </pt>
                <pt idx="3">
                  <v>28.54</v>
                </pt>
                <pt idx="4">
                  <v>24.88</v>
                </pt>
                <pt idx="5">
                  <v>19.96</v>
                </pt>
                <pt idx="6">
                  <v>19.88</v>
                </pt>
                <pt idx="7">
                  <v>19.34</v>
                </pt>
                <pt idx="8">
                  <v>18.57</v>
                </pt>
                <pt idx="9">
                  <v>16.74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Monthly Spending by Store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_AnalyticsData!$Z$2</f>
              <strCache>
                <ptCount val="1"/>
                <pt idx="0">
                  <v>1</v>
                </pt>
              </strCache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_AnalyticsData!$Z$3</f>
              <numCache>
                <formatCode>\$#,##0.00</formatCode>
                <ptCount val="1"/>
                <pt idx="0">
                  <v>574.9700000000004</v>
                </pt>
              </numCache>
            </numRef>
          </val>
        </ser>
        <ser>
          <idx val="1"/>
          <order val="1"/>
          <tx>
            <strRef>
              <f>_AnalyticsData!$AA$2</f>
              <strCache>
                <ptCount val="1"/>
                <pt idx="0">
                  <v>2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_AnalyticsData!$AA$3</f>
              <numCache>
                <formatCode>\$#,##0.00</formatCode>
                <ptCount val="1"/>
                <pt idx="0">
                  <v>145.58</v>
                </pt>
              </numCache>
            </numRef>
          </val>
        </ser>
        <ser>
          <idx val="2"/>
          <order val="2"/>
          <tx>
            <strRef>
              <f>_AnalyticsData!$AB$2</f>
              <strCache>
                <ptCount val="1"/>
                <pt idx="0">
                  <v>3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_AnalyticsData!$AB$3</f>
              <numCache>
                <formatCode>\$#,##0.00</formatCode>
                <ptCount val="1"/>
                <pt idx="0">
                  <v>100.82</v>
                </pt>
              </numCache>
            </numRef>
          </val>
        </ser>
        <ser>
          <idx val="3"/>
          <order val="3"/>
          <tx>
            <strRef>
              <f>_AnalyticsData!$AC$2</f>
              <strCache>
                <ptCount val="1"/>
                <pt idx="0">
                  <v>4</v>
                </pt>
              </strCache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_AnalyticsData!$AC$3</f>
              <numCache>
                <formatCode>\$#,##0.00</formatCode>
                <ptCount val="1"/>
                <pt idx="0">
                  <v>48.12</v>
                </pt>
              </numCache>
            </numRef>
          </val>
        </ser>
        <ser>
          <idx val="4"/>
          <order val="4"/>
          <tx>
            <strRef>
              <f>_AnalyticsData!$AD$2</f>
              <strCache>
                <ptCount val="1"/>
                <pt idx="0">
                  <v>5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invertIfNegative val="1"/>
          <cat>
            <numRef>
              <f>_AnalyticsData!$Y$3</f>
              <numCache>
                <formatCode>General</formatCode>
                <ptCount val="1"/>
                <pt idx="0">
                  <v>1</v>
                </pt>
              </numCache>
            </numRef>
          </cat>
          <val>
            <numRef>
              <f>_AnalyticsData!$AD$3</f>
              <numCache>
                <formatCode>\$#,##0.00</formatCode>
                <ptCount val="1"/>
                <pt idx="0">
                  <v>30.24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Spending ($)</a:t>
                </a:r>
              </a:p>
            </rich>
          </tx>
          <overlay val="1"/>
        </title>
        <numFmt formatCode="\$#,##0.0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Purchase Frequency by Category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_AnalyticsData!$W$2</f>
              <strCache>
                <ptCount val="1"/>
                <pt idx="0">
                  <v>Purchases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dPt>
            <idx val="0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3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4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5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6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7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8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Pt>
            <idx val="9"/>
            <invertIfNegative val="1"/>
            <bubble3D val="0"/>
            <spPr>
              <a:solidFill xmlns:a="http://schemas.openxmlformats.org/drawingml/2006/main">
                <a:srgbClr val="264478"/>
              </a:solidFill>
              <a:ln xmlns:a="http://schemas.openxmlformats.org/drawingml/2006/main">
                <a:solidFill>
                  <a:srgbClr val="264478"/>
                </a:solidFill>
                <a:prstDash val="solid"/>
              </a:ln>
            </spPr>
          </dPt>
          <dPt>
            <idx val="10"/>
            <invertIfNegative val="1"/>
            <bubble3D val="0"/>
            <spPr>
              <a:solidFill xmlns:a="http://schemas.openxmlformats.org/drawingml/2006/main">
                <a:srgbClr val="9E480E"/>
              </a:solidFill>
              <a:ln xmlns:a="http://schemas.openxmlformats.org/drawingml/2006/main">
                <a:solidFill>
                  <a:srgbClr val="9E480E"/>
                </a:solidFill>
                <a:prstDash val="solid"/>
              </a:ln>
            </spPr>
          </dPt>
          <dPt>
            <idx val="11"/>
            <invertIfNegative val="1"/>
            <bubble3D val="0"/>
            <spPr>
              <a:solidFill xmlns:a="http://schemas.openxmlformats.org/drawingml/2006/main">
                <a:srgbClr val="636363"/>
              </a:solidFill>
              <a:ln xmlns:a="http://schemas.openxmlformats.org/drawingml/2006/main">
                <a:solidFill>
                  <a:srgbClr val="636363"/>
                </a:solidFill>
                <a:prstDash val="solid"/>
              </a:ln>
            </spPr>
          </dPt>
          <dPt>
            <idx val="12"/>
            <invertIfNegative val="1"/>
            <bubble3D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3"/>
            <invertIfNegative val="1"/>
            <bubble3D val="0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14"/>
            <invertIfNegative val="1"/>
            <bubble3D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dPt>
            <idx val="15"/>
            <invertIfNegative val="1"/>
            <bubble3D val="0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dPt>
          <dPt>
            <idx val="16"/>
            <invertIfNegative val="1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dPt>
          <dPt>
            <idx val="17"/>
            <invertIfNegative val="1"/>
            <bubble3D val="0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5B9BD5"/>
                </a:solidFill>
                <a:prstDash val="solid"/>
              </a:ln>
            </spPr>
          </dPt>
          <dPt>
            <idx val="18"/>
            <invertIfNegative val="1"/>
            <bubble3D val="0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dPt>
          <dPt>
            <idx val="19"/>
            <invertIfNegative val="1"/>
            <bubble3D val="0"/>
            <spPr>
              <a:solidFill xmlns:a="http://schemas.openxmlformats.org/drawingml/2006/main">
                <a:srgbClr val="548235"/>
              </a:solidFill>
              <a:ln xmlns:a="http://schemas.openxmlformats.org/drawingml/2006/main">
                <a:solidFill>
                  <a:srgbClr val="548235"/>
                </a:solidFill>
                <a:prstDash val="solid"/>
              </a:ln>
            </spPr>
          </dPt>
          <dPt>
            <idx val="20"/>
            <invertIfNegative val="1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>
                <a:solidFill>
                  <a:srgbClr val="8064A2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1"/>
            <showSerName val="1"/>
            <showPercent val="1"/>
            <showBubbleSize val="1"/>
            <showLeaderLines val="0"/>
          </dLbls>
          <cat>
            <numRef>
              <f>_AnalyticsData!$U$3:$U$23</f>
              <numCache>
                <formatCode>General</formatCode>
                <ptCount val="2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</numCache>
            </numRef>
          </cat>
          <val>
            <numRef>
              <f>_AnalyticsData!$W$3:$W$23</f>
              <numCache>
                <formatCode>General</formatCode>
                <ptCount val="21"/>
                <pt idx="0">
                  <v>42</v>
                </pt>
                <pt idx="1">
                  <v>23</v>
                </pt>
                <pt idx="2">
                  <v>19</v>
                </pt>
                <pt idx="3">
                  <v>14</v>
                </pt>
                <pt idx="4">
                  <v>11</v>
                </pt>
                <pt idx="5">
                  <v>10</v>
                </pt>
                <pt idx="6">
                  <v>7</v>
                </pt>
                <pt idx="7">
                  <v>5</v>
                </pt>
                <pt idx="8">
                  <v>4</v>
                </pt>
                <pt idx="9">
                  <v>4</v>
                </pt>
                <pt idx="10">
                  <v>4</v>
                </pt>
                <pt idx="11">
                  <v>2</v>
                </pt>
                <pt idx="12">
                  <v>2</v>
                </pt>
                <pt idx="13">
                  <v>2</v>
                </pt>
                <pt idx="14">
                  <v>2</v>
                </pt>
                <pt idx="15">
                  <v>2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</numCache>
            </numRef>
          </val>
        </ser>
        <dLbls>
          <showLegendKey val="1"/>
          <showVal val="1"/>
          <showCatName val="1"/>
          <showSerName val="1"/>
          <showPercent val="1"/>
          <showBubbleSize val="1"/>
        </dLbls>
        <gapWidth val="45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Purchases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Category Spending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'BP w1_Aug 26'!AH1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'BP w1_Aug 26'!$AG$2:$AG$3</f>
            </numRef>
          </cat>
          <val>
            <numRef>
              <f>'BP w1_Aug 26'!$AH$2:$AH$3</f>
            </numRef>
          </val>
        </ser>
        <ser>
          <idx val="1"/>
          <order val="1"/>
          <tx>
            <strRef>
              <f>'BP w1_Aug 26'!AI1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26'!$AI$2:$AI$3</f>
            </numRef>
          </val>
        </ser>
        <ser>
          <idx val="2"/>
          <order val="2"/>
          <tx>
            <strRef>
              <f>'BP w1_Aug 26'!AJ1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26'!$AJ$2:$AJ$3</f>
            </numRef>
          </val>
        </ser>
        <ser>
          <idx val="3"/>
          <order val="3"/>
          <tx>
            <strRef>
              <f>'BP w1_Aug 26'!AK1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26'!$AK$2:$AK$3</f>
            </numRef>
          </val>
        </ser>
        <ser>
          <idx val="4"/>
          <order val="4"/>
          <tx>
            <strRef>
              <f>'BP w1_Aug 26'!AL1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26'!$AL$2:$AL$3</f>
            </numRef>
          </val>
        </ser>
        <ser>
          <idx val="5"/>
          <order val="5"/>
          <tx>
            <strRef>
              <f>'BP w1_Aug 26'!AM1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26'!$AM$2:$AM$3</f>
            </numRef>
          </val>
        </ser>
        <ser>
          <idx val="6"/>
          <order val="6"/>
          <tx>
            <strRef>
              <f>'BP w1_Aug 26'!AN1</f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26'!$AN$2:$AN$3</f>
            </numRef>
          </val>
        </ser>
        <ser>
          <idx val="7"/>
          <order val="7"/>
          <tx>
            <strRef>
              <f>'BP w1_Aug 26'!AO1</f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26'!$AO$2:$AO$3</f>
            </numRef>
          </val>
        </ser>
        <ser>
          <idx val="8"/>
          <order val="8"/>
          <tx>
            <strRef>
              <f>'BP w1_Aug 26'!AP1</f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26'!$AP$2:$AP$3</f>
            </numRef>
          </val>
        </ser>
        <ser>
          <idx val="9"/>
          <order val="9"/>
          <tx>
            <strRef>
              <f>'BP w1_Aug 26'!AQ1</f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26'!$AQ$2:$AQ$3</f>
            </numRef>
          </val>
        </ser>
        <ser>
          <idx val="10"/>
          <order val="10"/>
          <tx>
            <strRef>
              <f>'BP w1_Aug 26'!AR1</f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26'!$AR$2:$AR$3</f>
            </numRef>
          </val>
        </ser>
        <ser>
          <idx val="11"/>
          <order val="11"/>
          <tx>
            <strRef>
              <f>'BP w1_Aug 26'!AS1</f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26'!$AS$2:$AS$3</f>
            </numRef>
          </val>
        </ser>
        <ser>
          <idx val="12"/>
          <order val="12"/>
          <tx>
            <strRef>
              <f>'BP w1_Aug 26'!AT1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26'!$AT$2:$AT$3</f>
            </numRef>
          </val>
        </ser>
        <ser>
          <idx val="13"/>
          <order val="13"/>
          <tx>
            <strRef>
              <f>'BP w1_Aug 26'!AU1</f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26'!$AU$2:$AU$3</f>
            </numRef>
          </val>
        </ser>
        <ser>
          <idx val="14"/>
          <order val="14"/>
          <tx>
            <strRef>
              <f>'BP w1_Aug 26'!AV1</f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26'!$AV$2:$AV$3</f>
            </numRef>
          </val>
        </ser>
        <ser>
          <idx val="15"/>
          <order val="15"/>
          <tx>
            <strRef>
              <f>'BP w1_Aug 26'!AW1</f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26'!$AW$2:$AW$3</f>
            </numRef>
          </val>
        </ser>
        <ser>
          <idx val="16"/>
          <order val="16"/>
          <tx>
            <strRef>
              <f>'BP w1_Aug 26'!AX1</f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26'!$AX$2:$AX$3</f>
            </numRef>
          </val>
        </ser>
        <ser>
          <idx val="17"/>
          <order val="17"/>
          <tx>
            <strRef>
              <f>'BP w1_Aug 26'!AY1</f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26'!$AY$2:$AY$3</f>
            </numRef>
          </val>
        </ser>
        <ser>
          <idx val="18"/>
          <order val="18"/>
          <tx>
            <strRef>
              <f>'BP w1_Aug 26'!AZ1</f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26'!$AZ$2:$AZ$3</f>
            </numRef>
          </val>
        </ser>
        <ser>
          <idx val="19"/>
          <order val="19"/>
          <tx>
            <strRef>
              <f>'BP w1_Aug 26'!BA1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26'!$BA$2:$BA$3</f>
            </numRef>
          </val>
        </ser>
        <ser>
          <idx val="20"/>
          <order val="20"/>
          <tx>
            <strRef>
              <f>'BP w1_Aug 26'!BB1</f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26'!$BB$2:$BB$3</f>
            </numRef>
          </val>
        </ser>
        <ser>
          <idx val="21"/>
          <order val="21"/>
          <tx>
            <strRef>
              <f>'BP w1_Aug 26'!BC1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w1_Aug 26'!$AG$2:$AG$3</f>
            </numRef>
          </cat>
          <val>
            <numRef>
              <f>'BP w1_Aug 26'!$BC$2:$BC$3</f>
            </numRef>
          </val>
        </ser>
        <gapWidth val="7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vs Category Spending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'BP w1_sep 26'!AH1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cat>
            <numRef>
              <f>'BP w1_sep 26'!$AG$2:$AG$3</f>
            </numRef>
          </cat>
          <val>
            <numRef>
              <f>'BP w1_sep 26'!$AH$2:$AH$3</f>
            </numRef>
          </val>
        </ser>
        <ser>
          <idx val="1"/>
          <order val="1"/>
          <tx>
            <strRef>
              <f>'BP w1_sep 26'!AI1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26'!$AI$2:$AI$3</f>
            </numRef>
          </val>
        </ser>
        <ser>
          <idx val="2"/>
          <order val="2"/>
          <tx>
            <strRef>
              <f>'BP w1_sep 26'!AJ1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26'!$AJ$2:$AJ$3</f>
            </numRef>
          </val>
        </ser>
        <ser>
          <idx val="3"/>
          <order val="3"/>
          <tx>
            <strRef>
              <f>'BP w1_sep 26'!AK1</f>
            </strRef>
          </tx>
          <spPr>
            <a:solidFill xmlns:a="http://schemas.openxmlformats.org/drawingml/2006/main">
              <a:srgbClr val="A5A5A5"/>
            </a:solidFill>
            <a:ln xmlns:a="http://schemas.openxmlformats.org/drawingml/2006/main">
              <a:solidFill>
                <a:srgbClr val="A5A5A5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26'!$AK$2:$AK$3</f>
            </numRef>
          </val>
        </ser>
        <ser>
          <idx val="4"/>
          <order val="4"/>
          <tx>
            <strRef>
              <f>'BP w1_sep 26'!AL1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26'!$AL$2:$AL$3</f>
            </numRef>
          </val>
        </ser>
        <ser>
          <idx val="5"/>
          <order val="5"/>
          <tx>
            <strRef>
              <f>'BP w1_sep 26'!AM1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26'!$AM$2:$AM$3</f>
            </numRef>
          </val>
        </ser>
        <ser>
          <idx val="6"/>
          <order val="6"/>
          <tx>
            <strRef>
              <f>'BP w1_sep 26'!AN1</f>
            </strRef>
          </tx>
          <spPr>
            <a:solidFill xmlns:a="http://schemas.openxmlformats.org/drawingml/2006/main">
              <a:srgbClr val="255E91"/>
            </a:solidFill>
            <a:ln xmlns:a="http://schemas.openxmlformats.org/drawingml/2006/main">
              <a:solidFill>
                <a:srgbClr val="255E91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26'!$AN$2:$AN$3</f>
            </numRef>
          </val>
        </ser>
        <ser>
          <idx val="7"/>
          <order val="7"/>
          <tx>
            <strRef>
              <f>'BP w1_sep 26'!AO1</f>
            </strRef>
          </tx>
          <spPr>
            <a:solidFill xmlns:a="http://schemas.openxmlformats.org/drawingml/2006/main">
              <a:srgbClr val="9E480E"/>
            </a:solidFill>
            <a:ln xmlns:a="http://schemas.openxmlformats.org/drawingml/2006/main">
              <a:solidFill>
                <a:srgbClr val="9E480E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26'!$AO$2:$AO$3</f>
            </numRef>
          </val>
        </ser>
        <ser>
          <idx val="8"/>
          <order val="8"/>
          <tx>
            <strRef>
              <f>'BP w1_sep 26'!AP1</f>
            </strRef>
          </tx>
          <spPr>
            <a:solidFill xmlns:a="http://schemas.openxmlformats.org/drawingml/2006/main">
              <a:srgbClr val="636363"/>
            </a:solidFill>
            <a:ln xmlns:a="http://schemas.openxmlformats.org/drawingml/2006/main">
              <a:solidFill>
                <a:srgbClr val="636363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26'!$AP$2:$AP$3</f>
            </numRef>
          </val>
        </ser>
        <ser>
          <idx val="9"/>
          <order val="9"/>
          <tx>
            <strRef>
              <f>'BP w1_sep 26'!AQ1</f>
            </strRef>
          </tx>
          <spPr>
            <a:solidFill xmlns:a="http://schemas.openxmlformats.org/drawingml/2006/main">
              <a:srgbClr val="997300"/>
            </a:solidFill>
            <a:ln xmlns:a="http://schemas.openxmlformats.org/drawingml/2006/main">
              <a:solidFill>
                <a:srgbClr val="997300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26'!$AQ$2:$AQ$3</f>
            </numRef>
          </val>
        </ser>
        <ser>
          <idx val="10"/>
          <order val="10"/>
          <tx>
            <strRef>
              <f>'BP w1_sep 26'!AR1</f>
            </strRef>
          </tx>
          <spPr>
            <a:solidFill xmlns:a="http://schemas.openxmlformats.org/drawingml/2006/main">
              <a:srgbClr val="264478"/>
            </a:solidFill>
            <a:ln xmlns:a="http://schemas.openxmlformats.org/drawingml/2006/main">
              <a:solidFill>
                <a:srgbClr val="264478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26'!$AR$2:$AR$3</f>
            </numRef>
          </val>
        </ser>
        <ser>
          <idx val="11"/>
          <order val="11"/>
          <tx>
            <strRef>
              <f>'BP w1_sep 26'!AS1</f>
            </strRef>
          </tx>
          <spPr>
            <a:solidFill xmlns:a="http://schemas.openxmlformats.org/drawingml/2006/main">
              <a:srgbClr val="43682B"/>
            </a:solidFill>
            <a:ln xmlns:a="http://schemas.openxmlformats.org/drawingml/2006/main">
              <a:solidFill>
                <a:srgbClr val="43682B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26'!$AS$2:$AS$3</f>
            </numRef>
          </val>
        </ser>
        <ser>
          <idx val="12"/>
          <order val="12"/>
          <tx>
            <strRef>
              <f>'BP w1_sep 26'!AT1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26'!$AT$2:$AT$3</f>
            </numRef>
          </val>
        </ser>
        <ser>
          <idx val="13"/>
          <order val="13"/>
          <tx>
            <strRef>
              <f>'BP w1_sep 26'!AU1</f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>
              <a:solidFill>
                <a:srgbClr val="4BACC6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26'!$AU$2:$AU$3</f>
            </numRef>
          </val>
        </ser>
        <ser>
          <idx val="14"/>
          <order val="14"/>
          <tx>
            <strRef>
              <f>'BP w1_sep 26'!AV1</f>
            </strRef>
          </tx>
          <spPr>
            <a:solidFill xmlns:a="http://schemas.openxmlformats.org/drawingml/2006/main">
              <a:srgbClr val="F79646"/>
            </a:solidFill>
            <a:ln xmlns:a="http://schemas.openxmlformats.org/drawingml/2006/main">
              <a:solidFill>
                <a:srgbClr val="F79646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26'!$AV$2:$AV$3</f>
            </numRef>
          </val>
        </ser>
        <ser>
          <idx val="15"/>
          <order val="15"/>
          <tx>
            <strRef>
              <f>'BP w1_sep 26'!AW1</f>
            </strRef>
          </tx>
          <spPr>
            <a:solidFill xmlns:a="http://schemas.openxmlformats.org/drawingml/2006/main">
              <a:srgbClr val="92A9CF"/>
            </a:solidFill>
            <a:ln xmlns:a="http://schemas.openxmlformats.org/drawingml/2006/main">
              <a:solidFill>
                <a:srgbClr val="92A9CF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26'!$AW$2:$AW$3</f>
            </numRef>
          </val>
        </ser>
        <ser>
          <idx val="16"/>
          <order val="16"/>
          <tx>
            <strRef>
              <f>'BP w1_sep 26'!AX1</f>
            </strRef>
          </tx>
          <spPr>
            <a:solidFill xmlns:a="http://schemas.openxmlformats.org/drawingml/2006/main">
              <a:srgbClr val="95B3D7"/>
            </a:solidFill>
            <a:ln xmlns:a="http://schemas.openxmlformats.org/drawingml/2006/main">
              <a:solidFill>
                <a:srgbClr val="95B3D7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26'!$AX$2:$AX$3</f>
            </numRef>
          </val>
        </ser>
        <ser>
          <idx val="17"/>
          <order val="17"/>
          <tx>
            <strRef>
              <f>'BP w1_sep 26'!AY1</f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solidFill>
                <a:srgbClr val="C0504D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26'!$AY$2:$AY$3</f>
            </numRef>
          </val>
        </ser>
        <ser>
          <idx val="18"/>
          <order val="18"/>
          <tx>
            <strRef>
              <f>'BP w1_sep 26'!AZ1</f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26'!$AZ$2:$AZ$3</f>
            </numRef>
          </val>
        </ser>
        <ser>
          <idx val="19"/>
          <order val="19"/>
          <tx>
            <strRef>
              <f>'BP w1_sep 26'!BA1</f>
            </strRef>
          </tx>
          <spPr>
            <a:solidFill xmlns:a="http://schemas.openxmlformats.org/drawingml/2006/main">
              <a:srgbClr val="7F7F7F"/>
            </a:solidFill>
            <a:ln xmlns:a="http://schemas.openxmlformats.org/drawingml/2006/main">
              <a:solidFill>
                <a:srgbClr val="7F7F7F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26'!$BA$2:$BA$3</f>
            </numRef>
          </val>
        </ser>
        <ser>
          <idx val="20"/>
          <order val="20"/>
          <tx>
            <strRef>
              <f>'BP w1_sep 26'!BB1</f>
            </strRef>
          </tx>
          <spPr>
            <a:solidFill xmlns:a="http://schemas.openxmlformats.org/drawingml/2006/main">
              <a:srgbClr val="806000"/>
            </a:solidFill>
            <a:ln xmlns:a="http://schemas.openxmlformats.org/drawingml/2006/main">
              <a:solidFill>
                <a:srgbClr val="806000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26'!$BB$2:$BB$3</f>
            </numRef>
          </val>
        </ser>
        <ser>
          <idx val="21"/>
          <order val="21"/>
          <tx>
            <strRef>
              <f>'BP w1_sep 26'!BC1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dLbls>
            <dLbl>
              <idx val="1"/>
              <dLblPos val="ctr"/>
              <showSerName val="1"/>
            </dLbl>
          </dLbls>
          <cat>
            <numRef>
              <f>'BP w1_sep 26'!$AG$2:$AG$3</f>
            </numRef>
          </cat>
          <val>
            <numRef>
              <f>'BP w1_sep 26'!$BC$2:$BC$3</f>
            </numRef>
          </val>
        </ser>
        <gapWidth val="7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9180000" cy="52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43</row>
      <rowOff>0</rowOff>
    </from>
    <ext cx="9180000" cy="52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112</row>
      <rowOff>0</rowOff>
    </from>
    <ext cx="9180000" cy="52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148</row>
      <rowOff>0</rowOff>
    </from>
    <ext cx="9180000" cy="59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217</row>
      <rowOff>0</rowOff>
    </from>
    <ext cx="9180000" cy="52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253</row>
      <rowOff>0</rowOff>
    </from>
    <ext cx="9180000" cy="59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289</row>
      <rowOff>0</rowOff>
    </from>
    <ext cx="9180000" cy="52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9180000" cy="52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43</row>
      <rowOff>0</rowOff>
    </from>
    <ext cx="9180000" cy="52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79</row>
      <rowOff>0</rowOff>
    </from>
    <ext cx="9180000" cy="52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115</row>
      <rowOff>0</rowOff>
    </from>
    <ext cx="9180000" cy="59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151</row>
      <rowOff>0</rowOff>
    </from>
    <ext cx="9180000" cy="52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187</row>
      <rowOff>0</rowOff>
    </from>
    <ext cx="9180000" cy="59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223</row>
      <rowOff>0</rowOff>
    </from>
    <ext cx="9180000" cy="52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pane ySplit="1" topLeftCell="A102" activePane="bottomLeft" state="frozen"/>
      <selection pane="bottomLeft" activeCell="G154" sqref="G154"/>
    </sheetView>
  </sheetViews>
  <sheetFormatPr baseColWidth="10" defaultColWidth="8.83203125" defaultRowHeight="15"/>
  <cols>
    <col width="14" customWidth="1" style="64" min="1" max="1"/>
    <col width="3" customWidth="1" style="64" min="2" max="2"/>
    <col width="18" customWidth="1" style="64" min="3" max="4"/>
    <col width="34" customWidth="1" style="64" min="5" max="5"/>
    <col width="14" customWidth="1" style="64" min="6" max="6"/>
    <col width="16" customWidth="1" style="64" min="7" max="7"/>
    <col width="28" bestFit="1" customWidth="1" style="64" min="8" max="8"/>
    <col width="22" customWidth="1" style="64" min="9" max="9"/>
    <col width="14" customWidth="1" style="64" min="10" max="19"/>
  </cols>
  <sheetData>
    <row r="1">
      <c r="A1" s="25" t="inlineStr">
        <is>
          <t>Total</t>
        </is>
      </c>
      <c r="B1" s="25" t="n"/>
      <c r="C1" s="25" t="inlineStr">
        <is>
          <t>Store</t>
        </is>
      </c>
      <c r="D1" s="25" t="inlineStr">
        <is>
          <t>Six-Digit SKU</t>
        </is>
      </c>
      <c r="E1" s="25" t="inlineStr">
        <is>
          <t>Product</t>
        </is>
      </c>
      <c r="F1" s="25" t="inlineStr">
        <is>
          <t>Tax Code</t>
        </is>
      </c>
      <c r="G1" s="25" t="inlineStr">
        <is>
          <t>Store Number</t>
        </is>
      </c>
      <c r="H1" s="25" t="inlineStr">
        <is>
          <t>Common Name</t>
        </is>
      </c>
      <c r="I1" s="25" t="inlineStr">
        <is>
          <t>Sub-Category</t>
        </is>
      </c>
      <c r="J1" s="25" t="inlineStr">
        <is>
          <t>Date 1</t>
        </is>
      </c>
      <c r="K1" s="25" t="inlineStr">
        <is>
          <t>Price 1</t>
        </is>
      </c>
      <c r="L1" s="25" t="inlineStr">
        <is>
          <t>Date 2</t>
        </is>
      </c>
      <c r="M1" s="25" t="inlineStr">
        <is>
          <t>Price 2</t>
        </is>
      </c>
      <c r="N1" s="25" t="inlineStr">
        <is>
          <t>Date 3</t>
        </is>
      </c>
      <c r="O1" s="25" t="inlineStr">
        <is>
          <t>Price 3</t>
        </is>
      </c>
      <c r="P1" s="25" t="inlineStr">
        <is>
          <t>Date 4</t>
        </is>
      </c>
      <c r="Q1" s="25" t="inlineStr">
        <is>
          <t>Price 4</t>
        </is>
      </c>
      <c r="R1" s="25" t="inlineStr">
        <is>
          <t>Date 5</t>
        </is>
      </c>
      <c r="S1" s="25" t="inlineStr">
        <is>
          <t>Price 5</t>
        </is>
      </c>
    </row>
    <row r="2">
      <c r="A2" s="1">
        <f>SUM(K2,M2,O2,Q2,S2)</f>
        <v/>
      </c>
      <c r="C2" t="inlineStr">
        <is>
          <t>Publix</t>
        </is>
      </c>
      <c r="D2" t="inlineStr">
        <is>
          <t>NA</t>
        </is>
      </c>
      <c r="E2" t="inlineStr">
        <is>
          <t>Stony Yobaby Pouch Peach</t>
        </is>
      </c>
      <c r="F2" t="inlineStr">
        <is>
          <t>F</t>
        </is>
      </c>
      <c r="G2" t="inlineStr">
        <is>
          <t>1058</t>
        </is>
      </c>
      <c r="H2" t="inlineStr">
        <is>
          <t>Stonyfield Organic YoBaby Yogurt Pouch, Peach</t>
        </is>
      </c>
      <c r="I2" t="inlineStr">
        <is>
          <t>Yogurt</t>
        </is>
      </c>
      <c r="J2" s="2" t="n">
        <v>46259</v>
      </c>
      <c r="K2" s="1" t="n">
        <v>7.85</v>
      </c>
    </row>
    <row r="3">
      <c r="A3" s="1">
        <f>SUM(K3,M3,O3,Q3,S3)</f>
        <v/>
      </c>
      <c r="C3" t="inlineStr">
        <is>
          <t>Publix</t>
        </is>
      </c>
      <c r="D3" t="inlineStr">
        <is>
          <t>NA</t>
        </is>
      </c>
      <c r="E3" t="inlineStr">
        <is>
          <t>Stony Yobaby Pouch Banana</t>
        </is>
      </c>
      <c r="F3" t="inlineStr">
        <is>
          <t>F</t>
        </is>
      </c>
      <c r="G3" t="inlineStr">
        <is>
          <t>1058</t>
        </is>
      </c>
      <c r="H3" t="inlineStr">
        <is>
          <t>Stonyfield Organic YoBaby Yogurt Pouch, Banana</t>
        </is>
      </c>
      <c r="I3" t="inlineStr">
        <is>
          <t>Yogurt</t>
        </is>
      </c>
      <c r="J3" s="2" t="n">
        <v>46259</v>
      </c>
      <c r="K3" s="1" t="n">
        <v>7.85</v>
      </c>
    </row>
    <row r="4">
      <c r="A4" s="1">
        <f>SUM(K4,M4,O4,Q4,S4)</f>
        <v/>
      </c>
      <c r="C4" t="inlineStr">
        <is>
          <t>Publix</t>
        </is>
      </c>
      <c r="D4" t="inlineStr">
        <is>
          <t>NA</t>
        </is>
      </c>
      <c r="E4" t="inlineStr">
        <is>
          <t>Sweet Loren's Gf Brownie</t>
        </is>
      </c>
      <c r="F4" t="inlineStr">
        <is>
          <t>F</t>
        </is>
      </c>
      <c r="G4" t="inlineStr">
        <is>
          <t>1058</t>
        </is>
      </c>
      <c r="H4" t="inlineStr">
        <is>
          <t>Sweet Loren's Gluten Free Brownie Cookie Dough</t>
        </is>
      </c>
      <c r="I4" t="inlineStr">
        <is>
          <t>Refrigerated Dough</t>
        </is>
      </c>
      <c r="J4" s="2" t="n">
        <v>46259</v>
      </c>
      <c r="K4" s="1" t="n">
        <v>6.99</v>
      </c>
    </row>
    <row r="5">
      <c r="A5" s="1">
        <f>SUM(K5,M5,O5,Q5,S5)</f>
        <v/>
      </c>
      <c r="C5" t="inlineStr">
        <is>
          <t>Publix</t>
        </is>
      </c>
      <c r="D5" t="inlineStr">
        <is>
          <t>NA</t>
        </is>
      </c>
      <c r="E5" t="inlineStr">
        <is>
          <t>Vans Waffle Blueberry Gf</t>
        </is>
      </c>
      <c r="F5" t="inlineStr">
        <is>
          <t>F</t>
        </is>
      </c>
      <c r="G5" t="inlineStr">
        <is>
          <t>1058</t>
        </is>
      </c>
      <c r="H5" t="inlineStr">
        <is>
          <t>Van's Gluten Free Blueberry Waffles</t>
        </is>
      </c>
      <c r="I5" t="inlineStr">
        <is>
          <t>Frozen Breakfast</t>
        </is>
      </c>
      <c r="J5" s="2" t="n">
        <v>46259</v>
      </c>
      <c r="K5" s="1" t="n">
        <v>3.89</v>
      </c>
      <c r="L5" s="2" t="n">
        <v>46259</v>
      </c>
      <c r="M5" s="1" t="n">
        <v>3.89</v>
      </c>
    </row>
    <row r="6">
      <c r="A6" s="1">
        <f>SUM(K6,M6,O6,Q6,S6)</f>
        <v/>
      </c>
      <c r="C6" t="inlineStr">
        <is>
          <t>Publix</t>
        </is>
      </c>
      <c r="D6" t="inlineStr">
        <is>
          <t>NA</t>
        </is>
      </c>
      <c r="E6" t="inlineStr">
        <is>
          <t>Chobani 4Pk Hero Batch</t>
        </is>
      </c>
      <c r="F6" t="inlineStr">
        <is>
          <t>F</t>
        </is>
      </c>
      <c r="G6" t="inlineStr">
        <is>
          <t>1058</t>
        </is>
      </c>
      <c r="H6" t="inlineStr">
        <is>
          <t>Chobani Greek Yogurt 4-Pack, Hero Batch</t>
        </is>
      </c>
      <c r="I6" t="inlineStr">
        <is>
          <t>Yogurt</t>
        </is>
      </c>
      <c r="J6" s="2" t="n">
        <v>46259</v>
      </c>
      <c r="K6" s="1" t="n">
        <v>5.65</v>
      </c>
    </row>
    <row r="7">
      <c r="A7" s="1">
        <f>SUM(K7,M7,O7,Q7,S7)</f>
        <v/>
      </c>
      <c r="C7" t="inlineStr">
        <is>
          <t>Publix</t>
        </is>
      </c>
      <c r="D7" t="inlineStr">
        <is>
          <t>NA</t>
        </is>
      </c>
      <c r="E7" t="inlineStr">
        <is>
          <t>Silk Soy Organic Nsa Hg</t>
        </is>
      </c>
      <c r="F7" t="inlineStr">
        <is>
          <t>F</t>
        </is>
      </c>
      <c r="G7" t="inlineStr">
        <is>
          <t>1058</t>
        </is>
      </c>
      <c r="H7" t="inlineStr">
        <is>
          <t>Silk Organic Unsweet Soymilk, Half Gallon</t>
        </is>
      </c>
      <c r="I7" t="inlineStr">
        <is>
          <t>Plant-Based Milk</t>
        </is>
      </c>
      <c r="J7" s="2" t="n">
        <v>46259</v>
      </c>
      <c r="K7" s="1" t="n">
        <v>6.19</v>
      </c>
      <c r="L7" s="2" t="n">
        <v>46259</v>
      </c>
      <c r="M7" s="1" t="n">
        <v>6.19</v>
      </c>
      <c r="N7" s="2" t="n">
        <v>46259</v>
      </c>
      <c r="O7" s="1" t="n">
        <v>6.19</v>
      </c>
    </row>
    <row r="8">
      <c r="A8" s="1">
        <f>SUM(K8,M8,O8,Q8,S8)</f>
        <v/>
      </c>
      <c r="C8" t="inlineStr">
        <is>
          <t>Publix</t>
        </is>
      </c>
      <c r="D8" t="inlineStr">
        <is>
          <t>NA</t>
        </is>
      </c>
      <c r="E8" t="inlineStr">
        <is>
          <t>Publix Half&amp;Half Hg</t>
        </is>
      </c>
      <c r="F8" t="inlineStr">
        <is>
          <t>F</t>
        </is>
      </c>
      <c r="G8" t="inlineStr">
        <is>
          <t>1058</t>
        </is>
      </c>
      <c r="H8" t="inlineStr">
        <is>
          <t>Publix Half &amp; Half, Half Gallon</t>
        </is>
      </c>
      <c r="I8" t="inlineStr">
        <is>
          <t>Cream &amp; Half-and-Half</t>
        </is>
      </c>
      <c r="J8" s="2" t="n">
        <v>46259</v>
      </c>
      <c r="K8" s="1" t="n">
        <v>5.89</v>
      </c>
    </row>
    <row r="9">
      <c r="A9" s="1">
        <f>SUM(K9,M9,O9,Q9,S9)</f>
        <v/>
      </c>
      <c r="C9" t="inlineStr">
        <is>
          <t>Aldi</t>
        </is>
      </c>
      <c r="D9" t="inlineStr">
        <is>
          <t>383212</t>
        </is>
      </c>
      <c r="E9" t="inlineStr">
        <is>
          <t>GF Wide Pan Bread</t>
        </is>
      </c>
      <c r="F9" t="inlineStr">
        <is>
          <t>NA</t>
        </is>
      </c>
      <c r="G9" t="inlineStr">
        <is>
          <t>160</t>
        </is>
      </c>
      <c r="H9" t="inlineStr">
        <is>
          <t>Gluten-Free Wide Pan Bread</t>
        </is>
      </c>
      <c r="I9" t="inlineStr">
        <is>
          <t>Bread</t>
        </is>
      </c>
      <c r="J9" s="2" t="n">
        <v>46257</v>
      </c>
      <c r="K9" s="1" t="n">
        <v>6.79</v>
      </c>
    </row>
    <row r="10">
      <c r="A10" s="1">
        <f>SUM(K10,M10,O10,Q10,S10)</f>
        <v/>
      </c>
      <c r="C10" t="inlineStr">
        <is>
          <t>Aldi</t>
        </is>
      </c>
      <c r="D10" t="inlineStr">
        <is>
          <t>356691</t>
        </is>
      </c>
      <c r="E10" t="inlineStr">
        <is>
          <t>Zucchini</t>
        </is>
      </c>
      <c r="F10" t="inlineStr">
        <is>
          <t>NA</t>
        </is>
      </c>
      <c r="G10" t="inlineStr">
        <is>
          <t>160</t>
        </is>
      </c>
      <c r="H10" t="inlineStr">
        <is>
          <t>Zucchini</t>
        </is>
      </c>
      <c r="I10" t="inlineStr">
        <is>
          <t>Fresh Vegetables</t>
        </is>
      </c>
      <c r="J10" s="2" t="n">
        <v>46257</v>
      </c>
      <c r="K10" s="1" t="n">
        <v>2.52</v>
      </c>
    </row>
    <row r="11">
      <c r="A11" s="1">
        <f>SUM(K11,M11,O11,Q11,S11)</f>
        <v/>
      </c>
      <c r="C11" t="inlineStr">
        <is>
          <t>Aldi</t>
        </is>
      </c>
      <c r="D11" t="inlineStr">
        <is>
          <t>356689</t>
        </is>
      </c>
      <c r="E11" t="inlineStr">
        <is>
          <t>Yellow Squash</t>
        </is>
      </c>
      <c r="F11" t="inlineStr">
        <is>
          <t>NA</t>
        </is>
      </c>
      <c r="G11" t="inlineStr">
        <is>
          <t>160</t>
        </is>
      </c>
      <c r="H11" t="inlineStr">
        <is>
          <t>Yellow Squash</t>
        </is>
      </c>
      <c r="I11" t="inlineStr">
        <is>
          <t>Fresh Vegetables</t>
        </is>
      </c>
      <c r="J11" s="2" t="n">
        <v>46257</v>
      </c>
      <c r="K11" s="1" t="n">
        <v>2.6</v>
      </c>
    </row>
    <row r="12">
      <c r="A12" s="1">
        <f>SUM(K12,M12,O12,Q12,S12)</f>
        <v/>
      </c>
      <c r="C12" t="inlineStr">
        <is>
          <t>Aldi</t>
        </is>
      </c>
      <c r="D12" t="inlineStr">
        <is>
          <t>356421</t>
        </is>
      </c>
      <c r="E12" t="inlineStr">
        <is>
          <t>Medley Potatoes</t>
        </is>
      </c>
      <c r="F12" t="inlineStr">
        <is>
          <t>NA</t>
        </is>
      </c>
      <c r="G12" t="inlineStr">
        <is>
          <t>160</t>
        </is>
      </c>
      <c r="H12" t="inlineStr">
        <is>
          <t>Medley Potatoes</t>
        </is>
      </c>
      <c r="I12" t="inlineStr">
        <is>
          <t>Fresh Vegetables</t>
        </is>
      </c>
      <c r="J12" s="2" t="n">
        <v>46257</v>
      </c>
      <c r="K12" s="1" t="n">
        <v>3.29</v>
      </c>
    </row>
    <row r="13">
      <c r="A13" s="1">
        <f>SUM(K13,M13,O13,Q13,S13)</f>
        <v/>
      </c>
      <c r="C13" t="inlineStr">
        <is>
          <t>Aldi</t>
        </is>
      </c>
      <c r="D13" t="inlineStr">
        <is>
          <t>356537</t>
        </is>
      </c>
      <c r="E13" t="inlineStr">
        <is>
          <t>Cilantro</t>
        </is>
      </c>
      <c r="F13" t="inlineStr">
        <is>
          <t>NA</t>
        </is>
      </c>
      <c r="G13" t="inlineStr">
        <is>
          <t>160</t>
        </is>
      </c>
      <c r="H13" t="inlineStr">
        <is>
          <t>Cilantro</t>
        </is>
      </c>
      <c r="I13" t="inlineStr">
        <is>
          <t>Fresh Herbs</t>
        </is>
      </c>
      <c r="J13" s="2" t="n">
        <v>46257</v>
      </c>
      <c r="K13" s="1" t="n">
        <v>0.89</v>
      </c>
    </row>
    <row r="14">
      <c r="A14" s="1">
        <f>SUM(K14,M14,O14,Q14,S14)</f>
        <v/>
      </c>
      <c r="C14" t="inlineStr">
        <is>
          <t>Aldi</t>
        </is>
      </c>
      <c r="D14" t="inlineStr">
        <is>
          <t>856508</t>
        </is>
      </c>
      <c r="E14" t="inlineStr">
        <is>
          <t>Broccoli Crowns</t>
        </is>
      </c>
      <c r="F14" t="inlineStr">
        <is>
          <t>NA</t>
        </is>
      </c>
      <c r="G14" t="inlineStr">
        <is>
          <t>160</t>
        </is>
      </c>
      <c r="H14" t="inlineStr">
        <is>
          <t>Broccoli Crowns</t>
        </is>
      </c>
      <c r="I14" t="inlineStr">
        <is>
          <t>Fresh Vegetables</t>
        </is>
      </c>
      <c r="J14" s="2" t="n">
        <v>46257</v>
      </c>
      <c r="K14" s="1" t="n">
        <v>3.41</v>
      </c>
    </row>
    <row r="15">
      <c r="A15" s="1">
        <f>SUM(K15,M15,O15,Q15,S15)</f>
        <v/>
      </c>
      <c r="C15" t="inlineStr">
        <is>
          <t>Aldi</t>
        </is>
      </c>
      <c r="D15" t="inlineStr">
        <is>
          <t>356496</t>
        </is>
      </c>
      <c r="E15" t="inlineStr">
        <is>
          <t>Beefsteak Tomatoes</t>
        </is>
      </c>
      <c r="F15" t="inlineStr">
        <is>
          <t>NA</t>
        </is>
      </c>
      <c r="G15" t="inlineStr">
        <is>
          <t>160</t>
        </is>
      </c>
      <c r="H15" t="inlineStr">
        <is>
          <t>Beefsteak Tomatoes</t>
        </is>
      </c>
      <c r="I15" t="inlineStr">
        <is>
          <t>Fresh Vegetables</t>
        </is>
      </c>
      <c r="J15" s="2" t="n">
        <v>46257</v>
      </c>
      <c r="K15" s="1" t="n">
        <v>2.99</v>
      </c>
    </row>
    <row r="16">
      <c r="A16" s="1">
        <f>SUM(K16,M16,O16,Q16,S16)</f>
        <v/>
      </c>
      <c r="C16" t="inlineStr">
        <is>
          <t>Aldi</t>
        </is>
      </c>
      <c r="D16" t="inlineStr">
        <is>
          <t>344280</t>
        </is>
      </c>
      <c r="E16" t="inlineStr">
        <is>
          <t>Cauli Crust Pizza</t>
        </is>
      </c>
      <c r="F16" t="inlineStr">
        <is>
          <t>NA</t>
        </is>
      </c>
      <c r="G16" t="inlineStr">
        <is>
          <t>160</t>
        </is>
      </c>
      <c r="H16" t="inlineStr">
        <is>
          <t>Cauliflower Crust Pizza</t>
        </is>
      </c>
      <c r="I16" t="inlineStr">
        <is>
          <t>Frozen Pizza</t>
        </is>
      </c>
      <c r="J16" s="2" t="n">
        <v>46257</v>
      </c>
      <c r="K16" s="1" t="n">
        <v>8.289999999999999</v>
      </c>
    </row>
    <row r="17">
      <c r="A17" s="1">
        <f>SUM(K17,M17,O17,Q17,S17)</f>
        <v/>
      </c>
      <c r="C17" t="inlineStr">
        <is>
          <t>Aldi</t>
        </is>
      </c>
      <c r="D17" t="inlineStr">
        <is>
          <t>356427</t>
        </is>
      </c>
      <c r="E17" t="inlineStr">
        <is>
          <t>Multi-Peppers 3pk</t>
        </is>
      </c>
      <c r="F17" t="inlineStr">
        <is>
          <t>NA</t>
        </is>
      </c>
      <c r="G17" t="inlineStr">
        <is>
          <t>160</t>
        </is>
      </c>
      <c r="H17" t="inlineStr">
        <is>
          <t>Multi-Color Peppers, 3-Pack</t>
        </is>
      </c>
      <c r="I17" t="inlineStr">
        <is>
          <t>Fresh Vegetables</t>
        </is>
      </c>
      <c r="J17" s="2" t="n">
        <v>46257</v>
      </c>
      <c r="K17" s="1" t="n">
        <v>2.69</v>
      </c>
    </row>
    <row r="18">
      <c r="A18" s="1">
        <f>SUM(K18,M18,O18,Q18,S18)</f>
        <v/>
      </c>
      <c r="C18" t="inlineStr">
        <is>
          <t>Aldi</t>
        </is>
      </c>
      <c r="D18" t="inlineStr">
        <is>
          <t>356591</t>
        </is>
      </c>
      <c r="E18" t="inlineStr">
        <is>
          <t>Pink Lady Apple</t>
        </is>
      </c>
      <c r="F18" t="inlineStr">
        <is>
          <t>NA</t>
        </is>
      </c>
      <c r="G18" t="inlineStr">
        <is>
          <t>160</t>
        </is>
      </c>
      <c r="H18" t="inlineStr">
        <is>
          <t>Pink Lady Apples</t>
        </is>
      </c>
      <c r="I18" t="inlineStr">
        <is>
          <t>Fresh Fruit</t>
        </is>
      </c>
      <c r="J18" s="2" t="n">
        <v>46257</v>
      </c>
      <c r="K18" s="1" t="n">
        <v>3.69</v>
      </c>
    </row>
    <row r="19">
      <c r="A19" s="1">
        <f>SUM(K19,M19,O19,Q19,S19)</f>
        <v/>
      </c>
      <c r="C19" t="inlineStr">
        <is>
          <t>Aldi</t>
        </is>
      </c>
      <c r="D19" t="inlineStr">
        <is>
          <t>356488</t>
        </is>
      </c>
      <c r="E19" t="inlineStr">
        <is>
          <t>Baby Carrots</t>
        </is>
      </c>
      <c r="F19" t="inlineStr">
        <is>
          <t>NA</t>
        </is>
      </c>
      <c r="G19" t="inlineStr">
        <is>
          <t>160</t>
        </is>
      </c>
      <c r="H19" t="inlineStr">
        <is>
          <t>Baby Carrots</t>
        </is>
      </c>
      <c r="I19" t="inlineStr">
        <is>
          <t>Fresh Vegetables</t>
        </is>
      </c>
      <c r="J19" s="2" t="n">
        <v>46257</v>
      </c>
      <c r="K19" s="1" t="n">
        <v>1.29</v>
      </c>
    </row>
    <row r="20">
      <c r="A20" s="1">
        <f>SUM(K20,M20,O20,Q20,S20)</f>
        <v/>
      </c>
      <c r="C20" t="inlineStr">
        <is>
          <t>Aldi</t>
        </is>
      </c>
      <c r="D20" t="inlineStr">
        <is>
          <t>341979</t>
        </is>
      </c>
      <c r="E20" t="inlineStr">
        <is>
          <t>Pine/Water Spears</t>
        </is>
      </c>
      <c r="F20" t="inlineStr">
        <is>
          <t>NA</t>
        </is>
      </c>
      <c r="G20" t="inlineStr">
        <is>
          <t>160</t>
        </is>
      </c>
      <c r="H20" t="inlineStr">
        <is>
          <t>Pineapple &amp; Watermelon Spears</t>
        </is>
      </c>
      <c r="I20" t="inlineStr">
        <is>
          <t>Fresh-Cut Fruit</t>
        </is>
      </c>
      <c r="J20" s="2" t="n">
        <v>46257</v>
      </c>
      <c r="K20" s="1" t="n">
        <v>3.89</v>
      </c>
    </row>
    <row r="21">
      <c r="A21" s="1">
        <f>SUM(K21,M21,O21,Q21,S21)</f>
        <v/>
      </c>
      <c r="C21" t="inlineStr">
        <is>
          <t>Aldi</t>
        </is>
      </c>
      <c r="D21" t="inlineStr">
        <is>
          <t>356504</t>
        </is>
      </c>
      <c r="E21" t="inlineStr">
        <is>
          <t>Blueberries</t>
        </is>
      </c>
      <c r="F21" t="inlineStr">
        <is>
          <t>NA</t>
        </is>
      </c>
      <c r="G21" t="inlineStr">
        <is>
          <t>160</t>
        </is>
      </c>
      <c r="H21" t="inlineStr">
        <is>
          <t>Blueberries</t>
        </is>
      </c>
      <c r="I21" t="inlineStr">
        <is>
          <t>Fresh Fruit</t>
        </is>
      </c>
      <c r="J21" s="2" t="n">
        <v>46257</v>
      </c>
      <c r="K21" s="1" t="n">
        <v>2.59</v>
      </c>
    </row>
    <row r="22">
      <c r="A22" s="1">
        <f>SUM(K22,M22,O22,Q22,S22)</f>
        <v/>
      </c>
      <c r="C22" t="inlineStr">
        <is>
          <t>Aldi</t>
        </is>
      </c>
      <c r="D22" t="inlineStr">
        <is>
          <t>356374</t>
        </is>
      </c>
      <c r="E22" t="inlineStr">
        <is>
          <t>Golden Kiwi</t>
        </is>
      </c>
      <c r="F22" t="inlineStr">
        <is>
          <t>NA</t>
        </is>
      </c>
      <c r="G22" t="inlineStr">
        <is>
          <t>160</t>
        </is>
      </c>
      <c r="H22" t="inlineStr">
        <is>
          <t>Golden Kiwi</t>
        </is>
      </c>
      <c r="I22" t="inlineStr">
        <is>
          <t>Fresh Fruit</t>
        </is>
      </c>
      <c r="J22" s="2" t="n">
        <v>46257</v>
      </c>
      <c r="K22" s="1" t="n">
        <v>4.39</v>
      </c>
    </row>
    <row r="23">
      <c r="A23" s="1">
        <f>SUM(K23,M23,O23,Q23,S23)</f>
        <v/>
      </c>
      <c r="C23" t="inlineStr">
        <is>
          <t>Aldi</t>
        </is>
      </c>
      <c r="D23" t="inlineStr">
        <is>
          <t>343738</t>
        </is>
      </c>
      <c r="E23" t="inlineStr">
        <is>
          <t>Humus Mini Cups</t>
        </is>
      </c>
      <c r="F23" t="inlineStr">
        <is>
          <t>NA</t>
        </is>
      </c>
      <c r="G23" t="inlineStr">
        <is>
          <t>160</t>
        </is>
      </c>
      <c r="H23" t="inlineStr">
        <is>
          <t>Hummus Mini Cups</t>
        </is>
      </c>
      <c r="I23" t="inlineStr">
        <is>
          <t>Dips &amp; Spreads</t>
        </is>
      </c>
      <c r="J23" s="2" t="n">
        <v>46257</v>
      </c>
      <c r="K23" s="1" t="n">
        <v>3.45</v>
      </c>
    </row>
    <row r="24">
      <c r="A24" s="1">
        <f>SUM(K24,M24,O24,Q24,S24)</f>
        <v/>
      </c>
      <c r="C24" t="inlineStr">
        <is>
          <t>Aldi</t>
        </is>
      </c>
      <c r="D24" t="inlineStr">
        <is>
          <t>NA</t>
        </is>
      </c>
      <c r="E24" t="inlineStr">
        <is>
          <t>LesserEvil Popcorn</t>
        </is>
      </c>
      <c r="F24" t="inlineStr">
        <is>
          <t>NA</t>
        </is>
      </c>
      <c r="G24" t="inlineStr">
        <is>
          <t>160</t>
        </is>
      </c>
      <c r="H24" t="inlineStr">
        <is>
          <t>LesserEvil Popcorn</t>
        </is>
      </c>
      <c r="I24" t="inlineStr">
        <is>
          <t>Popcorn</t>
        </is>
      </c>
      <c r="J24" s="2" t="n">
        <v>46257</v>
      </c>
      <c r="K24" s="1" t="n">
        <v>2.39</v>
      </c>
    </row>
    <row r="25">
      <c r="A25" s="1">
        <f>SUM(K25,M25,O25,Q25,S25)</f>
        <v/>
      </c>
      <c r="C25" t="inlineStr">
        <is>
          <t>Aldi</t>
        </is>
      </c>
      <c r="D25" t="inlineStr">
        <is>
          <t>262747</t>
        </is>
      </c>
      <c r="E25" t="inlineStr">
        <is>
          <t>Bananas LRW</t>
        </is>
      </c>
      <c r="F25" t="inlineStr">
        <is>
          <t>NA</t>
        </is>
      </c>
      <c r="G25" t="inlineStr">
        <is>
          <t>160</t>
        </is>
      </c>
      <c r="H25" t="inlineStr">
        <is>
          <t>Bananas</t>
        </is>
      </c>
      <c r="I25" t="inlineStr">
        <is>
          <t>Fresh Fruit</t>
        </is>
      </c>
      <c r="J25" s="2" t="n">
        <v>46257</v>
      </c>
      <c r="K25" s="1" t="n">
        <v>1.31</v>
      </c>
    </row>
    <row r="26">
      <c r="A26" s="1">
        <f>SUM(K26,M26,O26,Q26,S26)</f>
        <v/>
      </c>
      <c r="C26" t="inlineStr">
        <is>
          <t>Aldi</t>
        </is>
      </c>
      <c r="D26" t="inlineStr">
        <is>
          <t>328752</t>
        </is>
      </c>
      <c r="E26" t="inlineStr">
        <is>
          <t>Fruit &amp; Grain Bars</t>
        </is>
      </c>
      <c r="F26" t="inlineStr">
        <is>
          <t>NA</t>
        </is>
      </c>
      <c r="G26" t="inlineStr">
        <is>
          <t>160</t>
        </is>
      </c>
      <c r="H26" t="inlineStr">
        <is>
          <t>Fruit &amp; Grain Bars</t>
        </is>
      </c>
      <c r="I26" t="inlineStr">
        <is>
          <t>Snack Bars</t>
        </is>
      </c>
      <c r="J26" s="2" t="n">
        <v>46257</v>
      </c>
      <c r="K26" s="1" t="n">
        <v>1.99</v>
      </c>
      <c r="L26" s="2" t="n">
        <v>46257</v>
      </c>
      <c r="M26" s="1" t="n">
        <v>1.99</v>
      </c>
    </row>
    <row r="27">
      <c r="A27" s="1">
        <f>SUM(K27,M27,O27,Q27,S27)</f>
        <v/>
      </c>
      <c r="C27" t="inlineStr">
        <is>
          <t>Aldi</t>
        </is>
      </c>
      <c r="D27" t="inlineStr">
        <is>
          <t>856609</t>
        </is>
      </c>
      <c r="E27" t="inlineStr">
        <is>
          <t>Red Onions</t>
        </is>
      </c>
      <c r="F27" t="inlineStr">
        <is>
          <t>NA</t>
        </is>
      </c>
      <c r="G27" t="inlineStr">
        <is>
          <t>160</t>
        </is>
      </c>
      <c r="H27" t="inlineStr">
        <is>
          <t>Red Onions</t>
        </is>
      </c>
      <c r="I27" t="inlineStr">
        <is>
          <t>Fresh Vegetables</t>
        </is>
      </c>
      <c r="J27" s="2" t="n">
        <v>46257</v>
      </c>
      <c r="K27" s="1" t="n">
        <v>2.49</v>
      </c>
    </row>
    <row r="28">
      <c r="A28" s="1">
        <f>SUM(K28,M28,O28,Q28,S28)</f>
        <v/>
      </c>
      <c r="C28" t="inlineStr">
        <is>
          <t>Aldi</t>
        </is>
      </c>
      <c r="D28" t="inlineStr">
        <is>
          <t>739153</t>
        </is>
      </c>
      <c r="E28" t="inlineStr">
        <is>
          <t>Organic Chickpeas</t>
        </is>
      </c>
      <c r="F28" t="inlineStr">
        <is>
          <t>NA</t>
        </is>
      </c>
      <c r="G28" t="inlineStr">
        <is>
          <t>160</t>
        </is>
      </c>
      <c r="H28" t="inlineStr">
        <is>
          <t>Organic Chickpeas</t>
        </is>
      </c>
      <c r="I28" t="inlineStr">
        <is>
          <t>Canned Beans &amp; Legumes</t>
        </is>
      </c>
      <c r="J28" s="2" t="n">
        <v>46257</v>
      </c>
      <c r="K28" s="1" t="n">
        <v>0.99</v>
      </c>
      <c r="L28" s="2" t="n">
        <v>46257</v>
      </c>
      <c r="M28" s="1" t="n">
        <v>0.99</v>
      </c>
    </row>
    <row r="29">
      <c r="A29" s="1">
        <f>SUM(K29,M29,O29,Q29,S29)</f>
        <v/>
      </c>
      <c r="C29" t="inlineStr">
        <is>
          <t>Aldi</t>
        </is>
      </c>
      <c r="D29" t="inlineStr">
        <is>
          <t>381343</t>
        </is>
      </c>
      <c r="E29" t="inlineStr">
        <is>
          <t>Dark Red Kidney</t>
        </is>
      </c>
      <c r="F29" t="inlineStr">
        <is>
          <t>NA</t>
        </is>
      </c>
      <c r="G29" t="inlineStr">
        <is>
          <t>160</t>
        </is>
      </c>
      <c r="H29" t="inlineStr">
        <is>
          <t>Dark Red Kidney Beans</t>
        </is>
      </c>
      <c r="I29" t="inlineStr">
        <is>
          <t>Canned Beans &amp; Legumes</t>
        </is>
      </c>
      <c r="J29" s="2" t="n">
        <v>46257</v>
      </c>
      <c r="K29" s="1" t="n">
        <v>0.85</v>
      </c>
      <c r="L29" s="2" t="n">
        <v>46257</v>
      </c>
      <c r="M29" s="1" t="n">
        <v>0.85</v>
      </c>
    </row>
    <row r="30">
      <c r="A30" s="1">
        <f>SUM(K30,M30,O30,Q30,S30)</f>
        <v/>
      </c>
      <c r="C30" t="inlineStr">
        <is>
          <t>Aldi</t>
        </is>
      </c>
      <c r="D30" t="inlineStr">
        <is>
          <t>381359</t>
        </is>
      </c>
      <c r="E30" t="inlineStr">
        <is>
          <t>Vinaigrette Drssng</t>
        </is>
      </c>
      <c r="F30" t="inlineStr">
        <is>
          <t>NA</t>
        </is>
      </c>
      <c r="G30" t="inlineStr">
        <is>
          <t>160</t>
        </is>
      </c>
      <c r="H30" t="inlineStr">
        <is>
          <t>Vinaigrette Dressing</t>
        </is>
      </c>
      <c r="I30" t="inlineStr">
        <is>
          <t>Salad Dressing</t>
        </is>
      </c>
      <c r="J30" s="2" t="n">
        <v>46257</v>
      </c>
      <c r="K30" s="1" t="n">
        <v>2.99</v>
      </c>
    </row>
    <row r="31">
      <c r="A31" s="1">
        <f>SUM(K31,M31,O31,Q31,S31)</f>
        <v/>
      </c>
      <c r="C31" t="inlineStr">
        <is>
          <t>Aldi</t>
        </is>
      </c>
      <c r="D31" t="inlineStr">
        <is>
          <t>356578</t>
        </is>
      </c>
      <c r="E31" t="inlineStr">
        <is>
          <t>Parsley each</t>
        </is>
      </c>
      <c r="F31" t="inlineStr">
        <is>
          <t>NA</t>
        </is>
      </c>
      <c r="G31" t="inlineStr">
        <is>
          <t>160</t>
        </is>
      </c>
      <c r="H31" t="inlineStr">
        <is>
          <t>Parsley</t>
        </is>
      </c>
      <c r="I31" t="inlineStr">
        <is>
          <t>Fresh Herbs</t>
        </is>
      </c>
      <c r="J31" s="2" t="n">
        <v>46257</v>
      </c>
      <c r="K31" s="1" t="n">
        <v>0.95</v>
      </c>
    </row>
    <row r="32">
      <c r="A32" s="1">
        <f>SUM(K32,M32,O32,Q32,S32)</f>
        <v/>
      </c>
      <c r="C32" t="inlineStr">
        <is>
          <t>Aldi</t>
        </is>
      </c>
      <c r="D32" t="inlineStr">
        <is>
          <t>400462</t>
        </is>
      </c>
      <c r="E32" t="inlineStr">
        <is>
          <t>OG Croutons</t>
        </is>
      </c>
      <c r="F32" t="inlineStr">
        <is>
          <t>NA</t>
        </is>
      </c>
      <c r="G32" t="inlineStr">
        <is>
          <t>160</t>
        </is>
      </c>
      <c r="H32" t="inlineStr">
        <is>
          <t>Organic Croutons</t>
        </is>
      </c>
      <c r="I32" t="inlineStr">
        <is>
          <t>Croutons</t>
        </is>
      </c>
      <c r="J32" s="2" t="n">
        <v>46257</v>
      </c>
      <c r="K32" s="1" t="n">
        <v>1.99</v>
      </c>
    </row>
    <row r="33">
      <c r="A33" s="1">
        <f>SUM(K33,M33,O33,Q33,S33)</f>
        <v/>
      </c>
      <c r="C33" t="inlineStr">
        <is>
          <t>Aldi</t>
        </is>
      </c>
      <c r="D33" t="inlineStr">
        <is>
          <t>344583</t>
        </is>
      </c>
      <c r="E33" t="inlineStr">
        <is>
          <t>Evryd Plate 8.5in</t>
        </is>
      </c>
      <c r="F33" t="inlineStr">
        <is>
          <t>NA</t>
        </is>
      </c>
      <c r="G33" t="inlineStr">
        <is>
          <t>160</t>
        </is>
      </c>
      <c r="H33" t="inlineStr">
        <is>
          <t>Everyday Paper Plates, 8.5 Inch</t>
        </is>
      </c>
      <c r="I33" t="inlineStr">
        <is>
          <t>Disposable Tableware</t>
        </is>
      </c>
      <c r="J33" s="2" t="n">
        <v>46257</v>
      </c>
      <c r="K33" s="1" t="n">
        <v>5.25</v>
      </c>
    </row>
    <row r="34">
      <c r="A34" s="1">
        <f>SUM(K34,M34,O34,Q34,S34)</f>
        <v/>
      </c>
      <c r="C34" t="inlineStr">
        <is>
          <t>Aldi</t>
        </is>
      </c>
      <c r="D34" t="inlineStr">
        <is>
          <t>384545</t>
        </is>
      </c>
      <c r="E34" t="inlineStr">
        <is>
          <t>NO Honey Wheat Brd</t>
        </is>
      </c>
      <c r="F34" t="inlineStr">
        <is>
          <t>NA</t>
        </is>
      </c>
      <c r="G34" t="inlineStr">
        <is>
          <t>160</t>
        </is>
      </c>
      <c r="H34" t="inlineStr">
        <is>
          <t>No [or possibly Nature's Own] Honey Wheat Bread</t>
        </is>
      </c>
      <c r="I34" t="inlineStr">
        <is>
          <t>Bread</t>
        </is>
      </c>
      <c r="J34" s="2" t="n">
        <v>46257</v>
      </c>
      <c r="K34" s="1" t="n">
        <v>3.37</v>
      </c>
    </row>
    <row r="35">
      <c r="A35" s="1">
        <f>SUM(K35,M35,O35,Q35,S35)</f>
        <v/>
      </c>
      <c r="C35" t="inlineStr">
        <is>
          <t>Aldi</t>
        </is>
      </c>
      <c r="D35" t="inlineStr">
        <is>
          <t>730325</t>
        </is>
      </c>
      <c r="E35" t="inlineStr">
        <is>
          <t>3pk_Gel Pens</t>
        </is>
      </c>
      <c r="F35" t="inlineStr">
        <is>
          <t>NA</t>
        </is>
      </c>
      <c r="G35" t="inlineStr">
        <is>
          <t>160</t>
        </is>
      </c>
      <c r="H35" t="inlineStr">
        <is>
          <t>Gel Pens, 3-Pack</t>
        </is>
      </c>
      <c r="I35" t="inlineStr">
        <is>
          <t>Writing Supplies</t>
        </is>
      </c>
      <c r="J35" s="2" t="n">
        <v>46257</v>
      </c>
      <c r="K35" s="1" t="n">
        <v>5.99</v>
      </c>
    </row>
    <row r="36">
      <c r="A36" s="1">
        <f>SUM(K36,M36,O36,Q36,S36)</f>
        <v/>
      </c>
      <c r="C36" t="inlineStr">
        <is>
          <t>Aldi</t>
        </is>
      </c>
      <c r="D36" t="inlineStr">
        <is>
          <t>720921</t>
        </is>
      </c>
      <c r="E36" t="inlineStr">
        <is>
          <t>PB Toast Crackers FA</t>
        </is>
      </c>
      <c r="F36" t="inlineStr">
        <is>
          <t>NA</t>
        </is>
      </c>
      <c r="G36" t="inlineStr">
        <is>
          <t>160</t>
        </is>
      </c>
      <c r="H36" t="inlineStr">
        <is>
          <t>Peanut Butter Toast Crackers</t>
        </is>
      </c>
      <c r="I36" t="inlineStr">
        <is>
          <t>Crackers</t>
        </is>
      </c>
      <c r="J36" s="2" t="n">
        <v>46257</v>
      </c>
      <c r="K36" s="1" t="n">
        <v>2.79</v>
      </c>
    </row>
    <row r="37">
      <c r="A37" s="1">
        <f>SUM(K37,M37,O37,Q37,S37)</f>
        <v/>
      </c>
      <c r="C37" t="inlineStr">
        <is>
          <t>Aldi</t>
        </is>
      </c>
      <c r="D37" t="inlineStr">
        <is>
          <t>383548</t>
        </is>
      </c>
      <c r="E37" t="inlineStr">
        <is>
          <t>Goat Cheese Logs</t>
        </is>
      </c>
      <c r="F37" t="inlineStr">
        <is>
          <t>NA</t>
        </is>
      </c>
      <c r="G37" t="inlineStr">
        <is>
          <t>160</t>
        </is>
      </c>
      <c r="H37" t="inlineStr">
        <is>
          <t>Goat Cheese Logs</t>
        </is>
      </c>
      <c r="I37" t="inlineStr">
        <is>
          <t>Specialty Cheese</t>
        </is>
      </c>
      <c r="J37" s="2" t="n">
        <v>46257</v>
      </c>
      <c r="K37" s="1" t="n">
        <v>1.99</v>
      </c>
    </row>
    <row r="38">
      <c r="A38" s="1">
        <f>SUM(K38,M38,O38,Q38,S38)</f>
        <v/>
      </c>
      <c r="C38" t="inlineStr">
        <is>
          <t>Aldi</t>
        </is>
      </c>
      <c r="D38" t="inlineStr">
        <is>
          <t>713372</t>
        </is>
      </c>
      <c r="E38" t="inlineStr">
        <is>
          <t>Feta Crumbles</t>
        </is>
      </c>
      <c r="F38" t="inlineStr">
        <is>
          <t>NA</t>
        </is>
      </c>
      <c r="G38" t="inlineStr">
        <is>
          <t>160</t>
        </is>
      </c>
      <c r="H38" t="inlineStr">
        <is>
          <t>Feta Cheese Crumbles</t>
        </is>
      </c>
      <c r="I38" t="inlineStr">
        <is>
          <t>Specialty Cheese</t>
        </is>
      </c>
      <c r="J38" s="2" t="n">
        <v>46257</v>
      </c>
      <c r="K38" s="1" t="n">
        <v>2.89</v>
      </c>
    </row>
    <row r="39">
      <c r="A39" s="1">
        <f>SUM(K39,M39,O39,Q39,S39)</f>
        <v/>
      </c>
      <c r="C39" t="inlineStr">
        <is>
          <t>Aldi</t>
        </is>
      </c>
      <c r="D39" t="inlineStr">
        <is>
          <t>NA</t>
        </is>
      </c>
      <c r="E39" t="inlineStr">
        <is>
          <t>CollapsibleStorage</t>
        </is>
      </c>
      <c r="F39" t="inlineStr">
        <is>
          <t>NA</t>
        </is>
      </c>
      <c r="G39" t="inlineStr">
        <is>
          <t>160</t>
        </is>
      </c>
      <c r="H39" t="inlineStr">
        <is>
          <t>Collapsible Storage Container/Bin</t>
        </is>
      </c>
      <c r="I39" t="inlineStr">
        <is>
          <t>Storage &amp; Organization</t>
        </is>
      </c>
      <c r="J39" s="2" t="n">
        <v>46257</v>
      </c>
      <c r="K39" s="1" t="n">
        <v>5.99</v>
      </c>
    </row>
    <row r="40">
      <c r="A40" s="1">
        <f>SUM(K40,M40,O40,Q40,S40)</f>
        <v/>
      </c>
      <c r="C40" t="inlineStr">
        <is>
          <t>Trader Joe's</t>
        </is>
      </c>
      <c r="D40" t="inlineStr">
        <is>
          <t>NA</t>
        </is>
      </c>
      <c r="E40" t="inlineStr">
        <is>
          <t>EMPIRE KOSHER GROUND TRK</t>
        </is>
      </c>
      <c r="F40" t="inlineStr">
        <is>
          <t>NA</t>
        </is>
      </c>
      <c r="G40" t="inlineStr">
        <is>
          <t>0848</t>
        </is>
      </c>
      <c r="H40" t="inlineStr">
        <is>
          <t>Empire Kosher Ground Turkey</t>
        </is>
      </c>
      <c r="I40" t="inlineStr">
        <is>
          <t>Fresh Poultry</t>
        </is>
      </c>
      <c r="J40" s="2" t="n">
        <v>46258</v>
      </c>
      <c r="K40" s="1" t="n">
        <v>6.99</v>
      </c>
      <c r="L40" s="2" t="n">
        <v>46258</v>
      </c>
      <c r="M40" s="1" t="n">
        <v>6.99</v>
      </c>
    </row>
    <row r="41">
      <c r="A41" s="1">
        <f>SUM(K41,M41,O41,Q41,S41)</f>
        <v/>
      </c>
      <c r="C41" t="inlineStr">
        <is>
          <t>Trader Joe's</t>
        </is>
      </c>
      <c r="D41" t="inlineStr">
        <is>
          <t>NA</t>
        </is>
      </c>
      <c r="E41" t="inlineStr">
        <is>
          <t>R-STRAWBERRIES 1 LB</t>
        </is>
      </c>
      <c r="F41" t="inlineStr">
        <is>
          <t>NA</t>
        </is>
      </c>
      <c r="G41" t="inlineStr">
        <is>
          <t>0848</t>
        </is>
      </c>
      <c r="H41" t="inlineStr">
        <is>
          <t>Strawberries, 1 lb</t>
        </is>
      </c>
      <c r="I41" t="inlineStr">
        <is>
          <t>Fresh Fruit</t>
        </is>
      </c>
      <c r="J41" s="2" t="n">
        <v>46258</v>
      </c>
      <c r="K41" s="1" t="n">
        <v>3.99</v>
      </c>
    </row>
    <row r="42">
      <c r="A42" s="1">
        <f>SUM(K42,M42,O42,Q42,S42)</f>
        <v/>
      </c>
      <c r="C42" t="inlineStr">
        <is>
          <t>Trader Joe's</t>
        </is>
      </c>
      <c r="D42" t="inlineStr">
        <is>
          <t>NA</t>
        </is>
      </c>
      <c r="E42" t="inlineStr">
        <is>
          <t>FIRE ROASTED RED PEPPERS</t>
        </is>
      </c>
      <c r="F42" t="inlineStr">
        <is>
          <t>NA</t>
        </is>
      </c>
      <c r="G42" t="inlineStr">
        <is>
          <t>0848</t>
        </is>
      </c>
      <c r="H42" t="inlineStr">
        <is>
          <t>Fire Roasted Red Peppers</t>
        </is>
      </c>
      <c r="I42" t="inlineStr">
        <is>
          <t>Jarred Vegetables</t>
        </is>
      </c>
      <c r="J42" s="2" t="n">
        <v>46258</v>
      </c>
      <c r="K42" s="1" t="n">
        <v>3.29</v>
      </c>
    </row>
    <row r="43">
      <c r="A43" s="1">
        <f>SUM(K43,M43,O43,Q43,S43)</f>
        <v/>
      </c>
      <c r="C43" t="inlineStr">
        <is>
          <t>Trader Joe's</t>
        </is>
      </c>
      <c r="D43" t="inlineStr">
        <is>
          <t>NA</t>
        </is>
      </c>
      <c r="E43" t="inlineStr">
        <is>
          <t>PASTA CHICKPEA FUSILLI</t>
        </is>
      </c>
      <c r="F43" t="inlineStr">
        <is>
          <t>NA</t>
        </is>
      </c>
      <c r="G43" t="inlineStr">
        <is>
          <t>0848</t>
        </is>
      </c>
      <c r="H43" t="inlineStr">
        <is>
          <t>Chickpea Fusilli Pasta</t>
        </is>
      </c>
      <c r="I43" t="inlineStr">
        <is>
          <t>Pasta</t>
        </is>
      </c>
      <c r="J43" s="2" t="n">
        <v>46258</v>
      </c>
      <c r="K43" s="1" t="n">
        <v>2.99</v>
      </c>
    </row>
    <row r="44">
      <c r="A44" s="1">
        <f>SUM(K44,M44,O44,Q44,S44)</f>
        <v/>
      </c>
      <c r="C44" t="inlineStr">
        <is>
          <t>Trader Joe's</t>
        </is>
      </c>
      <c r="D44" t="inlineStr">
        <is>
          <t>NA</t>
        </is>
      </c>
      <c r="E44" t="inlineStr">
        <is>
          <t>MUFFIN BLUEBERRY GLUTEN</t>
        </is>
      </c>
      <c r="F44" t="inlineStr">
        <is>
          <t>NA</t>
        </is>
      </c>
      <c r="G44" t="inlineStr">
        <is>
          <t>0848</t>
        </is>
      </c>
      <c r="H44" t="inlineStr">
        <is>
          <t>Gluten-Free Blueberry Muffins</t>
        </is>
      </c>
      <c r="I44" t="inlineStr">
        <is>
          <t>Muffins &amp; Pastries</t>
        </is>
      </c>
      <c r="J44" s="2" t="n">
        <v>46258</v>
      </c>
      <c r="K44" s="1" t="n">
        <v>5.99</v>
      </c>
    </row>
    <row r="45">
      <c r="A45" s="1">
        <f>SUM(K45,M45,O45,Q45,S45)</f>
        <v/>
      </c>
      <c r="C45" t="inlineStr">
        <is>
          <t>Honey Pineapple</t>
        </is>
      </c>
      <c r="D45" t="inlineStr">
        <is>
          <t>NA</t>
        </is>
      </c>
      <c r="E45" t="inlineStr">
        <is>
          <t>1 Caramel Macchiato</t>
        </is>
      </c>
      <c r="F45" t="inlineStr">
        <is>
          <t>NA</t>
        </is>
      </c>
      <c r="G45" t="inlineStr">
        <is>
          <t>NA</t>
        </is>
      </c>
      <c r="H45" t="inlineStr">
        <is>
          <t>1 Caramel Macchiato</t>
        </is>
      </c>
      <c r="I45" t="inlineStr">
        <is>
          <t>Prepared Coffee</t>
        </is>
      </c>
      <c r="J45" s="2" t="n">
        <v>46261</v>
      </c>
      <c r="K45" s="1" t="n">
        <v>5.5</v>
      </c>
    </row>
    <row r="46">
      <c r="A46" s="1">
        <f>SUM(K46,M46,O46,Q46,S46)</f>
        <v/>
      </c>
      <c r="C46" t="inlineStr">
        <is>
          <t>Honey Pineapple</t>
        </is>
      </c>
      <c r="D46" t="inlineStr">
        <is>
          <t>NA</t>
        </is>
      </c>
      <c r="E46" t="inlineStr">
        <is>
          <t>1 Iced Caramel Macchiato</t>
        </is>
      </c>
      <c r="F46" t="inlineStr">
        <is>
          <t>NA</t>
        </is>
      </c>
      <c r="G46" t="inlineStr">
        <is>
          <t>NA</t>
        </is>
      </c>
      <c r="H46" t="inlineStr">
        <is>
          <t>1 Iced Caramel Macchiato</t>
        </is>
      </c>
      <c r="I46" t="inlineStr">
        <is>
          <t>Prepared Coffee</t>
        </is>
      </c>
      <c r="J46" s="2" t="n">
        <v>46261</v>
      </c>
      <c r="K46" s="1" t="n">
        <v>5.5</v>
      </c>
    </row>
    <row r="47">
      <c r="A47" s="1">
        <f>SUM(K47,M47,O47,Q47,S47)</f>
        <v/>
      </c>
      <c r="C47" t="inlineStr">
        <is>
          <t>Honey Pineapple</t>
        </is>
      </c>
      <c r="D47" t="inlineStr">
        <is>
          <t>NA</t>
        </is>
      </c>
      <c r="E47" t="inlineStr">
        <is>
          <t>1 Frenchy Plate</t>
        </is>
      </c>
      <c r="F47" t="inlineStr">
        <is>
          <t>LF</t>
        </is>
      </c>
      <c r="G47" t="inlineStr">
        <is>
          <t>NA</t>
        </is>
      </c>
      <c r="H47" t="inlineStr">
        <is>
          <t>1 Frenchy Plate</t>
        </is>
      </c>
      <c r="I47" t="inlineStr">
        <is>
          <t>Prepared Meals</t>
        </is>
      </c>
      <c r="J47" s="2" t="n">
        <v>46261</v>
      </c>
      <c r="K47" s="1" t="n">
        <v>14.9</v>
      </c>
    </row>
    <row r="48">
      <c r="A48" s="1">
        <f>SUM(K48,M48,O48,Q48,S48)</f>
        <v/>
      </c>
      <c r="C48" t="inlineStr">
        <is>
          <t>Honey Pineapple</t>
        </is>
      </c>
      <c r="D48" t="inlineStr">
        <is>
          <t>NA</t>
        </is>
      </c>
      <c r="E48" t="inlineStr">
        <is>
          <t>1 Chicken N French Toast</t>
        </is>
      </c>
      <c r="F48" t="inlineStr">
        <is>
          <t>T</t>
        </is>
      </c>
      <c r="G48" t="inlineStr">
        <is>
          <t>NA</t>
        </is>
      </c>
      <c r="H48" t="inlineStr">
        <is>
          <t>1 Chicken N French Toast</t>
        </is>
      </c>
      <c r="I48" t="inlineStr">
        <is>
          <t>Prepared Meals</t>
        </is>
      </c>
      <c r="J48" s="2" t="n">
        <v>46261</v>
      </c>
      <c r="K48" s="1" t="n">
        <v>16.3</v>
      </c>
    </row>
    <row r="49">
      <c r="A49" s="1">
        <f>SUM(K49,M49,O49,Q49,S49)</f>
        <v/>
      </c>
      <c r="C49" t="inlineStr">
        <is>
          <t>Honey Pineapple</t>
        </is>
      </c>
      <c r="D49" t="inlineStr">
        <is>
          <t>NA</t>
        </is>
      </c>
      <c r="E49" t="inlineStr">
        <is>
          <t>Tax</t>
        </is>
      </c>
      <c r="F49" t="inlineStr">
        <is>
          <t>NA</t>
        </is>
      </c>
      <c r="G49" t="inlineStr">
        <is>
          <t>NA</t>
        </is>
      </c>
      <c r="H49" t="inlineStr">
        <is>
          <t>Tax</t>
        </is>
      </c>
      <c r="I49" t="inlineStr">
        <is>
          <t>Fees &amp; Charges</t>
        </is>
      </c>
      <c r="J49" s="2" t="n">
        <v>46261</v>
      </c>
      <c r="K49" s="1" t="n">
        <v>2.96</v>
      </c>
    </row>
    <row r="50">
      <c r="A50" s="1">
        <f>SUM(K50,M50,O50,Q50,S50)</f>
        <v/>
      </c>
      <c r="C50" t="inlineStr">
        <is>
          <t>Honey Pineapple</t>
        </is>
      </c>
      <c r="D50" t="inlineStr">
        <is>
          <t>NA</t>
        </is>
      </c>
      <c r="E50" t="inlineStr">
        <is>
          <t>Tip</t>
        </is>
      </c>
      <c r="F50" t="inlineStr">
        <is>
          <t>NA</t>
        </is>
      </c>
      <c r="G50" t="inlineStr">
        <is>
          <t>NA</t>
        </is>
      </c>
      <c r="H50" t="inlineStr">
        <is>
          <t>Tip</t>
        </is>
      </c>
      <c r="I50" t="inlineStr">
        <is>
          <t>Fees &amp; Charges</t>
        </is>
      </c>
      <c r="J50" s="2" t="n">
        <v>46261</v>
      </c>
      <c r="K50" s="1" t="n">
        <v>2.96</v>
      </c>
    </row>
    <row r="51">
      <c r="A51" s="1">
        <f>SUM(K51,M51,O51,Q51,S51)</f>
        <v/>
      </c>
      <c r="C51" t="inlineStr">
        <is>
          <t>Walmart</t>
        </is>
      </c>
      <c r="D51" t="inlineStr">
        <is>
          <t>NA</t>
        </is>
      </c>
      <c r="E51" t="inlineStr">
        <is>
          <t>Safety 1 Soft Grip Brush &amp; Comb, Artic Blue</t>
        </is>
      </c>
      <c r="F51" t="inlineStr">
        <is>
          <t>NA</t>
        </is>
      </c>
      <c r="G51" t="inlineStr">
        <is>
          <t>0</t>
        </is>
      </c>
      <c r="H51" t="inlineStr">
        <is>
          <t>Safety 1st Soft Grip Brush &amp; Comb</t>
        </is>
      </c>
      <c r="I51" t="inlineStr">
        <is>
          <t>Baby Care</t>
        </is>
      </c>
      <c r="J51" s="2" t="n">
        <v>46240</v>
      </c>
      <c r="K51" s="1" t="n">
        <v>4.48</v>
      </c>
      <c r="L51" s="2" t="n">
        <v>46241</v>
      </c>
      <c r="M51" s="1" t="n">
        <v>4.48</v>
      </c>
    </row>
    <row r="52">
      <c r="A52" s="1">
        <f>SUM(K52,M52,O52,Q52,S52)</f>
        <v/>
      </c>
      <c r="C52" t="inlineStr">
        <is>
          <t>Walmart</t>
        </is>
      </c>
      <c r="D52" t="inlineStr">
        <is>
          <t>NA</t>
        </is>
      </c>
      <c r="E52" t="inlineStr">
        <is>
          <t>The Honest Company Conditioning Detangler Sweet Cream Comfort 4 floz</t>
        </is>
      </c>
      <c r="F52" t="inlineStr">
        <is>
          <t>NA</t>
        </is>
      </c>
      <c r="G52" t="inlineStr">
        <is>
          <t>0</t>
        </is>
      </c>
      <c r="H52" t="inlineStr">
        <is>
          <t>Honest Company Conditioning Detangler</t>
        </is>
      </c>
      <c r="I52" t="inlineStr">
        <is>
          <t>Hair Care</t>
        </is>
      </c>
      <c r="J52" s="2" t="n">
        <v>46240</v>
      </c>
      <c r="K52" s="1" t="n">
        <v>6.96</v>
      </c>
      <c r="L52" s="2" t="n">
        <v>46241</v>
      </c>
      <c r="M52" s="1" t="n">
        <v>6.96</v>
      </c>
    </row>
    <row r="53">
      <c r="A53" s="1">
        <f>SUM(K53,M53,O53,Q53,S53)</f>
        <v/>
      </c>
      <c r="C53" t="inlineStr">
        <is>
          <t>Walmart</t>
        </is>
      </c>
      <c r="D53" t="inlineStr">
        <is>
          <t>NA</t>
        </is>
      </c>
      <c r="E53" t="inlineStr">
        <is>
          <t>Nestle Toll House Organic Allergen Free Dark Chocolate Regular Baking Chips, Morsels for Baking, 9 oz Bag</t>
        </is>
      </c>
      <c r="F53" t="inlineStr">
        <is>
          <t>NA</t>
        </is>
      </c>
      <c r="G53" t="inlineStr">
        <is>
          <t>0</t>
        </is>
      </c>
      <c r="H53" t="inlineStr">
        <is>
          <t>Nestle Toll House Allergen-Free Dark Chocolate Baking Chips</t>
        </is>
      </c>
      <c r="I53" t="inlineStr">
        <is>
          <t>Baking Ingredients</t>
        </is>
      </c>
      <c r="J53" s="2" t="n">
        <v>46240</v>
      </c>
      <c r="K53" s="1" t="n">
        <v>8.369999999999999</v>
      </c>
      <c r="L53" s="2" t="n">
        <v>46241</v>
      </c>
      <c r="M53" s="1" t="n">
        <v>8.369999999999999</v>
      </c>
    </row>
    <row r="54">
      <c r="A54" s="1">
        <f>SUM(K54,M54,O54,Q54,S54)</f>
        <v/>
      </c>
      <c r="C54" t="inlineStr">
        <is>
          <t>Walmart</t>
        </is>
      </c>
      <c r="D54" t="inlineStr">
        <is>
          <t>NA</t>
        </is>
      </c>
      <c r="E54" t="inlineStr">
        <is>
          <t>GHIRARDELLI Gluten Free Double Chocolate Brownie Mix, Gluten Free Baking Mix, Includes Chocolate Chips, 18 oz Box 20 shopped Qty1</t>
        </is>
      </c>
      <c r="F54" t="inlineStr">
        <is>
          <t>NA</t>
        </is>
      </c>
      <c r="G54" t="inlineStr">
        <is>
          <t>0</t>
        </is>
      </c>
      <c r="H54" t="inlineStr">
        <is>
          <t>Ghirardelli Gluten-Free Double Chocolate Brownie Mix</t>
        </is>
      </c>
      <c r="I54" t="inlineStr">
        <is>
          <t>Baking Mixes</t>
        </is>
      </c>
      <c r="J54" s="2" t="n">
        <v>46240</v>
      </c>
      <c r="K54" s="1" t="n">
        <v>6.67</v>
      </c>
    </row>
    <row r="55">
      <c r="A55" s="1">
        <f>SUM(K55,M55,O55,Q55,S55)</f>
        <v/>
      </c>
      <c r="C55" t="inlineStr">
        <is>
          <t>Walmart</t>
        </is>
      </c>
      <c r="D55" t="inlineStr">
        <is>
          <t>NA</t>
        </is>
      </c>
      <c r="E55" t="inlineStr">
        <is>
          <t>Purina Tidy Cats With Glade Clear Springs Scented, Odor Control, Clumping Multi-Cat Litter 20 shopped Qty2</t>
        </is>
      </c>
      <c r="F55" t="inlineStr">
        <is>
          <t>NA</t>
        </is>
      </c>
      <c r="G55" t="inlineStr">
        <is>
          <t>0</t>
        </is>
      </c>
      <c r="H55" t="inlineStr">
        <is>
          <t>Purina Tidy Cats Clumping Cat Litter</t>
        </is>
      </c>
      <c r="I55" t="inlineStr">
        <is>
          <t>Cat Litter</t>
        </is>
      </c>
      <c r="J55" s="2" t="n">
        <v>46240</v>
      </c>
      <c r="K55" s="1" t="n">
        <v>23.94</v>
      </c>
      <c r="L55" s="2" t="n">
        <v>46241</v>
      </c>
      <c r="M55" s="1" t="n">
        <v>23.94</v>
      </c>
    </row>
    <row r="56">
      <c r="A56" s="1">
        <f>SUM(K56,M56,O56,Q56,S56)</f>
        <v/>
      </c>
      <c r="C56" t="inlineStr">
        <is>
          <t>Walmart</t>
        </is>
      </c>
      <c r="D56" t="inlineStr">
        <is>
          <t>NA</t>
        </is>
      </c>
      <c r="E56" t="inlineStr">
        <is>
          <t>Lawry's Kosher Coarse Ground With Parsley Garlic Salt, 6.0 oz Bottle</t>
        </is>
      </c>
      <c r="F56" t="inlineStr">
        <is>
          <t>NA</t>
        </is>
      </c>
      <c r="G56" t="inlineStr">
        <is>
          <t>0</t>
        </is>
      </c>
      <c r="H56" t="inlineStr">
        <is>
          <t>Lawry's Garlic Salt</t>
        </is>
      </c>
      <c r="I56" t="inlineStr">
        <is>
          <t>Seasonings &amp; Spices</t>
        </is>
      </c>
      <c r="J56" s="2" t="n">
        <v>46240</v>
      </c>
      <c r="K56" s="1" t="n">
        <v>3.16</v>
      </c>
      <c r="L56" s="2" t="n">
        <v>46241</v>
      </c>
      <c r="M56" s="1" t="n">
        <v>3.16</v>
      </c>
    </row>
    <row r="57">
      <c r="A57" s="1">
        <f>SUM(K57,M57,O57,Q57,S57)</f>
        <v/>
      </c>
      <c r="C57" t="inlineStr">
        <is>
          <t>Walmart</t>
        </is>
      </c>
      <c r="D57" t="inlineStr">
        <is>
          <t>NA</t>
        </is>
      </c>
      <c r="E57" t="inlineStr">
        <is>
          <t>Huggies Natural Care Sensitive Baby Wipes, Unscented, 3 Flip-Top Packs, 168 Count 20 shopped Qty1</t>
        </is>
      </c>
      <c r="F57" t="inlineStr">
        <is>
          <t>NA</t>
        </is>
      </c>
      <c r="G57" t="inlineStr">
        <is>
          <t>0</t>
        </is>
      </c>
      <c r="H57" t="inlineStr">
        <is>
          <t>Huggies Natural Care Baby Wipes</t>
        </is>
      </c>
      <c r="I57" t="inlineStr">
        <is>
          <t>Baby Care</t>
        </is>
      </c>
      <c r="J57" s="2" t="n">
        <v>46240</v>
      </c>
      <c r="K57" s="1" t="n">
        <v>5.82</v>
      </c>
      <c r="L57" s="2" t="n">
        <v>46241</v>
      </c>
      <c r="M57" s="1" t="n">
        <v>5.82</v>
      </c>
    </row>
    <row r="58">
      <c r="A58" s="1">
        <f>SUM(K58,M58,O58,Q58,S58)</f>
        <v/>
      </c>
      <c r="C58" t="inlineStr">
        <is>
          <t>Walmart</t>
        </is>
      </c>
      <c r="D58" t="inlineStr">
        <is>
          <t>NA</t>
        </is>
      </c>
      <c r="E58" t="inlineStr">
        <is>
          <t>Pampers Swaddlers Fragrance Free Baby Diapers Size 5, 100 Count (Select for More Options) 20 shopped Qty1</t>
        </is>
      </c>
      <c r="F58" t="inlineStr">
        <is>
          <t>NA</t>
        </is>
      </c>
      <c r="G58" t="inlineStr">
        <is>
          <t>0</t>
        </is>
      </c>
      <c r="H58" t="inlineStr">
        <is>
          <t>Pampers Swaddlers Size 5 Diapers</t>
        </is>
      </c>
      <c r="I58" t="inlineStr">
        <is>
          <t>Baby Care</t>
        </is>
      </c>
      <c r="J58" s="2" t="n">
        <v>46240</v>
      </c>
      <c r="K58" s="1" t="n">
        <v>39.77</v>
      </c>
    </row>
    <row r="59">
      <c r="A59" s="1">
        <f>SUM(K59,M59,O59,Q59,S59)</f>
        <v/>
      </c>
      <c r="C59" t="inlineStr">
        <is>
          <t>Walmart</t>
        </is>
      </c>
      <c r="D59" t="inlineStr">
        <is>
          <t>NA</t>
        </is>
      </c>
      <c r="E59" t="inlineStr">
        <is>
          <t>Chobani Oatmilk Extra Creamy 52 floz Carton 20 shopped aty1</t>
        </is>
      </c>
      <c r="F59" t="inlineStr">
        <is>
          <t>NA</t>
        </is>
      </c>
      <c r="G59" t="inlineStr">
        <is>
          <t>0</t>
        </is>
      </c>
      <c r="H59" t="inlineStr">
        <is>
          <t>Chobani Extra Creamy Oatmilk</t>
        </is>
      </c>
      <c r="I59" t="inlineStr">
        <is>
          <t>Plant-Based Milk</t>
        </is>
      </c>
      <c r="J59" s="2" t="n">
        <v>46240</v>
      </c>
      <c r="K59" s="1" t="n">
        <v>4.17</v>
      </c>
    </row>
    <row r="60">
      <c r="A60" s="1">
        <f>SUM(K60,M60,O60,Q60,S60)</f>
        <v/>
      </c>
      <c r="C60" t="inlineStr">
        <is>
          <t>Walmart</t>
        </is>
      </c>
      <c r="D60" t="inlineStr">
        <is>
          <t>NA</t>
        </is>
      </c>
      <c r="E60" t="inlineStr">
        <is>
          <t>Desitin Maximum Strength Diaper Rash Cream, 40% Zinc Oxide, 4.8 oz</t>
        </is>
      </c>
      <c r="F60" t="inlineStr">
        <is>
          <t>NA</t>
        </is>
      </c>
      <c r="G60" t="inlineStr">
        <is>
          <t>0</t>
        </is>
      </c>
      <c r="H60" t="inlineStr">
        <is>
          <t>Desitin Maximum Strength Diaper Rash Cream</t>
        </is>
      </c>
      <c r="I60" t="inlineStr">
        <is>
          <t>Baby Care</t>
        </is>
      </c>
      <c r="J60" s="2" t="n">
        <v>46240</v>
      </c>
      <c r="K60" s="1" t="n">
        <v>7.97</v>
      </c>
      <c r="L60" s="2" t="n">
        <v>46241</v>
      </c>
      <c r="M60" s="1" t="n">
        <v>7.97</v>
      </c>
    </row>
    <row r="61">
      <c r="A61" s="1">
        <f>SUM(K61,M61,O61,Q61,S61)</f>
        <v/>
      </c>
      <c r="C61" t="inlineStr">
        <is>
          <t>Walmart</t>
        </is>
      </c>
      <c r="D61" t="inlineStr">
        <is>
          <t>NA</t>
        </is>
      </c>
      <c r="E61" t="inlineStr">
        <is>
          <t>fairlife Lactose Free Reduced Fat Chocolate Ultra Filtered Milk, 52 floz</t>
        </is>
      </c>
      <c r="F61" t="inlineStr">
        <is>
          <t>NA</t>
        </is>
      </c>
      <c r="G61" t="inlineStr">
        <is>
          <t>0</t>
        </is>
      </c>
      <c r="H61" t="inlineStr">
        <is>
          <t>Fairlife Chocolate Milk</t>
        </is>
      </c>
      <c r="I61" t="inlineStr">
        <is>
          <t>Milk</t>
        </is>
      </c>
      <c r="J61" s="2" t="n">
        <v>46240</v>
      </c>
      <c r="K61" s="1" t="n">
        <v>5.32</v>
      </c>
      <c r="L61" s="2" t="n">
        <v>46241</v>
      </c>
      <c r="M61" s="1" t="n">
        <v>5.32</v>
      </c>
    </row>
    <row r="62">
      <c r="A62" s="1">
        <f>SUM(K62,M62,O62,Q62,S62)</f>
        <v/>
      </c>
      <c r="C62" t="inlineStr">
        <is>
          <t>Walmart</t>
        </is>
      </c>
      <c r="D62" t="inlineStr">
        <is>
          <t>NA</t>
        </is>
      </c>
      <c r="E62" t="inlineStr">
        <is>
          <t>Nestle Toll House Dark Chocolate Regular Baking Chips, 10 oz Bag 20 shopped Qty1</t>
        </is>
      </c>
      <c r="F62" t="inlineStr">
        <is>
          <t>NA</t>
        </is>
      </c>
      <c r="G62" t="inlineStr">
        <is>
          <t>0</t>
        </is>
      </c>
      <c r="H62" t="inlineStr">
        <is>
          <t>Nestle Toll House Dark Chocolate Baking Chips</t>
        </is>
      </c>
      <c r="I62" t="inlineStr">
        <is>
          <t>Baking Ingredients</t>
        </is>
      </c>
      <c r="J62" s="2" t="n">
        <v>46240</v>
      </c>
      <c r="K62" s="1" t="n">
        <v>4.96</v>
      </c>
    </row>
    <row r="63">
      <c r="A63" s="1">
        <f>SUM(K63,M63,O63,Q63,S63)</f>
        <v/>
      </c>
      <c r="C63" t="inlineStr">
        <is>
          <t>Walmart</t>
        </is>
      </c>
      <c r="D63" t="inlineStr">
        <is>
          <t>NA</t>
        </is>
      </c>
      <c r="E63" t="inlineStr">
        <is>
          <t>Dove Body Wash For 24hr Lotion-Soft Skin Sensitive Skin Moisturizing Skin Cleanser Gentle Hypoallergenic Formula With</t>
        </is>
      </c>
      <c r="F63" t="inlineStr">
        <is>
          <t>NA</t>
        </is>
      </c>
      <c r="G63" t="inlineStr">
        <is>
          <t>0</t>
        </is>
      </c>
      <c r="H63" t="inlineStr">
        <is>
          <t>Dove Sensitive Skin Body Wash</t>
        </is>
      </c>
      <c r="I63" t="inlineStr">
        <is>
          <t>Body Wash</t>
        </is>
      </c>
      <c r="J63" s="2" t="n">
        <v>46240</v>
      </c>
      <c r="K63" t="n">
        <v>4.97</v>
      </c>
      <c r="L63" s="2" t="n">
        <v>46241</v>
      </c>
      <c r="M63" s="1" t="n">
        <v>4.97</v>
      </c>
    </row>
    <row r="64">
      <c r="A64" s="1">
        <f>SUM(K64,M64,O64,Q64,S64)</f>
        <v/>
      </c>
      <c r="C64" t="inlineStr">
        <is>
          <t>Walmart</t>
        </is>
      </c>
      <c r="D64" t="inlineStr">
        <is>
          <t>NA</t>
        </is>
      </c>
      <c r="E64" t="inlineStr">
        <is>
          <t>No Sulfates No Parabens, 11 Floz</t>
        </is>
      </c>
      <c r="F64" t="inlineStr">
        <is>
          <t>NA</t>
        </is>
      </c>
      <c r="G64" t="inlineStr">
        <is>
          <t>0</t>
        </is>
      </c>
      <c r="H64" t="inlineStr">
        <is>
          <t>Dove Sensitive Skin Body Wash</t>
        </is>
      </c>
      <c r="I64" t="inlineStr">
        <is>
          <t>Body Wash</t>
        </is>
      </c>
      <c r="J64" s="2" t="n">
        <v>46240</v>
      </c>
      <c r="K64" s="1" t="n">
        <v>4.97</v>
      </c>
      <c r="L64" s="2" t="n">
        <v>46241</v>
      </c>
      <c r="M64" s="1" t="n">
        <v>4.97</v>
      </c>
    </row>
    <row r="65">
      <c r="A65" s="1">
        <f>SUM(K65,M65,O65,Q65,S65)</f>
        <v/>
      </c>
      <c r="C65" t="inlineStr">
        <is>
          <t>Walmart</t>
        </is>
      </c>
      <c r="D65" t="inlineStr">
        <is>
          <t>NA</t>
        </is>
      </c>
      <c r="E65" t="inlineStr">
        <is>
          <t>Great Value Large White Eggs 36 Count 20 shopped Qty1</t>
        </is>
      </c>
      <c r="F65" t="inlineStr">
        <is>
          <t>NA</t>
        </is>
      </c>
      <c r="G65" t="inlineStr">
        <is>
          <t>0</t>
        </is>
      </c>
      <c r="H65" t="inlineStr">
        <is>
          <t>Great Value Large White Eggs</t>
        </is>
      </c>
      <c r="I65" t="inlineStr">
        <is>
          <t>Eggs</t>
        </is>
      </c>
      <c r="J65" s="2" t="n">
        <v>46240</v>
      </c>
      <c r="K65" s="1" t="n">
        <v>4.88</v>
      </c>
      <c r="L65" s="2" t="n">
        <v>46241</v>
      </c>
      <c r="M65" s="1" t="n">
        <v>4.88</v>
      </c>
    </row>
    <row r="66">
      <c r="A66" s="1">
        <f>SUM(K66,M66,O66,Q66,S66)</f>
        <v/>
      </c>
      <c r="C66" t="inlineStr">
        <is>
          <t>Walmart</t>
        </is>
      </c>
      <c r="D66" t="inlineStr">
        <is>
          <t>NA</t>
        </is>
      </c>
      <c r="E66" t="inlineStr">
        <is>
          <t>Chobani 20G Protein Low-Fat Greek Yogurt Drink, Strawberries and Cream 10 fl oz Bottle, 4 Pack</t>
        </is>
      </c>
      <c r="F66" t="inlineStr">
        <is>
          <t>NA</t>
        </is>
      </c>
      <c r="G66" t="inlineStr">
        <is>
          <t>0</t>
        </is>
      </c>
      <c r="H66" t="inlineStr">
        <is>
          <t>Chobani Protein Greek Yogurt Drink, Strawberries &amp; Cream</t>
        </is>
      </c>
      <c r="I66" t="inlineStr">
        <is>
          <t>Yogurt</t>
        </is>
      </c>
      <c r="J66" s="2" t="n">
        <v>46240</v>
      </c>
      <c r="K66" s="1" t="n">
        <v>9.67</v>
      </c>
      <c r="L66" s="2" t="n">
        <v>46241</v>
      </c>
      <c r="M66" s="1" t="n">
        <v>9.67</v>
      </c>
    </row>
    <row r="67">
      <c r="A67" s="1">
        <f>SUM(K67,M67,O67,Q67,S67)</f>
        <v/>
      </c>
      <c r="C67" t="inlineStr">
        <is>
          <t>Walmart</t>
        </is>
      </c>
      <c r="D67" t="inlineStr">
        <is>
          <t>NA</t>
        </is>
      </c>
      <c r="E67" t="inlineStr">
        <is>
          <t>McCormick Sea Salt Grinder, oz Bottle 20 shopped aty1</t>
        </is>
      </c>
      <c r="F67" t="inlineStr">
        <is>
          <t>NA</t>
        </is>
      </c>
      <c r="G67" t="inlineStr">
        <is>
          <t>0</t>
        </is>
      </c>
      <c r="H67" t="inlineStr">
        <is>
          <t>McCormick Sea Salt Grinder</t>
        </is>
      </c>
      <c r="I67" t="inlineStr">
        <is>
          <t>Seasonings &amp; Spices</t>
        </is>
      </c>
      <c r="J67" s="2" t="n">
        <v>46240</v>
      </c>
      <c r="K67" s="1" t="n">
        <v>2.54</v>
      </c>
    </row>
    <row r="68">
      <c r="A68" s="1">
        <f>SUM(K68,M68,O68,Q68,S68)</f>
        <v/>
      </c>
      <c r="C68" t="inlineStr">
        <is>
          <t>Walmart</t>
        </is>
      </c>
      <c r="D68" t="inlineStr">
        <is>
          <t>NA</t>
        </is>
      </c>
      <c r="E68" t="inlineStr">
        <is>
          <t>Fresh Mandarin Oranges, 5 lb Bag 20 shopped Qty1</t>
        </is>
      </c>
      <c r="F68" t="inlineStr">
        <is>
          <t>NA</t>
        </is>
      </c>
      <c r="G68" t="inlineStr">
        <is>
          <t>0</t>
        </is>
      </c>
      <c r="H68" t="inlineStr">
        <is>
          <t>Mandarin Oranges</t>
        </is>
      </c>
      <c r="I68" t="inlineStr">
        <is>
          <t>Fresh Fruit</t>
        </is>
      </c>
      <c r="J68" s="2" t="n">
        <v>46240</v>
      </c>
      <c r="K68" s="1" t="n">
        <v>7.96</v>
      </c>
      <c r="L68" s="2" t="n">
        <v>46241</v>
      </c>
      <c r="M68" s="1" t="n">
        <v>7.96</v>
      </c>
    </row>
    <row r="69">
      <c r="A69" s="1">
        <f>SUM(K69,M69,O69,Q69,S69)</f>
        <v/>
      </c>
      <c r="C69" t="inlineStr">
        <is>
          <t>Walmart</t>
        </is>
      </c>
      <c r="D69" t="inlineStr">
        <is>
          <t>NA</t>
        </is>
      </c>
      <c r="E69" t="inlineStr">
        <is>
          <t>Fresh Pink Lady Apples, 3lb Bag 20 shopped Qty1</t>
        </is>
      </c>
      <c r="F69" t="inlineStr">
        <is>
          <t>NA</t>
        </is>
      </c>
      <c r="G69" t="inlineStr">
        <is>
          <t>0</t>
        </is>
      </c>
      <c r="H69" t="inlineStr">
        <is>
          <t>Pink Lady Apples</t>
        </is>
      </c>
      <c r="I69" t="inlineStr">
        <is>
          <t>Fresh Fruit</t>
        </is>
      </c>
      <c r="J69" s="2" t="n">
        <v>46240</v>
      </c>
      <c r="K69" s="1" t="n">
        <v>4.97</v>
      </c>
      <c r="L69" s="2" t="n">
        <v>46241</v>
      </c>
      <c r="M69" s="1" t="n">
        <v>4.97</v>
      </c>
    </row>
    <row r="70">
      <c r="A70" s="1">
        <f>SUM(K70,M70,O70,Q70,S70)</f>
        <v/>
      </c>
      <c r="C70" t="inlineStr">
        <is>
          <t>Walmart</t>
        </is>
      </c>
      <c r="D70" t="inlineStr">
        <is>
          <t>NA</t>
        </is>
      </c>
      <c r="E70" t="inlineStr">
        <is>
          <t>Fresh Banana, Each 7 weight adjusted Qty7</t>
        </is>
      </c>
      <c r="F70" t="inlineStr">
        <is>
          <t>NA</t>
        </is>
      </c>
      <c r="G70" t="inlineStr">
        <is>
          <t>0</t>
        </is>
      </c>
      <c r="H70" t="inlineStr">
        <is>
          <t>Bananas</t>
        </is>
      </c>
      <c r="I70" t="inlineStr">
        <is>
          <t>Fresh Fruit</t>
        </is>
      </c>
      <c r="J70" s="2" t="n">
        <v>46240</v>
      </c>
      <c r="K70" s="1" t="n">
        <v>1.83</v>
      </c>
      <c r="L70" s="2" t="n">
        <v>46241</v>
      </c>
      <c r="M70" s="1" t="n">
        <v>1.83</v>
      </c>
      <c r="N70" s="2" t="n">
        <v>46241</v>
      </c>
      <c r="O70" s="1" t="n">
        <v>1.83</v>
      </c>
    </row>
    <row r="71">
      <c r="A71" s="1">
        <f>SUM(K71,M71,O71,Q71,S71)</f>
        <v/>
      </c>
      <c r="C71" t="inlineStr">
        <is>
          <t>Walmart</t>
        </is>
      </c>
      <c r="D71" t="inlineStr">
        <is>
          <t>NA</t>
        </is>
      </c>
      <c r="E71" t="inlineStr">
        <is>
          <t>CeraVe Baby Healing Ointment for Diaper Rash &amp; Cracked Chafed Dry Skin for Baby + Toddler 3 oz</t>
        </is>
      </c>
      <c r="F71" t="inlineStr">
        <is>
          <t>NA</t>
        </is>
      </c>
      <c r="G71" t="inlineStr">
        <is>
          <t>0</t>
        </is>
      </c>
      <c r="H71" t="inlineStr">
        <is>
          <t>CeraVe Baby Healing Ointment</t>
        </is>
      </c>
      <c r="I71" t="inlineStr">
        <is>
          <t>Baby Care</t>
        </is>
      </c>
      <c r="J71" s="2" t="n">
        <v>46240</v>
      </c>
      <c r="K71" s="1" t="n">
        <v>9.98</v>
      </c>
      <c r="L71" s="2" t="n">
        <v>46241</v>
      </c>
      <c r="M71" s="1" t="n">
        <v>9.98</v>
      </c>
    </row>
    <row r="72">
      <c r="A72" s="1">
        <f>SUM(K72,M72,O72,Q72,S72)</f>
        <v/>
      </c>
      <c r="C72" t="inlineStr">
        <is>
          <t>Walmart</t>
        </is>
      </c>
      <c r="D72" t="inlineStr">
        <is>
          <t>NA</t>
        </is>
      </c>
      <c r="E72" t="inlineStr">
        <is>
          <t>Fresh Banana, Each 7 weight adjusted Qty7</t>
        </is>
      </c>
      <c r="F72" t="inlineStr">
        <is>
          <t>NA</t>
        </is>
      </c>
      <c r="G72" t="inlineStr">
        <is>
          <t>0</t>
        </is>
      </c>
      <c r="H72" t="inlineStr">
        <is>
          <t>Bananas</t>
        </is>
      </c>
      <c r="I72" t="inlineStr">
        <is>
          <t>Fresh Fruit</t>
        </is>
      </c>
      <c r="J72" s="2" t="n">
        <v>46240</v>
      </c>
      <c r="K72" s="1" t="n">
        <v>3.48</v>
      </c>
    </row>
    <row r="73">
      <c r="A73" s="1">
        <f>SUM(K73,M73,O73,Q73,S73)</f>
        <v/>
      </c>
      <c r="C73" t="inlineStr">
        <is>
          <t>Walmart</t>
        </is>
      </c>
      <c r="D73" t="inlineStr">
        <is>
          <t>NA</t>
        </is>
      </c>
      <c r="E73" t="inlineStr">
        <is>
          <t>Tax</t>
        </is>
      </c>
      <c r="F73" t="inlineStr">
        <is>
          <t>NA</t>
        </is>
      </c>
      <c r="G73" t="inlineStr">
        <is>
          <t>0</t>
        </is>
      </c>
      <c r="H73" t="inlineStr">
        <is>
          <t>Tax</t>
        </is>
      </c>
      <c r="I73" t="inlineStr">
        <is>
          <t>Fees &amp; Charges</t>
        </is>
      </c>
      <c r="J73" s="2" t="n">
        <v>46240</v>
      </c>
      <c r="K73" s="1" t="n">
        <v>3.48</v>
      </c>
      <c r="L73" s="2" t="n">
        <v>46241</v>
      </c>
      <c r="M73" s="1" t="n">
        <v>3.48</v>
      </c>
      <c r="N73" s="2" t="n">
        <v>46247</v>
      </c>
      <c r="O73" s="1" t="n">
        <v>1.76</v>
      </c>
      <c r="P73" s="2" t="n">
        <v>46260</v>
      </c>
      <c r="Q73" s="1" t="n">
        <v>6.35</v>
      </c>
      <c r="R73" s="2" t="n">
        <v>46260</v>
      </c>
      <c r="S73" s="1" t="n">
        <v>6.35</v>
      </c>
    </row>
    <row r="74">
      <c r="A74" s="1">
        <f>SUM(K74,M74,O74,Q74,S74)</f>
        <v/>
      </c>
      <c r="C74" t="inlineStr">
        <is>
          <t>Walmart</t>
        </is>
      </c>
      <c r="D74" t="inlineStr">
        <is>
          <t>NA</t>
        </is>
      </c>
      <c r="E74" t="inlineStr">
        <is>
          <t>Driver tip</t>
        </is>
      </c>
      <c r="F74" t="inlineStr">
        <is>
          <t>NA</t>
        </is>
      </c>
      <c r="G74" t="inlineStr">
        <is>
          <t>0</t>
        </is>
      </c>
      <c r="H74" t="inlineStr">
        <is>
          <t>Driver Tip</t>
        </is>
      </c>
      <c r="I74" t="inlineStr">
        <is>
          <t>Fees &amp; Charges</t>
        </is>
      </c>
      <c r="J74" s="2" t="n">
        <v>46240</v>
      </c>
      <c r="K74" s="1" t="n">
        <v>16.92</v>
      </c>
      <c r="L74" s="2" t="n">
        <v>46247</v>
      </c>
      <c r="M74" s="1" t="n">
        <v>17.72</v>
      </c>
      <c r="N74" s="2" t="n">
        <v>46260</v>
      </c>
      <c r="O74" s="1" t="n">
        <v>12.14</v>
      </c>
    </row>
    <row r="75">
      <c r="A75" s="1">
        <f>SUM(K75,M75,O75,Q75,S75)</f>
        <v/>
      </c>
      <c r="C75" t="inlineStr">
        <is>
          <t>Walmart</t>
        </is>
      </c>
      <c r="D75" t="inlineStr">
        <is>
          <t>NA</t>
        </is>
      </c>
      <c r="E75" t="inlineStr">
        <is>
          <t>3 hours orless</t>
        </is>
      </c>
      <c r="F75" t="inlineStr">
        <is>
          <t>NA</t>
        </is>
      </c>
      <c r="G75" t="inlineStr">
        <is>
          <t>0</t>
        </is>
      </c>
      <c r="H75" t="inlineStr">
        <is>
          <t>Express Delivery Fee</t>
        </is>
      </c>
      <c r="I75" t="inlineStr">
        <is>
          <t>Fees &amp; Charges</t>
        </is>
      </c>
      <c r="J75" s="2" t="n">
        <v>46240</v>
      </c>
      <c r="K75" s="1" t="n">
        <v>5</v>
      </c>
    </row>
    <row r="76">
      <c r="A76" s="1">
        <f>SUM(K76,M76,O76,Q76,S76)</f>
        <v/>
      </c>
      <c r="C76" t="inlineStr">
        <is>
          <t>Walmart</t>
        </is>
      </c>
      <c r="D76" t="inlineStr">
        <is>
          <t>NA</t>
        </is>
      </c>
      <c r="E76" t="inlineStr">
        <is>
          <t>diff</t>
        </is>
      </c>
      <c r="F76" t="inlineStr">
        <is>
          <t>NA</t>
        </is>
      </c>
      <c r="G76" t="inlineStr">
        <is>
          <t>0</t>
        </is>
      </c>
      <c r="H76" t="inlineStr">
        <is>
          <t>Price Adjustment</t>
        </is>
      </c>
      <c r="I76" t="inlineStr">
        <is>
          <t>Fees &amp; Charges</t>
        </is>
      </c>
      <c r="J76" s="2" t="n">
        <v>46240</v>
      </c>
      <c r="K76" s="1" t="n">
        <v>2.77</v>
      </c>
    </row>
    <row r="77">
      <c r="A77" s="1">
        <f>SUM(K77,M77,O77,Q77,S77)</f>
        <v/>
      </c>
      <c r="C77" t="inlineStr">
        <is>
          <t>Walmart</t>
        </is>
      </c>
      <c r="D77" t="inlineStr">
        <is>
          <t>NA</t>
        </is>
      </c>
      <c r="E77" t="inlineStr">
        <is>
          <t>GHIRARDELLI Gluten Free Double Chocolate Brownie Mix, Gluten Free Baking Mix, Includes Chocolate Chips, 18 oz Box</t>
        </is>
      </c>
      <c r="F77" t="inlineStr">
        <is>
          <t>NA</t>
        </is>
      </c>
      <c r="G77" t="inlineStr">
        <is>
          <t>0</t>
        </is>
      </c>
      <c r="H77" t="inlineStr">
        <is>
          <t>Ghirardelli Gluten-Free Double Chocolate Brownie Mix</t>
        </is>
      </c>
      <c r="I77" t="inlineStr">
        <is>
          <t>Baking Mixes</t>
        </is>
      </c>
      <c r="J77" s="2" t="n">
        <v>46241</v>
      </c>
      <c r="K77" s="1" t="n">
        <v>6.67</v>
      </c>
    </row>
    <row r="78">
      <c r="A78" s="1">
        <f>SUM(K78,M78,O78,Q78,S78)</f>
        <v/>
      </c>
      <c r="C78" t="inlineStr">
        <is>
          <t>Walmart</t>
        </is>
      </c>
      <c r="D78" t="inlineStr">
        <is>
          <t>NA</t>
        </is>
      </c>
      <c r="E78" t="inlineStr">
        <is>
          <t>Pampers Swaddlers Fragrance Free Baby Diapers Size 5, 100 Count (Select for More Options</t>
        </is>
      </c>
      <c r="F78" t="inlineStr">
        <is>
          <t>NA</t>
        </is>
      </c>
      <c r="G78" t="inlineStr">
        <is>
          <t>0</t>
        </is>
      </c>
      <c r="H78" t="inlineStr">
        <is>
          <t>Pampers Swaddlers Size 5 Diapers</t>
        </is>
      </c>
      <c r="I78" t="inlineStr">
        <is>
          <t>Baby Care</t>
        </is>
      </c>
      <c r="J78" s="2" t="n">
        <v>46241</v>
      </c>
      <c r="K78" s="1" t="n">
        <v>39.77</v>
      </c>
    </row>
    <row r="79">
      <c r="A79" s="1">
        <f>SUM(K79,M79,O79,Q79,S79)</f>
        <v/>
      </c>
      <c r="C79" t="inlineStr">
        <is>
          <t>Walmart</t>
        </is>
      </c>
      <c r="D79" t="inlineStr">
        <is>
          <t>NA</t>
        </is>
      </c>
      <c r="E79" t="inlineStr">
        <is>
          <t>Chobani Oatmitk Extra Creamy 52 floz Carton 20 shopped Qty1</t>
        </is>
      </c>
      <c r="F79" t="inlineStr">
        <is>
          <t>NA</t>
        </is>
      </c>
      <c r="G79" t="inlineStr">
        <is>
          <t>0</t>
        </is>
      </c>
      <c r="H79" t="inlineStr">
        <is>
          <t>Chobani Extra Creamy Oatmilk</t>
        </is>
      </c>
      <c r="I79" t="inlineStr">
        <is>
          <t>Plant-Based Milk</t>
        </is>
      </c>
      <c r="J79" s="2" t="n">
        <v>46241</v>
      </c>
      <c r="K79" s="1" t="n">
        <v>4.17</v>
      </c>
    </row>
    <row r="80">
      <c r="A80" s="1">
        <f>SUM(K80,M80,O80,Q80,S80)</f>
        <v/>
      </c>
      <c r="C80" t="inlineStr">
        <is>
          <t>Walmart</t>
        </is>
      </c>
      <c r="D80" t="inlineStr">
        <is>
          <t>NA</t>
        </is>
      </c>
      <c r="E80" t="inlineStr">
        <is>
          <t>Nestle Tolt House Dark Chocolate Regular Baking Chips, 10 oz Bag 20 shopped Qty1</t>
        </is>
      </c>
      <c r="F80" t="inlineStr">
        <is>
          <t>NA</t>
        </is>
      </c>
      <c r="G80" t="inlineStr">
        <is>
          <t>0</t>
        </is>
      </c>
      <c r="H80" t="inlineStr">
        <is>
          <t>Nestle Toll House Dark Chocolate Baking Chips</t>
        </is>
      </c>
      <c r="I80" t="inlineStr">
        <is>
          <t>Baking Ingredients</t>
        </is>
      </c>
      <c r="J80" s="2" t="n">
        <v>46241</v>
      </c>
      <c r="K80" s="1" t="n">
        <v>4.96</v>
      </c>
    </row>
    <row r="81">
      <c r="A81" s="1">
        <f>SUM(K81,M81,O81,Q81,S81)</f>
        <v/>
      </c>
      <c r="C81" t="inlineStr">
        <is>
          <t>Walmart</t>
        </is>
      </c>
      <c r="D81" t="inlineStr">
        <is>
          <t>NA</t>
        </is>
      </c>
      <c r="E81" t="inlineStr">
        <is>
          <t>Applegate Natural Chicken &amp; Maple Breakfast Sausage Patties, 16 oz, GF, Resealable Bag (Frozen), About 15 Pieces per Bag</t>
        </is>
      </c>
      <c r="F81" t="inlineStr">
        <is>
          <t>NA</t>
        </is>
      </c>
      <c r="G81" t="inlineStr">
        <is>
          <t>0</t>
        </is>
      </c>
      <c r="H81" t="inlineStr">
        <is>
          <t>Applegate Chicken &amp; Maple Breakfast Sausage</t>
        </is>
      </c>
      <c r="I81" t="inlineStr">
        <is>
          <t>Frozen Meat</t>
        </is>
      </c>
      <c r="J81" s="2" t="n">
        <v>46241</v>
      </c>
      <c r="K81" s="1" t="n">
        <v>11.76</v>
      </c>
    </row>
    <row r="82">
      <c r="A82" s="1">
        <f>SUM(K82,M82,O82,Q82,S82)</f>
        <v/>
      </c>
      <c r="C82" t="inlineStr">
        <is>
          <t>Walmart</t>
        </is>
      </c>
      <c r="D82" t="inlineStr">
        <is>
          <t>NA</t>
        </is>
      </c>
      <c r="E82" t="inlineStr">
        <is>
          <t>McCormick Sea Salt Grinder, oz Bottle 20 shopped Qty1</t>
        </is>
      </c>
      <c r="F82" t="inlineStr">
        <is>
          <t>NA</t>
        </is>
      </c>
      <c r="G82" t="inlineStr">
        <is>
          <t>0</t>
        </is>
      </c>
      <c r="H82" t="inlineStr">
        <is>
          <t>McCormick Sea Salt Grinder</t>
        </is>
      </c>
      <c r="I82" t="inlineStr">
        <is>
          <t>Seasonings &amp; Spices</t>
        </is>
      </c>
      <c r="J82" s="2" t="n">
        <v>46241</v>
      </c>
      <c r="K82" s="1" t="n">
        <v>2.54</v>
      </c>
    </row>
    <row r="83">
      <c r="A83" s="1">
        <f>SUM(K83,M83,O83,Q83,S83)</f>
        <v/>
      </c>
      <c r="C83" t="inlineStr">
        <is>
          <t>Walmart</t>
        </is>
      </c>
      <c r="D83" t="inlineStr">
        <is>
          <t>NA</t>
        </is>
      </c>
      <c r="E83" t="inlineStr">
        <is>
          <t>3 hours or less</t>
        </is>
      </c>
      <c r="F83" t="inlineStr">
        <is>
          <t>NA</t>
        </is>
      </c>
      <c r="G83" t="inlineStr">
        <is>
          <t>0</t>
        </is>
      </c>
      <c r="H83" t="inlineStr">
        <is>
          <t>Express Delivery Fee</t>
        </is>
      </c>
      <c r="I83" t="inlineStr">
        <is>
          <t>Fees &amp; Charges</t>
        </is>
      </c>
      <c r="J83" s="2" t="n">
        <v>46241</v>
      </c>
      <c r="K83" s="1" t="n">
        <v>5</v>
      </c>
    </row>
    <row r="84">
      <c r="A84" s="1">
        <f>SUM(K84,M84,O84,Q84,S84)</f>
        <v/>
      </c>
      <c r="C84" t="inlineStr">
        <is>
          <t>Walmart</t>
        </is>
      </c>
      <c r="D84" t="inlineStr">
        <is>
          <t>NA</t>
        </is>
      </c>
      <c r="E84" t="inlineStr">
        <is>
          <t>Nature's Bakery Gluten Free Raspberry Fig Bars in Twin pack Box, 20z Each 36 shopped Qty1</t>
        </is>
      </c>
      <c r="F84" t="inlineStr">
        <is>
          <t>NA</t>
        </is>
      </c>
      <c r="G84" t="inlineStr">
        <is>
          <t>0</t>
        </is>
      </c>
      <c r="H84" t="inlineStr">
        <is>
          <t>Nature's Bakery Gluten-Free Raspberry Fig Bars</t>
        </is>
      </c>
      <c r="I84" t="inlineStr">
        <is>
          <t>Snack Bars</t>
        </is>
      </c>
      <c r="J84" s="2" t="n">
        <v>46247</v>
      </c>
      <c r="K84" s="1" t="n">
        <v>5.97</v>
      </c>
    </row>
    <row r="85">
      <c r="A85" s="1">
        <f>SUM(K85,M85,O85,Q85,S85)</f>
        <v/>
      </c>
      <c r="C85" t="inlineStr">
        <is>
          <t>Walmart</t>
        </is>
      </c>
      <c r="D85" t="inlineStr">
        <is>
          <t>NA</t>
        </is>
      </c>
      <c r="E85" t="inlineStr">
        <is>
          <t>Mahatma Jasmine Rice, Thai Fragrant Long Grain Rice, Gluten Free, 80 oz Bag (5 lbs</t>
        </is>
      </c>
      <c r="F85" t="inlineStr">
        <is>
          <t>NA</t>
        </is>
      </c>
      <c r="G85" t="inlineStr">
        <is>
          <t>0</t>
        </is>
      </c>
      <c r="H85" t="inlineStr">
        <is>
          <t>Mahatma Jasmine Rice</t>
        </is>
      </c>
      <c r="I85" t="inlineStr">
        <is>
          <t>Rice &amp; Grains</t>
        </is>
      </c>
      <c r="J85" s="2" t="n">
        <v>46247</v>
      </c>
      <c r="K85" s="1" t="n">
        <v>6.88</v>
      </c>
    </row>
    <row r="86">
      <c r="A86" s="1">
        <f>SUM(K86,M86,O86,Q86,S86)</f>
        <v/>
      </c>
      <c r="C86" t="inlineStr">
        <is>
          <t>Walmart</t>
        </is>
      </c>
      <c r="D86" t="inlineStr">
        <is>
          <t>NA</t>
        </is>
      </c>
      <c r="E86" t="inlineStr">
        <is>
          <t>Hillshire Farm Ultra Thin Oven Roasted Turkey Breast Lunchmeat, 16 oz Plastic Tub, Refrigerated</t>
        </is>
      </c>
      <c r="F86" t="inlineStr">
        <is>
          <t>NA</t>
        </is>
      </c>
      <c r="G86" t="inlineStr">
        <is>
          <t>0</t>
        </is>
      </c>
      <c r="H86" t="inlineStr">
        <is>
          <t>Hillshire Farm Oven Roasted Turkey Breast</t>
        </is>
      </c>
      <c r="I86" t="inlineStr">
        <is>
          <t>Deli Meat</t>
        </is>
      </c>
      <c r="J86" s="2" t="n">
        <v>46247</v>
      </c>
      <c r="K86" s="1" t="n">
        <v>6.48</v>
      </c>
    </row>
    <row r="87">
      <c r="A87" s="1">
        <f>SUM(K87,M87,O87,Q87,S87)</f>
        <v/>
      </c>
      <c r="C87" t="inlineStr">
        <is>
          <t>Walmart</t>
        </is>
      </c>
      <c r="D87" t="inlineStr">
        <is>
          <t>NA</t>
        </is>
      </c>
      <c r="E87" t="inlineStr">
        <is>
          <t>Hebrew National 100% Kosher Beef Franks, Hot Dogs, 10.3 oz 6 Count</t>
        </is>
      </c>
      <c r="F87" t="inlineStr">
        <is>
          <t>NA</t>
        </is>
      </c>
      <c r="G87" t="inlineStr">
        <is>
          <t>0</t>
        </is>
      </c>
      <c r="H87" t="inlineStr">
        <is>
          <t>Hebrew National Beef Franks</t>
        </is>
      </c>
      <c r="I87" t="inlineStr">
        <is>
          <t>Hot Dogs &amp; Sausages</t>
        </is>
      </c>
      <c r="J87" s="2" t="n">
        <v>46247</v>
      </c>
      <c r="K87" s="1" t="n">
        <v>5.74</v>
      </c>
    </row>
    <row r="88">
      <c r="A88" s="1">
        <f>SUM(K88,M88,O88,Q88,S88)</f>
        <v/>
      </c>
      <c r="C88" t="inlineStr">
        <is>
          <t>Walmart</t>
        </is>
      </c>
      <c r="D88" t="inlineStr">
        <is>
          <t>NA</t>
        </is>
      </c>
      <c r="E88" t="inlineStr">
        <is>
          <t>Dave's Killer Bread Organic Oats &amp; Blues Regular Size Loaf, 25 oz, USDA Organic</t>
        </is>
      </c>
      <c r="F88" t="inlineStr">
        <is>
          <t>NA</t>
        </is>
      </c>
      <c r="G88" t="inlineStr">
        <is>
          <t>0</t>
        </is>
      </c>
      <c r="H88" t="inlineStr">
        <is>
          <t>Dave's Killer Bread Oats &amp; Blues</t>
        </is>
      </c>
      <c r="I88" t="inlineStr">
        <is>
          <t>Bread</t>
        </is>
      </c>
      <c r="J88" s="2" t="n">
        <v>46247</v>
      </c>
      <c r="K88" s="1" t="n">
        <v>5.98</v>
      </c>
    </row>
    <row r="89">
      <c r="A89" s="1">
        <f>SUM(K89,M89,O89,Q89,S89)</f>
        <v/>
      </c>
      <c r="C89" t="inlineStr">
        <is>
          <t>Walmart</t>
        </is>
      </c>
      <c r="D89" t="inlineStr">
        <is>
          <t>NA</t>
        </is>
      </c>
      <c r="E89" t="inlineStr">
        <is>
          <t>Birds Eye Steamfresh Sweet Peas, Frozen Vegetables, 10 oz. Bag</t>
        </is>
      </c>
      <c r="F89" t="inlineStr">
        <is>
          <t>NA</t>
        </is>
      </c>
      <c r="G89" t="inlineStr">
        <is>
          <t>0</t>
        </is>
      </c>
      <c r="H89" t="inlineStr">
        <is>
          <t>Birds Eye Steamfresh Sweet Peas</t>
        </is>
      </c>
      <c r="I89" t="inlineStr">
        <is>
          <t>Frozen Vegetables</t>
        </is>
      </c>
      <c r="J89" s="2" t="n">
        <v>46247</v>
      </c>
      <c r="K89" s="1" t="n">
        <v>1.27</v>
      </c>
    </row>
    <row r="90">
      <c r="A90" s="1">
        <f>SUM(K90,M90,O90,Q90,S90)</f>
        <v/>
      </c>
      <c r="C90" t="inlineStr">
        <is>
          <t>Walmart</t>
        </is>
      </c>
      <c r="D90" t="inlineStr">
        <is>
          <t>NA</t>
        </is>
      </c>
      <c r="E90" t="inlineStr">
        <is>
          <t>Cabot Creamery 4 Cheese Mexican Shredded Cheddar Cheese 2 lb (Refrigerated</t>
        </is>
      </c>
      <c r="F90" t="inlineStr">
        <is>
          <t>NA</t>
        </is>
      </c>
      <c r="G90" t="inlineStr">
        <is>
          <t>0</t>
        </is>
      </c>
      <c r="H90" t="inlineStr">
        <is>
          <t>Cabot Mexican Shredded Cheese</t>
        </is>
      </c>
      <c r="I90" t="inlineStr">
        <is>
          <t>Cheese</t>
        </is>
      </c>
      <c r="J90" s="2" t="n">
        <v>46247</v>
      </c>
      <c r="K90" s="1" t="n">
        <v>11.93</v>
      </c>
    </row>
    <row r="91">
      <c r="A91" s="1">
        <f>SUM(K91,M91,O91,Q91,S91)</f>
        <v/>
      </c>
      <c r="C91" t="inlineStr">
        <is>
          <t>Walmart</t>
        </is>
      </c>
      <c r="D91" t="inlineStr">
        <is>
          <t>NA</t>
        </is>
      </c>
      <c r="E91" t="inlineStr">
        <is>
          <t>Ziploc Brand Slider Gallon Freezer Food Storage Bags, School Supplies, with Power Shield Technology, 40 Count</t>
        </is>
      </c>
      <c r="F91" t="inlineStr">
        <is>
          <t>NA</t>
        </is>
      </c>
      <c r="G91" t="inlineStr">
        <is>
          <t>0</t>
        </is>
      </c>
      <c r="H91" t="inlineStr">
        <is>
          <t>Ziploc Gallon Freezer Bags</t>
        </is>
      </c>
      <c r="I91" t="inlineStr">
        <is>
          <t>Food Storage</t>
        </is>
      </c>
      <c r="J91" s="2" t="n">
        <v>46247</v>
      </c>
      <c r="K91" s="1" t="n">
        <v>7.98</v>
      </c>
    </row>
    <row r="92">
      <c r="A92" s="1">
        <f>SUM(K92,M92,O92,Q92,S92)</f>
        <v/>
      </c>
      <c r="C92" t="inlineStr">
        <is>
          <t>Walmart</t>
        </is>
      </c>
      <c r="D92" t="inlineStr">
        <is>
          <t>NA</t>
        </is>
      </c>
      <c r="E92" t="inlineStr">
        <is>
          <t>Ziploc Brand Freezer Food Storage Bags, School Supplies, with Grip 'n Seal Technology, Zipper, Quart, 50 Count</t>
        </is>
      </c>
      <c r="F92" t="inlineStr">
        <is>
          <t>NA</t>
        </is>
      </c>
      <c r="G92" t="inlineStr">
        <is>
          <t>0</t>
        </is>
      </c>
      <c r="H92" t="inlineStr">
        <is>
          <t>Ziploc Quart Freezer Bags</t>
        </is>
      </c>
      <c r="I92" t="inlineStr">
        <is>
          <t>Food Storage</t>
        </is>
      </c>
      <c r="J92" s="2" t="n">
        <v>46247</v>
      </c>
      <c r="K92" s="1" t="n">
        <v>6.48</v>
      </c>
    </row>
    <row r="93">
      <c r="A93" s="1">
        <f>SUM(K93,M93,O93,Q93,S93)</f>
        <v/>
      </c>
      <c r="C93" t="inlineStr">
        <is>
          <t>Walmart</t>
        </is>
      </c>
      <c r="D93" t="inlineStr">
        <is>
          <t>NA</t>
        </is>
      </c>
      <c r="E93" t="inlineStr">
        <is>
          <t>Fresh Mini Cucumbers, 16 oz</t>
        </is>
      </c>
      <c r="F93" t="inlineStr">
        <is>
          <t>NA</t>
        </is>
      </c>
      <c r="G93" t="inlineStr">
        <is>
          <t>0</t>
        </is>
      </c>
      <c r="H93" t="inlineStr">
        <is>
          <t>Mini Cucumbers</t>
        </is>
      </c>
      <c r="I93" t="inlineStr">
        <is>
          <t>Fresh Vegetables</t>
        </is>
      </c>
      <c r="J93" s="2" t="n">
        <v>46247</v>
      </c>
      <c r="K93" s="1" t="n">
        <v>2.08</v>
      </c>
    </row>
    <row r="94">
      <c r="A94" s="1">
        <f>SUM(K94,M94,O94,Q94,S94)</f>
        <v/>
      </c>
      <c r="C94" t="inlineStr">
        <is>
          <t>Walmart</t>
        </is>
      </c>
      <c r="D94" t="inlineStr">
        <is>
          <t>NA</t>
        </is>
      </c>
      <c r="E94" t="inlineStr">
        <is>
          <t>2 pack) Yehuda Sabbath Candles,12ct</t>
        </is>
      </c>
      <c r="F94" t="inlineStr">
        <is>
          <t>T</t>
        </is>
      </c>
      <c r="G94" t="inlineStr">
        <is>
          <t>0</t>
        </is>
      </c>
      <c r="H94" t="inlineStr">
        <is>
          <t>Yehuda Sabbath Candles</t>
        </is>
      </c>
      <c r="I94" t="inlineStr">
        <is>
          <t>Judaica</t>
        </is>
      </c>
      <c r="J94" s="2" t="n">
        <v>46247</v>
      </c>
      <c r="K94" s="1" t="n">
        <v>3.16</v>
      </c>
    </row>
    <row r="95">
      <c r="A95" s="1">
        <f>SUM(K95,M95,O95,Q95,S95)</f>
        <v/>
      </c>
      <c r="C95" t="inlineStr">
        <is>
          <t>Walmart</t>
        </is>
      </c>
      <c r="D95" t="inlineStr">
        <is>
          <t>NA</t>
        </is>
      </c>
      <c r="E95" t="inlineStr">
        <is>
          <t>Fresh Yellow Squash, Each 11 weight adjusted aty1</t>
        </is>
      </c>
      <c r="F95" t="inlineStr">
        <is>
          <t>NA</t>
        </is>
      </c>
      <c r="G95" t="inlineStr">
        <is>
          <t>0</t>
        </is>
      </c>
      <c r="H95" t="inlineStr">
        <is>
          <t>Yellow Squash</t>
        </is>
      </c>
      <c r="I95" t="inlineStr">
        <is>
          <t>Fresh Vegetables</t>
        </is>
      </c>
      <c r="J95" s="2" t="n">
        <v>46247</v>
      </c>
      <c r="K95" s="1" t="n">
        <v>0.42</v>
      </c>
      <c r="L95" s="2" t="n">
        <v>46247</v>
      </c>
      <c r="M95" s="1" t="n">
        <v>0.42</v>
      </c>
    </row>
    <row r="96">
      <c r="A96" s="1">
        <f>SUM(K96,M96,O96,Q96,S96)</f>
        <v/>
      </c>
      <c r="C96" t="inlineStr">
        <is>
          <t>Walmart</t>
        </is>
      </c>
      <c r="D96" t="inlineStr">
        <is>
          <t>NA</t>
        </is>
      </c>
      <c r="E96" t="inlineStr">
        <is>
          <t>Fresh Zucchini, Each 11 weight adjusted aty1</t>
        </is>
      </c>
      <c r="F96" t="inlineStr">
        <is>
          <t>NA</t>
        </is>
      </c>
      <c r="G96" t="inlineStr">
        <is>
          <t>0</t>
        </is>
      </c>
      <c r="H96" t="inlineStr">
        <is>
          <t>Zucchini</t>
        </is>
      </c>
      <c r="I96" t="inlineStr">
        <is>
          <t>Fresh Vegetables</t>
        </is>
      </c>
      <c r="J96" s="2" t="n">
        <v>46247</v>
      </c>
      <c r="K96" s="1" t="n">
        <v>0.6</v>
      </c>
      <c r="L96" s="2" t="n">
        <v>46247</v>
      </c>
      <c r="M96" s="1" t="n">
        <v>0.6</v>
      </c>
    </row>
    <row r="97">
      <c r="A97" s="1">
        <f>SUM(K97,M97,O97,Q97,S97)</f>
        <v/>
      </c>
      <c r="C97" t="inlineStr">
        <is>
          <t>Walmart</t>
        </is>
      </c>
      <c r="D97" t="inlineStr">
        <is>
          <t>NA</t>
        </is>
      </c>
      <c r="E97" t="inlineStr">
        <is>
          <t>Fresh Whole Red Onion, Each</t>
        </is>
      </c>
      <c r="F97" t="inlineStr">
        <is>
          <t>NA</t>
        </is>
      </c>
      <c r="G97" t="inlineStr">
        <is>
          <t>0</t>
        </is>
      </c>
      <c r="H97" t="inlineStr">
        <is>
          <t>Red Onion</t>
        </is>
      </c>
      <c r="I97" t="inlineStr">
        <is>
          <t>Fresh Vegetables</t>
        </is>
      </c>
      <c r="J97" s="2" t="n">
        <v>46247</v>
      </c>
      <c r="K97" s="1" t="n">
        <v>0.88</v>
      </c>
      <c r="L97" s="2" t="n">
        <v>46247</v>
      </c>
      <c r="M97" s="1" t="n">
        <v>0.88</v>
      </c>
    </row>
    <row r="98">
      <c r="A98" s="1">
        <f>SUM(K98,M98,O98,Q98,S98)</f>
        <v/>
      </c>
      <c r="C98" t="inlineStr">
        <is>
          <t>Walmart</t>
        </is>
      </c>
      <c r="D98" t="inlineStr">
        <is>
          <t>NA</t>
        </is>
      </c>
      <c r="E98" t="inlineStr">
        <is>
          <t>Fresh Tomato on the Vine, Bag (1.9 lbs/Bag Est.) 11 weight adjusted Qty1</t>
        </is>
      </c>
      <c r="F98" t="inlineStr">
        <is>
          <t>NA</t>
        </is>
      </c>
      <c r="G98" t="inlineStr">
        <is>
          <t>0</t>
        </is>
      </c>
      <c r="H98" t="inlineStr">
        <is>
          <t>Tomatoes on the Vine</t>
        </is>
      </c>
      <c r="I98" t="inlineStr">
        <is>
          <t>Fresh Vegetables</t>
        </is>
      </c>
      <c r="J98" s="2" t="n">
        <v>46247</v>
      </c>
      <c r="K98" s="1" t="n">
        <v>3.85</v>
      </c>
    </row>
    <row r="99">
      <c r="A99" s="1">
        <f>SUM(K99,M99,O99,Q99,S99)</f>
        <v/>
      </c>
      <c r="C99" t="inlineStr">
        <is>
          <t>Walmart</t>
        </is>
      </c>
      <c r="D99" t="inlineStr">
        <is>
          <t>NA</t>
        </is>
      </c>
      <c r="E99" t="inlineStr">
        <is>
          <t>Fresh Banana, Each 11 weight adjusted Qty7</t>
        </is>
      </c>
      <c r="F99" t="inlineStr">
        <is>
          <t>NA</t>
        </is>
      </c>
      <c r="G99" t="inlineStr">
        <is>
          <t>0</t>
        </is>
      </c>
      <c r="H99" t="inlineStr">
        <is>
          <t>Bananas</t>
        </is>
      </c>
      <c r="I99" t="inlineStr">
        <is>
          <t>Fresh Fruit</t>
        </is>
      </c>
      <c r="J99" s="2" t="n">
        <v>46247</v>
      </c>
      <c r="K99" s="1" t="n">
        <v>1.76</v>
      </c>
      <c r="L99" s="2" t="n">
        <v>46247</v>
      </c>
      <c r="M99" s="1" t="n">
        <v>1.76</v>
      </c>
    </row>
    <row r="100">
      <c r="A100" s="1">
        <f>SUM(K100,M100,O100,Q100,S100)</f>
        <v/>
      </c>
      <c r="C100" t="inlineStr">
        <is>
          <t>Walmart</t>
        </is>
      </c>
      <c r="D100" t="inlineStr">
        <is>
          <t>NA</t>
        </is>
      </c>
      <c r="E100" t="inlineStr">
        <is>
          <t>Command Heavy Duty Picture Hangers, Hold 20 tbs, Black, Damage-Free Hanging, 8 Pairs Adhesive Strips</t>
        </is>
      </c>
      <c r="F100" t="inlineStr">
        <is>
          <t>NA</t>
        </is>
      </c>
      <c r="G100" t="inlineStr">
        <is>
          <t>0</t>
        </is>
      </c>
      <c r="H100" t="inlineStr">
        <is>
          <t>Command Heavy Duty Picture Hangers</t>
        </is>
      </c>
      <c r="I100" t="inlineStr">
        <is>
          <t>Home Improvement</t>
        </is>
      </c>
      <c r="J100" s="2" t="n">
        <v>46260</v>
      </c>
      <c r="K100" s="1" t="n">
        <v>28.54</v>
      </c>
    </row>
    <row r="101">
      <c r="A101" s="1">
        <f>SUM(K101,M101,O101,Q101,S101)</f>
        <v/>
      </c>
      <c r="C101" t="inlineStr">
        <is>
          <t>Walmart</t>
        </is>
      </c>
      <c r="D101" t="inlineStr">
        <is>
          <t>NA</t>
        </is>
      </c>
      <c r="E101" t="inlineStr">
        <is>
          <t>Dove Men+Care Antiperspirant Deodorant Stick 72-Hour Sweat &amp; Odor Protection Clean Comfort Antiperspirant For Men</t>
        </is>
      </c>
      <c r="F101" t="inlineStr">
        <is>
          <t>NA</t>
        </is>
      </c>
      <c r="G101" t="inlineStr">
        <is>
          <t>0</t>
        </is>
      </c>
      <c r="H101" t="inlineStr">
        <is>
          <t>Dove Men+Care Antiperspirant</t>
        </is>
      </c>
      <c r="I101" t="inlineStr">
        <is>
          <t>Deodorant</t>
        </is>
      </c>
      <c r="J101" s="2" t="n">
        <v>46260</v>
      </c>
      <c r="K101" t="inlineStr">
        <is>
          <t>NA</t>
        </is>
      </c>
    </row>
    <row r="102">
      <c r="A102" s="1">
        <f>SUM(K102,M102,O102,Q102,S102)</f>
        <v/>
      </c>
      <c r="C102" t="inlineStr">
        <is>
          <t>Walmart</t>
        </is>
      </c>
      <c r="D102" t="inlineStr">
        <is>
          <t>NA</t>
        </is>
      </c>
      <c r="E102" t="inlineStr">
        <is>
          <t>Dawn Ultra 11" Puff Glassware and Dish Cleaning Brush Wand with Sponge Head</t>
        </is>
      </c>
      <c r="F102" t="inlineStr">
        <is>
          <t>NA</t>
        </is>
      </c>
      <c r="G102" t="inlineStr">
        <is>
          <t>0</t>
        </is>
      </c>
      <c r="H102" t="inlineStr">
        <is>
          <t>Dawn Dish Cleaning Brush Wand</t>
        </is>
      </c>
      <c r="I102" t="inlineStr">
        <is>
          <t>Dishwashing Supplies</t>
        </is>
      </c>
      <c r="J102" s="2" t="n">
        <v>46260</v>
      </c>
      <c r="K102" s="1" t="n">
        <v>4.46</v>
      </c>
    </row>
    <row r="103">
      <c r="A103" s="1">
        <f>SUM(K103,M103,O103,Q103,S103)</f>
        <v/>
      </c>
      <c r="C103" t="inlineStr">
        <is>
          <t>Walmart</t>
        </is>
      </c>
      <c r="D103" t="inlineStr">
        <is>
          <t>NA</t>
        </is>
      </c>
      <c r="E103" t="inlineStr">
        <is>
          <t>Once Upon a Farm Organic Tractor Wheels Toddler Bar, Apple, Sweet Potato &amp; Spinach, 10ct</t>
        </is>
      </c>
      <c r="F103" t="inlineStr">
        <is>
          <t>NA</t>
        </is>
      </c>
      <c r="G103" t="inlineStr">
        <is>
          <t>0</t>
        </is>
      </c>
      <c r="H103" t="inlineStr">
        <is>
          <t>Once Upon a Farm Tractor Wheels Toddler Bars</t>
        </is>
      </c>
      <c r="I103" t="inlineStr">
        <is>
          <t>Baby &amp; Toddler Food</t>
        </is>
      </c>
      <c r="J103" s="2" t="n">
        <v>46260</v>
      </c>
      <c r="K103" s="1" t="n">
        <v>9.98</v>
      </c>
    </row>
    <row r="104">
      <c r="A104" s="1">
        <f>SUM(K104,M104,O104,Q104,S104)</f>
        <v/>
      </c>
      <c r="C104" t="inlineStr">
        <is>
          <t>Walmart</t>
        </is>
      </c>
      <c r="D104" t="inlineStr">
        <is>
          <t>NA</t>
        </is>
      </c>
      <c r="E104" t="inlineStr">
        <is>
          <t>Weiman Granite &amp; Stone Disinfectant Cleaner &amp; Polish, 24 floz</t>
        </is>
      </c>
      <c r="F104" t="inlineStr">
        <is>
          <t>NA</t>
        </is>
      </c>
      <c r="G104" t="inlineStr">
        <is>
          <t>0</t>
        </is>
      </c>
      <c r="H104" t="inlineStr">
        <is>
          <t>Weiman Granite &amp; Stone Cleaner &amp; Polish</t>
        </is>
      </c>
      <c r="I104" t="inlineStr">
        <is>
          <t>Household Cleaners</t>
        </is>
      </c>
      <c r="J104" s="2" t="n">
        <v>46260</v>
      </c>
      <c r="K104" s="1" t="n">
        <v>6.24</v>
      </c>
    </row>
    <row r="105">
      <c r="A105" s="1">
        <f>SUM(K105,M105,O105,Q105,S105)</f>
        <v/>
      </c>
      <c r="C105" t="inlineStr">
        <is>
          <t>Walmart</t>
        </is>
      </c>
      <c r="D105" t="inlineStr">
        <is>
          <t>NA</t>
        </is>
      </c>
      <c r="E105" t="inlineStr">
        <is>
          <t>Chobani Low-Fat Vanilla Greek Yogurt Mixed Berry On The Bottom, Hero Batch z 4PK</t>
        </is>
      </c>
      <c r="F105" t="inlineStr">
        <is>
          <t>NA</t>
        </is>
      </c>
      <c r="G105" t="inlineStr">
        <is>
          <t>0</t>
        </is>
      </c>
      <c r="H105" t="inlineStr">
        <is>
          <t>Chobani Vanilla Mixed Berry Greek Yogurt</t>
        </is>
      </c>
      <c r="I105" t="inlineStr">
        <is>
          <t>Yogurt</t>
        </is>
      </c>
      <c r="J105" s="2" t="n">
        <v>46260</v>
      </c>
      <c r="K105" s="1" t="n">
        <v>4.67</v>
      </c>
    </row>
    <row r="106">
      <c r="A106" s="1">
        <f>SUM(K106,M106,O106,Q106,S106)</f>
        <v/>
      </c>
      <c r="C106" t="inlineStr">
        <is>
          <t>Walmart</t>
        </is>
      </c>
      <c r="D106" t="inlineStr">
        <is>
          <t>NA</t>
        </is>
      </c>
      <c r="E106" t="inlineStr">
        <is>
          <t>Fresh Banana, Each 4 weight adjusted aty4</t>
        </is>
      </c>
      <c r="F106" t="inlineStr">
        <is>
          <t>NA</t>
        </is>
      </c>
      <c r="G106" t="inlineStr">
        <is>
          <t>0</t>
        </is>
      </c>
      <c r="H106" t="inlineStr">
        <is>
          <t>Bananas</t>
        </is>
      </c>
      <c r="I106" t="inlineStr">
        <is>
          <t>Fresh Fruit</t>
        </is>
      </c>
      <c r="J106" s="2" t="n">
        <v>46260</v>
      </c>
      <c r="K106" s="1" t="n">
        <v>0.6</v>
      </c>
      <c r="L106" s="2" t="n">
        <v>46260</v>
      </c>
      <c r="M106" s="1" t="n">
        <v>0.6</v>
      </c>
    </row>
    <row r="107">
      <c r="A107" s="1">
        <f>SUM(K107,M107,O107,Q107,S107)</f>
        <v/>
      </c>
      <c r="C107" t="inlineStr">
        <is>
          <t>Publix</t>
        </is>
      </c>
      <c r="D107" t="inlineStr">
        <is>
          <t>NA</t>
        </is>
      </c>
      <c r="E107" t="inlineStr">
        <is>
          <t>Jif Nsa P/B Creamy</t>
        </is>
      </c>
      <c r="F107" t="inlineStr">
        <is>
          <t>F</t>
        </is>
      </c>
      <c r="G107" t="inlineStr">
        <is>
          <t>120</t>
        </is>
      </c>
      <c r="H107" t="inlineStr">
        <is>
          <t>Jif No Sugar Added Creamy Peanut Butter</t>
        </is>
      </c>
      <c r="I107" t="inlineStr">
        <is>
          <t>Peanut Butter</t>
        </is>
      </c>
      <c r="J107" s="2" t="n">
        <v>46262</v>
      </c>
      <c r="K107" s="1" t="n">
        <v>3.69</v>
      </c>
    </row>
    <row r="108">
      <c r="A108" s="1">
        <f>SUM(K108,M108,O108,Q108,S108)</f>
        <v/>
      </c>
      <c r="C108" t="inlineStr">
        <is>
          <t>Publix</t>
        </is>
      </c>
      <c r="D108" t="inlineStr">
        <is>
          <t>NA</t>
        </is>
      </c>
      <c r="E108" t="inlineStr">
        <is>
          <t>King Arth G/ Pnck Hix</t>
        </is>
      </c>
      <c r="F108" t="inlineStr">
        <is>
          <t>F</t>
        </is>
      </c>
      <c r="G108" t="inlineStr">
        <is>
          <t>120</t>
        </is>
      </c>
      <c r="H108" t="inlineStr">
        <is>
          <t>King Arthur Gluten-Free Pancake Mix</t>
        </is>
      </c>
      <c r="I108" t="inlineStr">
        <is>
          <t>Baking Mixes</t>
        </is>
      </c>
      <c r="J108" s="2" t="n">
        <v>46262</v>
      </c>
      <c r="K108" s="1" t="n">
        <v>5.15</v>
      </c>
    </row>
    <row r="109">
      <c r="A109" s="1">
        <f>SUM(K109,M109,O109,Q109,S109)</f>
        <v/>
      </c>
      <c r="C109" t="inlineStr">
        <is>
          <t>Publix</t>
        </is>
      </c>
      <c r="D109" t="inlineStr">
        <is>
          <t>NA</t>
        </is>
      </c>
      <c r="E109" t="inlineStr">
        <is>
          <t>Bagged Green Beans</t>
        </is>
      </c>
      <c r="F109" t="inlineStr">
        <is>
          <t>F</t>
        </is>
      </c>
      <c r="G109" t="inlineStr">
        <is>
          <t>120</t>
        </is>
      </c>
      <c r="H109" t="inlineStr">
        <is>
          <t>Green Beans</t>
        </is>
      </c>
      <c r="I109" t="inlineStr">
        <is>
          <t>Fresh Vegetables</t>
        </is>
      </c>
      <c r="J109" s="2" t="n">
        <v>46262</v>
      </c>
      <c r="K109" s="1" t="n">
        <v>2.99</v>
      </c>
    </row>
    <row r="110">
      <c r="A110" s="1">
        <f>SUM(K110,M110,O110,Q110,S110)</f>
        <v/>
      </c>
      <c r="C110" t="inlineStr">
        <is>
          <t>Publix</t>
        </is>
      </c>
      <c r="D110" t="inlineStr">
        <is>
          <t>NA</t>
        </is>
      </c>
      <c r="E110" t="inlineStr">
        <is>
          <t>Potato Nibbles Ruby Sensa</t>
        </is>
      </c>
      <c r="F110" t="inlineStr">
        <is>
          <t>F</t>
        </is>
      </c>
      <c r="G110" t="inlineStr">
        <is>
          <t>120</t>
        </is>
      </c>
      <c r="H110" t="inlineStr">
        <is>
          <t>Ruby Sensation Potato Nibbles</t>
        </is>
      </c>
      <c r="I110" t="inlineStr">
        <is>
          <t>Fresh Vegetables</t>
        </is>
      </c>
      <c r="J110" s="2" t="n">
        <v>46262</v>
      </c>
      <c r="K110" s="1" t="n">
        <v>5.15</v>
      </c>
    </row>
    <row r="111">
      <c r="A111" s="1">
        <f>SUM(K111,M111,O111,Q111,S111)</f>
        <v/>
      </c>
      <c r="C111" t="inlineStr">
        <is>
          <t>Publix</t>
        </is>
      </c>
      <c r="D111" t="inlineStr">
        <is>
          <t>NA</t>
        </is>
      </c>
      <c r="E111" t="inlineStr">
        <is>
          <t>Cholula Cremosa Gltro Lme</t>
        </is>
      </c>
      <c r="F111" t="inlineStr">
        <is>
          <t>F</t>
        </is>
      </c>
      <c r="G111" t="inlineStr">
        <is>
          <t>120</t>
        </is>
      </c>
      <c r="H111" t="inlineStr">
        <is>
          <t>Cholula Cremosa Cilantro Lime Sauce</t>
        </is>
      </c>
      <c r="I111" t="inlineStr">
        <is>
          <t>Sauces &amp; Condiments</t>
        </is>
      </c>
      <c r="J111" s="2" t="n">
        <v>46262</v>
      </c>
      <c r="K111" s="1" t="n">
        <v>3.19</v>
      </c>
    </row>
    <row r="112">
      <c r="A112" s="1">
        <f>SUM(K112,M112,O112,Q112,S112)</f>
        <v/>
      </c>
      <c r="C112" t="inlineStr">
        <is>
          <t>Publix</t>
        </is>
      </c>
      <c r="D112" t="inlineStr">
        <is>
          <t>NA</t>
        </is>
      </c>
      <c r="E112" t="inlineStr">
        <is>
          <t>Mc Sig Evrythng Bgel Ssng</t>
        </is>
      </c>
      <c r="F112" t="inlineStr">
        <is>
          <t>F</t>
        </is>
      </c>
      <c r="G112" t="inlineStr">
        <is>
          <t>120</t>
        </is>
      </c>
      <c r="H112" t="inlineStr">
        <is>
          <t>McCormick Everything Bagel Seasoning</t>
        </is>
      </c>
      <c r="I112" t="inlineStr">
        <is>
          <t>Seasonings &amp; Spices</t>
        </is>
      </c>
      <c r="J112" s="2" t="n">
        <v>46262</v>
      </c>
      <c r="K112" s="1" t="n">
        <v>6.79</v>
      </c>
    </row>
    <row r="113">
      <c r="A113" s="1">
        <f>SUM(K113,M113,O113,Q113,S113)</f>
        <v/>
      </c>
      <c r="C113" t="inlineStr">
        <is>
          <t>Publix</t>
        </is>
      </c>
      <c r="D113" t="inlineStr">
        <is>
          <t>NA</t>
        </is>
      </c>
      <c r="E113" t="inlineStr">
        <is>
          <t>Banza White Cheddar Shel</t>
        </is>
      </c>
      <c r="F113" t="inlineStr">
        <is>
          <t>F</t>
        </is>
      </c>
      <c r="G113" t="inlineStr">
        <is>
          <t>120</t>
        </is>
      </c>
      <c r="H113" t="inlineStr">
        <is>
          <t>Banza White Cheddar Shells</t>
        </is>
      </c>
      <c r="I113" t="inlineStr">
        <is>
          <t>Macaroni &amp; Cheese</t>
        </is>
      </c>
      <c r="J113" s="2" t="n">
        <v>46262</v>
      </c>
      <c r="K113" s="1" t="n">
        <v>3.99</v>
      </c>
    </row>
    <row r="114">
      <c r="A114" s="1">
        <f>SUM(K114,M114,O114,Q114,S114)</f>
        <v/>
      </c>
      <c r="C114" t="inlineStr">
        <is>
          <t>Publix</t>
        </is>
      </c>
      <c r="D114" t="inlineStr">
        <is>
          <t>NA</t>
        </is>
      </c>
      <c r="E114" t="inlineStr">
        <is>
          <t>anza White Cheddar Shel</t>
        </is>
      </c>
      <c r="F114" t="inlineStr">
        <is>
          <t>F</t>
        </is>
      </c>
      <c r="G114" t="inlineStr">
        <is>
          <t>120</t>
        </is>
      </c>
      <c r="H114" t="inlineStr">
        <is>
          <t>Banza White Cheddar Shells</t>
        </is>
      </c>
      <c r="I114" t="inlineStr">
        <is>
          <t>Macaroni &amp; Cheese</t>
        </is>
      </c>
      <c r="J114" s="2" t="n">
        <v>46262</v>
      </c>
      <c r="K114" s="1" t="n">
        <v>3.99</v>
      </c>
    </row>
    <row r="115">
      <c r="A115" s="1">
        <f>SUM(K115,M115,O115,Q115,S115)</f>
        <v/>
      </c>
      <c r="C115" t="inlineStr">
        <is>
          <t>Publix</t>
        </is>
      </c>
      <c r="D115" t="inlineStr">
        <is>
          <t>NA</t>
        </is>
      </c>
      <c r="E115" t="inlineStr">
        <is>
          <t>Annie's Dlx Shi&amp;Chd Gf</t>
        </is>
      </c>
      <c r="F115" t="inlineStr">
        <is>
          <t>F</t>
        </is>
      </c>
      <c r="G115" t="inlineStr">
        <is>
          <t>120</t>
        </is>
      </c>
      <c r="H115" t="inlineStr">
        <is>
          <t>Annie's Gluten-Free Deluxe Shells &amp; Cheddar</t>
        </is>
      </c>
      <c r="I115" t="inlineStr">
        <is>
          <t>Macaroni &amp; Cheese</t>
        </is>
      </c>
      <c r="J115" s="2" t="n">
        <v>46262</v>
      </c>
      <c r="K115" s="1" t="n">
        <v>5.45</v>
      </c>
    </row>
    <row r="116">
      <c r="A116" s="1">
        <f>SUM(K116,M116,O116,Q116,S116)</f>
        <v/>
      </c>
      <c r="C116" t="inlineStr">
        <is>
          <t>Publix</t>
        </is>
      </c>
      <c r="D116" t="inlineStr">
        <is>
          <t>NA</t>
        </is>
      </c>
      <c r="E116" t="inlineStr">
        <is>
          <t>Annie's Dlx Shl&amp;Chd Gf</t>
        </is>
      </c>
      <c r="F116" t="inlineStr">
        <is>
          <t>F</t>
        </is>
      </c>
      <c r="G116" t="inlineStr">
        <is>
          <t>120</t>
        </is>
      </c>
      <c r="H116" t="inlineStr">
        <is>
          <t>Annie's Gluten-Free Deluxe Shells &amp; Cheddar</t>
        </is>
      </c>
      <c r="I116" t="inlineStr">
        <is>
          <t>Macaroni &amp; Cheese</t>
        </is>
      </c>
      <c r="J116" s="2" t="n">
        <v>46262</v>
      </c>
      <c r="K116" s="1" t="n">
        <v>5.45</v>
      </c>
    </row>
    <row r="117">
      <c r="A117" s="1">
        <f>SUM(K117,M117,O117,Q117,S117)</f>
        <v/>
      </c>
      <c r="C117" t="inlineStr">
        <is>
          <t>Publix</t>
        </is>
      </c>
      <c r="D117" t="inlineStr">
        <is>
          <t>NA</t>
        </is>
      </c>
      <c r="E117" t="inlineStr">
        <is>
          <t>Gw Keta Salmon Fillet</t>
        </is>
      </c>
      <c r="F117" t="inlineStr">
        <is>
          <t>F</t>
        </is>
      </c>
      <c r="G117" t="inlineStr">
        <is>
          <t>120</t>
        </is>
      </c>
      <c r="H117" t="inlineStr">
        <is>
          <t>GreenWise Keta Salmon Fillet</t>
        </is>
      </c>
      <c r="I117" t="inlineStr">
        <is>
          <t>Fresh Seafood</t>
        </is>
      </c>
      <c r="J117" s="2" t="n">
        <v>46262</v>
      </c>
      <c r="K117" s="1" t="n">
        <v>14.29</v>
      </c>
    </row>
    <row r="118">
      <c r="A118" s="1">
        <f>SUM(K118,M118,O118,Q118,S118)</f>
        <v/>
      </c>
      <c r="C118" t="inlineStr">
        <is>
          <t>Publix</t>
        </is>
      </c>
      <c r="D118" t="inlineStr">
        <is>
          <t>NA</t>
        </is>
      </c>
      <c r="E118" t="inlineStr">
        <is>
          <t>Bananas</t>
        </is>
      </c>
      <c r="F118" t="inlineStr">
        <is>
          <t>NA</t>
        </is>
      </c>
      <c r="G118" t="inlineStr">
        <is>
          <t>120</t>
        </is>
      </c>
      <c r="H118" t="inlineStr">
        <is>
          <t>Bananas</t>
        </is>
      </c>
      <c r="I118" t="inlineStr">
        <is>
          <t>Fresh Fruit</t>
        </is>
      </c>
      <c r="J118" s="2" t="n">
        <v>46262</v>
      </c>
      <c r="K118" t="n">
        <v>1.53</v>
      </c>
    </row>
    <row r="119">
      <c r="A119" s="1">
        <f>SUM(K119,M119,O119,Q119,S119)</f>
        <v/>
      </c>
      <c r="C119" t="inlineStr">
        <is>
          <t>Publix</t>
        </is>
      </c>
      <c r="D119" t="inlineStr">
        <is>
          <t>NA</t>
        </is>
      </c>
      <c r="E119" t="inlineStr">
        <is>
          <t>Daiya Shreds Mexican Bld</t>
        </is>
      </c>
      <c r="F119" t="inlineStr">
        <is>
          <t>F</t>
        </is>
      </c>
      <c r="G119" t="inlineStr">
        <is>
          <t>120</t>
        </is>
      </c>
      <c r="H119" t="inlineStr">
        <is>
          <t>Daiya Mexican Blend Shreds</t>
        </is>
      </c>
      <c r="I119" t="inlineStr">
        <is>
          <t>Plant-Based Cheese</t>
        </is>
      </c>
      <c r="J119" s="2" t="n">
        <v>46262</v>
      </c>
      <c r="K119" s="1" t="n">
        <v>5.65</v>
      </c>
      <c r="L119" s="2" t="n">
        <v>46262</v>
      </c>
      <c r="M119" s="1" t="n">
        <v>0</v>
      </c>
    </row>
    <row r="120">
      <c r="A120" s="1">
        <f>SUM(K120,M120,O120,Q120,S120)</f>
        <v/>
      </c>
      <c r="C120" t="inlineStr">
        <is>
          <t>Publix</t>
        </is>
      </c>
      <c r="D120" t="inlineStr">
        <is>
          <t>NA</t>
        </is>
      </c>
      <c r="E120" t="inlineStr">
        <is>
          <t>Tf Caesar Salad Kit Chop F</t>
        </is>
      </c>
      <c r="F120" t="inlineStr">
        <is>
          <t>NA</t>
        </is>
      </c>
      <c r="G120" t="inlineStr">
        <is>
          <t>120</t>
        </is>
      </c>
      <c r="H120" t="inlineStr">
        <is>
          <t>Taylor Farms Chopped Caesar Salad Kit</t>
        </is>
      </c>
      <c r="I120" t="inlineStr">
        <is>
          <t>Salad Kits</t>
        </is>
      </c>
      <c r="J120" s="2" t="n">
        <v>46262</v>
      </c>
      <c r="K120" t="n">
        <v>3.33</v>
      </c>
    </row>
    <row r="121">
      <c r="A121" s="1">
        <f>SUM(K121,M121,O121,Q121,S121)</f>
        <v/>
      </c>
      <c r="C121" t="inlineStr">
        <is>
          <t>Publix</t>
        </is>
      </c>
      <c r="D121" t="inlineStr">
        <is>
          <t>NA</t>
        </is>
      </c>
      <c r="E121" t="inlineStr">
        <is>
          <t>Tf Everything Salad Chop</t>
        </is>
      </c>
      <c r="F121" t="inlineStr">
        <is>
          <t>TF</t>
        </is>
      </c>
      <c r="G121" t="inlineStr">
        <is>
          <t>120</t>
        </is>
      </c>
      <c r="H121" t="inlineStr">
        <is>
          <t>Taylor Farms Everything Chopped Salad Kit</t>
        </is>
      </c>
      <c r="I121" t="inlineStr">
        <is>
          <t>Salad Kits</t>
        </is>
      </c>
      <c r="J121" s="2" t="n">
        <v>46262</v>
      </c>
      <c r="K121" t="n">
        <v>3.33</v>
      </c>
    </row>
    <row r="122">
      <c r="A122" s="1">
        <f>SUM(K122,M122,O122,Q122,S122)</f>
        <v/>
      </c>
      <c r="C122" t="inlineStr">
        <is>
          <t>Publix</t>
        </is>
      </c>
      <c r="D122" t="inlineStr">
        <is>
          <t>NA</t>
        </is>
      </c>
      <c r="E122" t="inlineStr">
        <is>
          <t>Hagen David Blackberry</t>
        </is>
      </c>
      <c r="F122" t="inlineStr">
        <is>
          <t>T</t>
        </is>
      </c>
      <c r="G122" t="inlineStr">
        <is>
          <t>120</t>
        </is>
      </c>
      <c r="H122" t="inlineStr">
        <is>
          <t>Häagen-Dazs Blackberry Ice Cream</t>
        </is>
      </c>
      <c r="I122" t="inlineStr">
        <is>
          <t>Wine</t>
        </is>
      </c>
      <c r="J122" s="2" t="n">
        <v>46262</v>
      </c>
      <c r="K122" s="1" t="n">
        <v>7.19</v>
      </c>
    </row>
    <row r="123">
      <c r="A123" s="1">
        <f>SUM(K123,M123,O123,Q123,S123)</f>
        <v/>
      </c>
      <c r="C123" t="inlineStr">
        <is>
          <t>Publix</t>
        </is>
      </c>
      <c r="D123" t="inlineStr">
        <is>
          <t>NA</t>
        </is>
      </c>
      <c r="E123" t="inlineStr">
        <is>
          <t>Tax</t>
        </is>
      </c>
      <c r="F123" t="inlineStr">
        <is>
          <t>NA</t>
        </is>
      </c>
      <c r="G123" t="inlineStr">
        <is>
          <t>120</t>
        </is>
      </c>
      <c r="H123" t="inlineStr">
        <is>
          <t>Tax</t>
        </is>
      </c>
      <c r="I123" t="inlineStr">
        <is>
          <t>Fees &amp; Charges</t>
        </is>
      </c>
      <c r="J123" s="2" t="n">
        <v>46262</v>
      </c>
      <c r="K123" t="n">
        <v>0.5</v>
      </c>
    </row>
    <row r="124">
      <c r="A124" s="1">
        <f>SUM(K124,M124,O124,Q124,S124)</f>
        <v/>
      </c>
      <c r="C124" t="inlineStr">
        <is>
          <t>Publix</t>
        </is>
      </c>
      <c r="D124" t="inlineStr">
        <is>
          <t>NA</t>
        </is>
      </c>
      <c r="E124" t="inlineStr">
        <is>
          <t>Tf Everything Salad Chop</t>
        </is>
      </c>
      <c r="F124" t="inlineStr">
        <is>
          <t>TF</t>
        </is>
      </c>
      <c r="G124" t="inlineStr">
        <is>
          <t>120</t>
        </is>
      </c>
      <c r="H124" t="inlineStr">
        <is>
          <t>Taylor Farms Everything Chopped Salad Kit</t>
        </is>
      </c>
      <c r="I124" t="inlineStr">
        <is>
          <t>Salad Kits</t>
        </is>
      </c>
      <c r="J124" s="2" t="n">
        <v>46262</v>
      </c>
      <c r="K124" t="n">
        <v>3.34</v>
      </c>
    </row>
    <row r="125">
      <c r="A125" s="1">
        <f>SUM(K125,M125,O125,Q125,S125)</f>
        <v/>
      </c>
      <c r="C125" t="inlineStr">
        <is>
          <t>Aldi</t>
        </is>
      </c>
      <c r="D125" t="inlineStr">
        <is>
          <t>356661</t>
        </is>
      </c>
      <c r="E125" t="inlineStr">
        <is>
          <t>Sweet Potatoes</t>
        </is>
      </c>
      <c r="F125" t="inlineStr">
        <is>
          <t>FA</t>
        </is>
      </c>
      <c r="G125" t="inlineStr">
        <is>
          <t>238</t>
        </is>
      </c>
      <c r="H125" t="inlineStr">
        <is>
          <t>Sweet Potatoes</t>
        </is>
      </c>
      <c r="I125" t="inlineStr">
        <is>
          <t>Fresh Vegetables</t>
        </is>
      </c>
      <c r="J125" s="2" t="n">
        <v>46264</v>
      </c>
      <c r="K125" s="1" t="n">
        <v>2.99</v>
      </c>
    </row>
    <row r="126">
      <c r="A126" s="1">
        <f>SUM(K126,M126,O126,Q126,S126)</f>
        <v/>
      </c>
      <c r="C126" t="inlineStr">
        <is>
          <t>Aldi</t>
        </is>
      </c>
      <c r="D126" t="inlineStr">
        <is>
          <t>356377</t>
        </is>
      </c>
      <c r="E126" t="inlineStr">
        <is>
          <t>Grape Tomatoes</t>
        </is>
      </c>
      <c r="F126" t="inlineStr">
        <is>
          <t>FA</t>
        </is>
      </c>
      <c r="G126" t="inlineStr">
        <is>
          <t>238</t>
        </is>
      </c>
      <c r="H126" t="inlineStr">
        <is>
          <t>Grape Tomatoes</t>
        </is>
      </c>
      <c r="I126" t="inlineStr">
        <is>
          <t>Fresh Vegetables</t>
        </is>
      </c>
      <c r="J126" s="2" t="n">
        <v>46264</v>
      </c>
      <c r="K126" s="1" t="n">
        <v>1.99</v>
      </c>
    </row>
    <row r="127">
      <c r="A127" s="1">
        <f>SUM(K127,M127,O127,Q127,S127)</f>
        <v/>
      </c>
      <c r="C127" t="inlineStr">
        <is>
          <t>Aldi</t>
        </is>
      </c>
      <c r="D127" t="inlineStr">
        <is>
          <t>382278</t>
        </is>
      </c>
      <c r="E127" t="inlineStr">
        <is>
          <t>Assort beans</t>
        </is>
      </c>
      <c r="F127" t="inlineStr">
        <is>
          <t>FA</t>
        </is>
      </c>
      <c r="G127" t="inlineStr">
        <is>
          <t>238</t>
        </is>
      </c>
      <c r="H127" t="inlineStr">
        <is>
          <t>Assorted Beans</t>
        </is>
      </c>
      <c r="I127" t="inlineStr">
        <is>
          <t>Canned Beans &amp; Legumes</t>
        </is>
      </c>
      <c r="J127" s="2" t="n">
        <v>46264</v>
      </c>
      <c r="K127" s="1" t="n">
        <v>0.89</v>
      </c>
    </row>
    <row r="128">
      <c r="A128" s="1">
        <f>SUM(K128,M128,O128,Q128,S128)</f>
        <v/>
      </c>
      <c r="C128" t="inlineStr">
        <is>
          <t>Aldi</t>
        </is>
      </c>
      <c r="D128" t="inlineStr">
        <is>
          <t>381843</t>
        </is>
      </c>
      <c r="E128" t="inlineStr">
        <is>
          <t>Dark Red Kidney</t>
        </is>
      </c>
      <c r="F128" t="inlineStr">
        <is>
          <t>FA</t>
        </is>
      </c>
      <c r="G128" t="inlineStr">
        <is>
          <t>238</t>
        </is>
      </c>
      <c r="H128" t="inlineStr">
        <is>
          <t>Dark Red Kidney Beans</t>
        </is>
      </c>
      <c r="I128" t="inlineStr">
        <is>
          <t>Canned Beans &amp; Legumes</t>
        </is>
      </c>
      <c r="J128" s="2" t="n">
        <v>46264</v>
      </c>
      <c r="K128" s="1" t="n">
        <v>0.85</v>
      </c>
    </row>
    <row r="129">
      <c r="A129" s="1">
        <f>SUM(K129,M129,O129,Q129,S129)</f>
        <v/>
      </c>
      <c r="C129" t="inlineStr">
        <is>
          <t>Aldi</t>
        </is>
      </c>
      <c r="D129" t="inlineStr">
        <is>
          <t>383038</t>
        </is>
      </c>
      <c r="E129" t="inlineStr">
        <is>
          <t>Dice Tom w/GrnChl</t>
        </is>
      </c>
      <c r="F129" t="inlineStr">
        <is>
          <t>FA</t>
        </is>
      </c>
      <c r="G129" t="inlineStr">
        <is>
          <t>238</t>
        </is>
      </c>
      <c r="H129" t="inlineStr">
        <is>
          <t>Diced Tomatoes with Green Chiles</t>
        </is>
      </c>
      <c r="I129" t="inlineStr">
        <is>
          <t>Canned Tomatoes</t>
        </is>
      </c>
      <c r="J129" s="2" t="n">
        <v>46264</v>
      </c>
      <c r="K129" s="1" t="n">
        <v>0.95</v>
      </c>
    </row>
    <row r="130">
      <c r="A130" s="1">
        <f>SUM(K130,M130,O130,Q130,S130)</f>
        <v/>
      </c>
      <c r="C130" t="inlineStr">
        <is>
          <t>Aldi</t>
        </is>
      </c>
      <c r="D130" t="inlineStr">
        <is>
          <t>356417</t>
        </is>
      </c>
      <c r="E130" t="inlineStr">
        <is>
          <t>Mandarins</t>
        </is>
      </c>
      <c r="F130" t="inlineStr">
        <is>
          <t>FA</t>
        </is>
      </c>
      <c r="G130" t="inlineStr">
        <is>
          <t>238</t>
        </is>
      </c>
      <c r="H130" t="inlineStr">
        <is>
          <t>Mandarin Oranges</t>
        </is>
      </c>
      <c r="I130" t="inlineStr">
        <is>
          <t>Fresh Fruit</t>
        </is>
      </c>
      <c r="J130" s="2" t="n">
        <v>46264</v>
      </c>
      <c r="K130" s="1" t="n">
        <v>3.99</v>
      </c>
    </row>
    <row r="131">
      <c r="A131" s="1">
        <f>SUM(K131,M131,O131,Q131,S131)</f>
        <v/>
      </c>
      <c r="C131" t="inlineStr">
        <is>
          <t>Aldi</t>
        </is>
      </c>
      <c r="D131" t="inlineStr">
        <is>
          <t>383178</t>
        </is>
      </c>
      <c r="E131" t="inlineStr">
        <is>
          <t>Olive Oil Spray</t>
        </is>
      </c>
      <c r="F131" t="inlineStr">
        <is>
          <t>FA</t>
        </is>
      </c>
      <c r="G131" t="inlineStr">
        <is>
          <t>238</t>
        </is>
      </c>
      <c r="H131" t="inlineStr">
        <is>
          <t>Olive Oil Cooking Spray</t>
        </is>
      </c>
      <c r="I131" t="inlineStr">
        <is>
          <t>Cooking Oils &amp; Sprays</t>
        </is>
      </c>
      <c r="J131" s="2" t="n">
        <v>46264</v>
      </c>
      <c r="K131" s="1" t="n">
        <v>4.49</v>
      </c>
    </row>
    <row r="132">
      <c r="A132" s="1">
        <f>SUM(K132,M132,O132,Q132,S132)</f>
        <v/>
      </c>
      <c r="C132" t="inlineStr">
        <is>
          <t>Aldi</t>
        </is>
      </c>
      <c r="D132" t="inlineStr">
        <is>
          <t>356562</t>
        </is>
      </c>
      <c r="E132" t="inlineStr">
        <is>
          <t>Flat Leaf Spinach</t>
        </is>
      </c>
      <c r="F132" t="inlineStr">
        <is>
          <t>FA</t>
        </is>
      </c>
      <c r="G132" t="inlineStr">
        <is>
          <t>238</t>
        </is>
      </c>
      <c r="H132" t="inlineStr">
        <is>
          <t>Flat Leaf Spinach</t>
        </is>
      </c>
      <c r="I132" t="inlineStr">
        <is>
          <t>Fresh Vegetables</t>
        </is>
      </c>
      <c r="J132" s="2" t="n">
        <v>46264</v>
      </c>
      <c r="K132" s="1" t="n">
        <v>1.89</v>
      </c>
    </row>
    <row r="133">
      <c r="A133" s="1">
        <f>SUM(K133,M133,O133,Q133,S133)</f>
        <v/>
      </c>
      <c r="C133" t="inlineStr">
        <is>
          <t>Aldi</t>
        </is>
      </c>
      <c r="D133" t="inlineStr">
        <is>
          <t>465110</t>
        </is>
      </c>
      <c r="E133" t="inlineStr">
        <is>
          <t>Chiquita Maduros</t>
        </is>
      </c>
      <c r="F133" t="inlineStr">
        <is>
          <t>FA</t>
        </is>
      </c>
      <c r="G133" t="inlineStr">
        <is>
          <t>238</t>
        </is>
      </c>
      <c r="H133" t="inlineStr">
        <is>
          <t>Chiquita Maduros Sweet Plantains</t>
        </is>
      </c>
      <c r="I133" t="inlineStr">
        <is>
          <t>Frozen Plantains</t>
        </is>
      </c>
      <c r="J133" s="2" t="n">
        <v>46264</v>
      </c>
      <c r="K133" s="1" t="n">
        <v>6.29</v>
      </c>
    </row>
    <row r="134">
      <c r="A134" s="1">
        <f>SUM(K134,M134,O134,Q134,S134)</f>
        <v/>
      </c>
      <c r="C134" t="inlineStr">
        <is>
          <t>Aldi</t>
        </is>
      </c>
      <c r="D134" t="inlineStr">
        <is>
          <t>401280</t>
        </is>
      </c>
      <c r="E134" t="inlineStr">
        <is>
          <t>Organic Peas/Corn</t>
        </is>
      </c>
      <c r="F134" t="inlineStr">
        <is>
          <t>FA</t>
        </is>
      </c>
      <c r="G134" t="inlineStr">
        <is>
          <t>238</t>
        </is>
      </c>
      <c r="H134" t="inlineStr">
        <is>
          <t>Organic Peas &amp; Corn</t>
        </is>
      </c>
      <c r="I134" t="inlineStr">
        <is>
          <t>Frozen Vegetables</t>
        </is>
      </c>
      <c r="J134" s="2" t="n">
        <v>46264</v>
      </c>
      <c r="K134" s="1" t="n">
        <v>1.59</v>
      </c>
    </row>
    <row r="135">
      <c r="A135" s="1">
        <f>SUM(K135,M135,O135,Q135,S135)</f>
        <v/>
      </c>
      <c r="C135" t="inlineStr">
        <is>
          <t>Aldi</t>
        </is>
      </c>
      <c r="D135" t="inlineStr">
        <is>
          <t>356612</t>
        </is>
      </c>
      <c r="E135" t="inlineStr">
        <is>
          <t>Red Potatoes</t>
        </is>
      </c>
      <c r="F135" t="inlineStr">
        <is>
          <t>FA</t>
        </is>
      </c>
      <c r="G135" t="inlineStr">
        <is>
          <t>238</t>
        </is>
      </c>
      <c r="H135" t="inlineStr">
        <is>
          <t>Red Potatoes</t>
        </is>
      </c>
      <c r="I135" t="inlineStr">
        <is>
          <t>Fresh Vegetables</t>
        </is>
      </c>
      <c r="J135" s="2" t="n">
        <v>46264</v>
      </c>
      <c r="K135" s="1" t="n">
        <v>4.29</v>
      </c>
    </row>
    <row r="136">
      <c r="A136" s="1">
        <f>SUM(K136,M136,O136,Q136,S136)</f>
        <v/>
      </c>
      <c r="C136" t="inlineStr">
        <is>
          <t>Aldi</t>
        </is>
      </c>
      <c r="D136" t="inlineStr">
        <is>
          <t>382696</t>
        </is>
      </c>
      <c r="E136" t="inlineStr">
        <is>
          <t>Whipped Crm Cheese</t>
        </is>
      </c>
      <c r="F136" t="inlineStr">
        <is>
          <t>FA</t>
        </is>
      </c>
      <c r="G136" t="inlineStr">
        <is>
          <t>238</t>
        </is>
      </c>
      <c r="H136" t="inlineStr">
        <is>
          <t>Whipped Cream Cheese</t>
        </is>
      </c>
      <c r="I136" t="inlineStr">
        <is>
          <t>Cream Cheese</t>
        </is>
      </c>
      <c r="J136" s="2" t="n">
        <v>46264</v>
      </c>
      <c r="K136" s="1" t="n">
        <v>1.79</v>
      </c>
    </row>
    <row r="137">
      <c r="A137" s="1">
        <f>SUM(K137,M137,O137,Q137,S137)</f>
        <v/>
      </c>
      <c r="C137" t="inlineStr">
        <is>
          <t>Aldi</t>
        </is>
      </c>
      <c r="D137" t="inlineStr">
        <is>
          <t>383252</t>
        </is>
      </c>
      <c r="E137" t="inlineStr">
        <is>
          <t>Deli Sliced Cheese</t>
        </is>
      </c>
      <c r="F137" t="inlineStr">
        <is>
          <t>FA</t>
        </is>
      </c>
      <c r="G137" t="inlineStr">
        <is>
          <t>238</t>
        </is>
      </c>
      <c r="H137" t="inlineStr">
        <is>
          <t>Deli Sliced Cheese</t>
        </is>
      </c>
      <c r="I137" t="inlineStr">
        <is>
          <t>Cheese</t>
        </is>
      </c>
      <c r="J137" s="2" t="n">
        <v>46264</v>
      </c>
      <c r="K137" s="1" t="n">
        <v>1.49</v>
      </c>
    </row>
    <row r="138">
      <c r="A138" s="1">
        <f>SUM(K138,M138,O138,Q138,S138)</f>
        <v/>
      </c>
      <c r="C138" t="inlineStr">
        <is>
          <t>Aldi</t>
        </is>
      </c>
      <c r="D138" t="inlineStr">
        <is>
          <t>384215</t>
        </is>
      </c>
      <c r="E138" t="inlineStr">
        <is>
          <t>HiFiber Tortilla</t>
        </is>
      </c>
      <c r="F138" t="inlineStr">
        <is>
          <t>FA</t>
        </is>
      </c>
      <c r="G138" t="inlineStr">
        <is>
          <t>238</t>
        </is>
      </c>
      <c r="H138" t="inlineStr">
        <is>
          <t>High-Fiber Tortillas</t>
        </is>
      </c>
      <c r="I138" t="inlineStr">
        <is>
          <t>Tortillas</t>
        </is>
      </c>
      <c r="J138" s="2" t="n">
        <v>46264</v>
      </c>
      <c r="K138" s="1" t="n">
        <v>4.57</v>
      </c>
    </row>
    <row r="139">
      <c r="A139" s="1">
        <f>SUM(K139,M139,O139,Q139,S139)</f>
        <v/>
      </c>
      <c r="C139" t="inlineStr">
        <is>
          <t>Aldi</t>
        </is>
      </c>
      <c r="D139" t="inlineStr">
        <is>
          <t>356646</t>
        </is>
      </c>
      <c r="E139" t="inlineStr">
        <is>
          <t>Strawberries</t>
        </is>
      </c>
      <c r="F139" t="inlineStr">
        <is>
          <t>FA</t>
        </is>
      </c>
      <c r="G139" t="inlineStr">
        <is>
          <t>238</t>
        </is>
      </c>
      <c r="H139" t="inlineStr">
        <is>
          <t>Strawberries</t>
        </is>
      </c>
      <c r="I139" t="inlineStr">
        <is>
          <t>Fresh Fruit</t>
        </is>
      </c>
      <c r="J139" s="2" t="n">
        <v>46264</v>
      </c>
      <c r="K139" s="1" t="n">
        <v>2.29</v>
      </c>
    </row>
    <row r="140">
      <c r="A140" s="1">
        <f>SUM(K140,M140,O140,Q140,S140)</f>
        <v/>
      </c>
      <c r="C140" t="inlineStr">
        <is>
          <t>Aldi</t>
        </is>
      </c>
      <c r="D140" t="inlineStr">
        <is>
          <t>356425</t>
        </is>
      </c>
      <c r="E140" t="inlineStr">
        <is>
          <t>Mini Cucumbers</t>
        </is>
      </c>
      <c r="F140" t="inlineStr">
        <is>
          <t>FA</t>
        </is>
      </c>
      <c r="G140" t="inlineStr">
        <is>
          <t>238</t>
        </is>
      </c>
      <c r="H140" t="inlineStr">
        <is>
          <t>Mini Cucumbers</t>
        </is>
      </c>
      <c r="I140" t="inlineStr">
        <is>
          <t>Fresh Vegetables</t>
        </is>
      </c>
      <c r="J140" s="2" t="n">
        <v>46264</v>
      </c>
      <c r="K140" s="1" t="n">
        <v>1.89</v>
      </c>
    </row>
    <row r="141">
      <c r="A141" s="1">
        <f>SUM(K141,M141,O141,Q141,S141)</f>
        <v/>
      </c>
      <c r="C141" t="inlineStr">
        <is>
          <t>Aldi</t>
        </is>
      </c>
      <c r="D141" t="inlineStr">
        <is>
          <t>382129</t>
        </is>
      </c>
      <c r="E141" t="inlineStr">
        <is>
          <t>Canola Oil</t>
        </is>
      </c>
      <c r="F141" t="inlineStr">
        <is>
          <t>FA</t>
        </is>
      </c>
      <c r="G141" t="inlineStr">
        <is>
          <t>238</t>
        </is>
      </c>
      <c r="H141" t="inlineStr">
        <is>
          <t>Canola Oil</t>
        </is>
      </c>
      <c r="I141" t="inlineStr">
        <is>
          <t>Cooking Oils &amp; Sprays</t>
        </is>
      </c>
      <c r="J141" s="2" t="n">
        <v>46264</v>
      </c>
      <c r="K141" s="1" t="n">
        <v>3.89</v>
      </c>
    </row>
    <row r="142">
      <c r="A142" s="1">
        <f>SUM(K142,M142,O142,Q142,S142)</f>
        <v/>
      </c>
      <c r="C142" t="inlineStr">
        <is>
          <t>Aldi</t>
        </is>
      </c>
      <c r="D142" t="inlineStr">
        <is>
          <t>383168</t>
        </is>
      </c>
      <c r="E142" t="inlineStr">
        <is>
          <t>White Corn Meal</t>
        </is>
      </c>
      <c r="F142" t="inlineStr">
        <is>
          <t>FA</t>
        </is>
      </c>
      <c r="G142" t="inlineStr">
        <is>
          <t>238</t>
        </is>
      </c>
      <c r="H142" t="inlineStr">
        <is>
          <t>White Cornmeal</t>
        </is>
      </c>
      <c r="I142" t="inlineStr">
        <is>
          <t>Baking Ingredients</t>
        </is>
      </c>
      <c r="J142" s="2" t="n">
        <v>46264</v>
      </c>
      <c r="K142" s="1" t="n">
        <v>2.85</v>
      </c>
    </row>
    <row r="143">
      <c r="A143" s="1">
        <f>SUM(K143,M143,O143,Q143,S143)</f>
        <v/>
      </c>
      <c r="C143" t="inlineStr">
        <is>
          <t>Aldi</t>
        </is>
      </c>
      <c r="D143" t="inlineStr">
        <is>
          <t>484162</t>
        </is>
      </c>
      <c r="E143" t="inlineStr">
        <is>
          <t>Crustless PB&amp;J</t>
        </is>
      </c>
      <c r="F143" t="inlineStr">
        <is>
          <t>FA</t>
        </is>
      </c>
      <c r="G143" t="inlineStr">
        <is>
          <t>238</t>
        </is>
      </c>
      <c r="H143" t="inlineStr">
        <is>
          <t>Crustless Peanut Butter &amp; Jelly Sandwiches</t>
        </is>
      </c>
      <c r="I143" t="inlineStr">
        <is>
          <t>Frozen Sandwiches</t>
        </is>
      </c>
      <c r="J143" s="2" t="n">
        <v>46264</v>
      </c>
      <c r="K143" s="1" t="n">
        <v>2.99</v>
      </c>
    </row>
    <row r="144">
      <c r="A144" s="1">
        <f>SUM(K144,M144,O144,Q144,S144)</f>
        <v/>
      </c>
      <c r="C144" t="inlineStr">
        <is>
          <t>Aldi</t>
        </is>
      </c>
      <c r="D144" t="inlineStr">
        <is>
          <t>344280</t>
        </is>
      </c>
      <c r="E144" t="inlineStr">
        <is>
          <t>Cauli Crust Pizza</t>
        </is>
      </c>
      <c r="F144" t="inlineStr">
        <is>
          <t>FA</t>
        </is>
      </c>
      <c r="G144" t="inlineStr">
        <is>
          <t>238</t>
        </is>
      </c>
      <c r="H144" t="inlineStr">
        <is>
          <t>Cauliflower Crust Pizza</t>
        </is>
      </c>
      <c r="I144" t="inlineStr">
        <is>
          <t>Frozen Pizza</t>
        </is>
      </c>
      <c r="J144" s="2" t="n">
        <v>46264</v>
      </c>
      <c r="K144" s="1" t="n">
        <v>8.289999999999999</v>
      </c>
    </row>
    <row r="145">
      <c r="A145" s="1">
        <f>SUM(K145,M145,O145,Q145,S145)</f>
        <v/>
      </c>
      <c r="C145" t="inlineStr">
        <is>
          <t>Aldi</t>
        </is>
      </c>
      <c r="D145" t="inlineStr">
        <is>
          <t>356486</t>
        </is>
      </c>
      <c r="E145" t="inlineStr">
        <is>
          <t>Avocados</t>
        </is>
      </c>
      <c r="F145" t="inlineStr">
        <is>
          <t>FA</t>
        </is>
      </c>
      <c r="G145" t="inlineStr">
        <is>
          <t>238</t>
        </is>
      </c>
      <c r="H145" t="inlineStr">
        <is>
          <t>Avocados</t>
        </is>
      </c>
      <c r="I145" t="inlineStr">
        <is>
          <t>Fresh Fruit</t>
        </is>
      </c>
      <c r="J145" s="2" t="n">
        <v>46264</v>
      </c>
      <c r="K145" s="1" t="n">
        <v>0.65</v>
      </c>
    </row>
    <row r="146">
      <c r="A146" s="1">
        <f>SUM(K146,M146,O146,Q146,S146)</f>
        <v/>
      </c>
      <c r="C146" t="inlineStr">
        <is>
          <t>Aldi</t>
        </is>
      </c>
      <c r="D146" t="inlineStr">
        <is>
          <t>383231</t>
        </is>
      </c>
      <c r="E146" t="inlineStr">
        <is>
          <t>Wht Corn Tortillas</t>
        </is>
      </c>
      <c r="F146" t="inlineStr">
        <is>
          <t>FA</t>
        </is>
      </c>
      <c r="G146" t="inlineStr">
        <is>
          <t>238</t>
        </is>
      </c>
      <c r="H146" t="inlineStr">
        <is>
          <t>White Corn Tortillas</t>
        </is>
      </c>
      <c r="I146" t="inlineStr">
        <is>
          <t>Tortillas</t>
        </is>
      </c>
      <c r="J146" s="2" t="n">
        <v>46264</v>
      </c>
      <c r="K146" s="1" t="n">
        <v>2.44</v>
      </c>
    </row>
    <row r="147">
      <c r="A147" s="1">
        <f>SUM(K147,M147,O147,Q147,S147)</f>
        <v/>
      </c>
      <c r="C147" t="inlineStr">
        <is>
          <t>Aldi</t>
        </is>
      </c>
      <c r="D147" t="inlineStr">
        <is>
          <t>356440</t>
        </is>
      </c>
      <c r="E147" t="inlineStr">
        <is>
          <t>Org Baby Carrots</t>
        </is>
      </c>
      <c r="F147" t="inlineStr">
        <is>
          <t>FA</t>
        </is>
      </c>
      <c r="G147" t="inlineStr">
        <is>
          <t>238</t>
        </is>
      </c>
      <c r="H147" t="inlineStr">
        <is>
          <t>Organic Baby Carrots</t>
        </is>
      </c>
      <c r="I147" t="inlineStr">
        <is>
          <t>Fresh Vegetables</t>
        </is>
      </c>
      <c r="J147" s="2" t="n">
        <v>46264</v>
      </c>
      <c r="K147" s="1" t="n">
        <v>1.79</v>
      </c>
    </row>
    <row r="148">
      <c r="A148" s="1">
        <f>SUM(K148,M148,O148,Q148,S148)</f>
        <v/>
      </c>
      <c r="C148" t="inlineStr">
        <is>
          <t>Aldi</t>
        </is>
      </c>
      <c r="D148" t="inlineStr">
        <is>
          <t>356490</t>
        </is>
      </c>
      <c r="E148" t="inlineStr">
        <is>
          <t>Bagged Avocados</t>
        </is>
      </c>
      <c r="F148" t="inlineStr">
        <is>
          <t>FA</t>
        </is>
      </c>
      <c r="G148" t="inlineStr">
        <is>
          <t>238</t>
        </is>
      </c>
      <c r="H148" t="inlineStr">
        <is>
          <t>Bagged Avocados</t>
        </is>
      </c>
      <c r="I148" t="inlineStr">
        <is>
          <t>Fresh Fruit</t>
        </is>
      </c>
      <c r="J148" s="2" t="n">
        <v>46264</v>
      </c>
      <c r="K148" s="1" t="n">
        <v>3.15</v>
      </c>
    </row>
    <row r="149">
      <c r="A149" s="1">
        <f>SUM(K149,M149,O149,Q149,S149)</f>
        <v/>
      </c>
      <c r="C149" t="inlineStr">
        <is>
          <t>Aldi</t>
        </is>
      </c>
      <c r="D149" t="inlineStr">
        <is>
          <t>356504</t>
        </is>
      </c>
      <c r="E149" t="inlineStr">
        <is>
          <t>Blueberries</t>
        </is>
      </c>
      <c r="F149" t="inlineStr">
        <is>
          <t>FA</t>
        </is>
      </c>
      <c r="G149" t="inlineStr">
        <is>
          <t>238</t>
        </is>
      </c>
      <c r="H149" t="inlineStr">
        <is>
          <t>Blueberries</t>
        </is>
      </c>
      <c r="I149" t="inlineStr">
        <is>
          <t>Fresh Fruit</t>
        </is>
      </c>
      <c r="J149" s="2" t="n">
        <v>46264</v>
      </c>
      <c r="K149" s="1" t="n">
        <v>2.59</v>
      </c>
    </row>
    <row r="150">
      <c r="A150" s="1">
        <f>SUM(K150,M150,O150,Q150,S150)</f>
        <v/>
      </c>
      <c r="C150" t="inlineStr">
        <is>
          <t>Aldi</t>
        </is>
      </c>
      <c r="D150" t="inlineStr">
        <is>
          <t>382773</t>
        </is>
      </c>
      <c r="E150" t="inlineStr">
        <is>
          <t>Cosmic Brewnies</t>
        </is>
      </c>
      <c r="F150" t="inlineStr">
        <is>
          <t>FA</t>
        </is>
      </c>
      <c r="G150" t="inlineStr">
        <is>
          <t>238</t>
        </is>
      </c>
      <c r="H150" t="inlineStr">
        <is>
          <t>Cosmic Brownies</t>
        </is>
      </c>
      <c r="I150" t="inlineStr">
        <is>
          <t>Snack Cakes</t>
        </is>
      </c>
      <c r="J150" s="2" t="n">
        <v>46264</v>
      </c>
      <c r="K150" s="1" t="n">
        <v>3.12</v>
      </c>
    </row>
    <row r="151">
      <c r="A151" s="1">
        <f>SUM(K151,M151,O151,Q151,S151)</f>
        <v/>
      </c>
      <c r="C151" t="inlineStr">
        <is>
          <t>Aldi</t>
        </is>
      </c>
      <c r="D151" t="inlineStr">
        <is>
          <t>388137</t>
        </is>
      </c>
      <c r="E151" t="inlineStr">
        <is>
          <t>Large Eggs</t>
        </is>
      </c>
      <c r="F151" t="inlineStr">
        <is>
          <t>FA</t>
        </is>
      </c>
      <c r="G151" t="inlineStr">
        <is>
          <t>238</t>
        </is>
      </c>
      <c r="H151" t="inlineStr">
        <is>
          <t>Large Eggs</t>
        </is>
      </c>
      <c r="I151" t="inlineStr">
        <is>
          <t>Eggs</t>
        </is>
      </c>
      <c r="J151" s="2" t="n">
        <v>46264</v>
      </c>
      <c r="K151" s="1" t="n">
        <v>1.66</v>
      </c>
      <c r="L151" s="2" t="n">
        <v>46264</v>
      </c>
      <c r="M151" s="1" t="n">
        <v>1.66</v>
      </c>
    </row>
    <row r="152">
      <c r="A152" s="1">
        <f>SUM(K152,M152,O152,Q152,S152)</f>
        <v/>
      </c>
      <c r="C152" t="inlineStr">
        <is>
          <t>Aldi</t>
        </is>
      </c>
      <c r="D152" t="inlineStr">
        <is>
          <t>388137</t>
        </is>
      </c>
      <c r="E152" t="inlineStr">
        <is>
          <t>4 lb. Sugar</t>
        </is>
      </c>
      <c r="F152" t="inlineStr">
        <is>
          <t>FA</t>
        </is>
      </c>
      <c r="G152" t="inlineStr">
        <is>
          <t>238</t>
        </is>
      </c>
      <c r="H152" t="inlineStr">
        <is>
          <t>Granulated Sugar, 4 lb</t>
        </is>
      </c>
      <c r="I152" t="inlineStr">
        <is>
          <t>Baking Ingredients</t>
        </is>
      </c>
      <c r="J152" s="2" t="n">
        <v>46264</v>
      </c>
      <c r="K152" s="1" t="n">
        <v>2.75</v>
      </c>
      <c r="L152" s="2" t="n"/>
      <c r="M152" s="1" t="n"/>
    </row>
  </sheetData>
  <autoFilter ref="A1:S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E8" sqref="E8"/>
    </sheetView>
  </sheetViews>
  <sheetFormatPr baseColWidth="10" defaultColWidth="8.83203125" defaultRowHeight="15"/>
  <cols>
    <col width="24" customWidth="1" style="64" min="1" max="1"/>
    <col width="28" customWidth="1" style="64" min="2" max="2"/>
    <col width="34" customWidth="1" style="64" min="3" max="20"/>
  </cols>
  <sheetData>
    <row r="1" ht="24" customHeight="1" s="64">
      <c r="A1" s="46" t="inlineStr">
        <is>
          <t>Category</t>
        </is>
      </c>
      <c r="B1" s="46" t="inlineStr">
        <is>
          <t>Sub-Category</t>
        </is>
      </c>
      <c r="C1" s="46" t="inlineStr">
        <is>
          <t>Product 1</t>
        </is>
      </c>
      <c r="D1" s="46" t="inlineStr">
        <is>
          <t>Product 2</t>
        </is>
      </c>
      <c r="E1" s="46" t="inlineStr">
        <is>
          <t>Product 3</t>
        </is>
      </c>
      <c r="F1" s="46" t="inlineStr">
        <is>
          <t>Product 4</t>
        </is>
      </c>
      <c r="G1" s="46" t="inlineStr">
        <is>
          <t>Product 5</t>
        </is>
      </c>
      <c r="H1" s="46" t="inlineStr">
        <is>
          <t>Product 6</t>
        </is>
      </c>
      <c r="I1" s="46" t="inlineStr">
        <is>
          <t>Product 7</t>
        </is>
      </c>
      <c r="J1" s="46" t="inlineStr">
        <is>
          <t>Product 8</t>
        </is>
      </c>
      <c r="K1" s="46" t="inlineStr">
        <is>
          <t>Product 9</t>
        </is>
      </c>
      <c r="L1" s="46" t="inlineStr">
        <is>
          <t>Product 10</t>
        </is>
      </c>
      <c r="M1" s="46" t="inlineStr">
        <is>
          <t>Product 11</t>
        </is>
      </c>
      <c r="N1" s="46" t="inlineStr">
        <is>
          <t>Product 12</t>
        </is>
      </c>
      <c r="O1" s="46" t="inlineStr">
        <is>
          <t>Product 13</t>
        </is>
      </c>
      <c r="P1" s="46" t="inlineStr">
        <is>
          <t>Product 14</t>
        </is>
      </c>
      <c r="Q1" s="46" t="inlineStr">
        <is>
          <t>Product 15</t>
        </is>
      </c>
      <c r="R1" s="46" t="inlineStr">
        <is>
          <t>Product 16</t>
        </is>
      </c>
      <c r="S1" s="46" t="inlineStr">
        <is>
          <t>Product 17</t>
        </is>
      </c>
      <c r="T1" s="46" t="inlineStr">
        <is>
          <t>Product 18</t>
        </is>
      </c>
    </row>
    <row r="2" ht="36" customHeight="1" s="64">
      <c r="A2" s="47" t="inlineStr">
        <is>
          <t>Baby Care</t>
        </is>
      </c>
      <c r="B2" s="47" t="inlineStr">
        <is>
          <t>Baby &amp; Toddler Food</t>
        </is>
      </c>
      <c r="C2" s="48" t="inlineStr">
        <is>
          <t>Once Upon a Farm Tractor Wheels Toddler Bars</t>
        </is>
      </c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</row>
    <row r="3" ht="36" customHeight="1" s="64">
      <c r="A3" s="49" t="inlineStr">
        <is>
          <t>Baby Care</t>
        </is>
      </c>
      <c r="B3" s="49" t="inlineStr">
        <is>
          <t>Baby Care</t>
        </is>
      </c>
      <c r="C3" s="50" t="inlineStr">
        <is>
          <t>CeraVe Baby Healing Ointment</t>
        </is>
      </c>
      <c r="D3" s="50" t="inlineStr">
        <is>
          <t>Desitin Maximum Strength Diaper Rash Cream</t>
        </is>
      </c>
      <c r="E3" s="50" t="inlineStr">
        <is>
          <t>Huggies Natural Care Baby Wipes</t>
        </is>
      </c>
      <c r="F3" s="50" t="inlineStr">
        <is>
          <t>Pampers Swaddlers Size 5 Diapers</t>
        </is>
      </c>
      <c r="G3" s="50" t="inlineStr">
        <is>
          <t>Safety 1st Soft Grip Brush &amp; Comb</t>
        </is>
      </c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</row>
    <row r="4" ht="36" customHeight="1" s="64">
      <c r="A4" s="51" t="inlineStr">
        <is>
          <t>Pantry</t>
        </is>
      </c>
      <c r="B4" s="51" t="inlineStr">
        <is>
          <t>Baking Ingredients</t>
        </is>
      </c>
      <c r="C4" s="52" t="inlineStr">
        <is>
          <t>Granulated Sugar, 4 lb</t>
        </is>
      </c>
      <c r="D4" s="52" t="inlineStr">
        <is>
          <t>Nestle Toll House Allergen-Free Dark Chocolate Baking Chips</t>
        </is>
      </c>
      <c r="E4" s="52" t="inlineStr">
        <is>
          <t>Nestle Toll House Dark Chocolate Baking Chips</t>
        </is>
      </c>
      <c r="F4" s="52" t="inlineStr">
        <is>
          <t>White Cornmeal</t>
        </is>
      </c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</row>
    <row r="5" ht="36" customHeight="1" s="64">
      <c r="A5" s="53" t="inlineStr">
        <is>
          <t>Dessert</t>
        </is>
      </c>
      <c r="B5" s="53" t="inlineStr">
        <is>
          <t>Baking Mixes</t>
        </is>
      </c>
      <c r="C5" s="54" t="inlineStr">
        <is>
          <t>Ghirardelli Gluten-Free Double Chocolate Brownie Mix</t>
        </is>
      </c>
      <c r="D5" s="54" t="inlineStr">
        <is>
          <t>King Arthur Gluten-Free Pancake Mix</t>
        </is>
      </c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4" t="n"/>
    </row>
    <row r="6" ht="36" customHeight="1" s="64">
      <c r="A6" s="55" t="inlineStr">
        <is>
          <t>Toiletries, Cleaning and Disposables</t>
        </is>
      </c>
      <c r="B6" s="55" t="inlineStr">
        <is>
          <t>Body Wash</t>
        </is>
      </c>
      <c r="C6" s="56" t="inlineStr">
        <is>
          <t>Dove Sensitive Skin Body Wash</t>
        </is>
      </c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</row>
    <row r="7" ht="36" customHeight="1" s="64">
      <c r="A7" s="57" t="inlineStr">
        <is>
          <t>Bakery</t>
        </is>
      </c>
      <c r="B7" s="57" t="inlineStr">
        <is>
          <t>Bread</t>
        </is>
      </c>
      <c r="C7" s="58" t="inlineStr">
        <is>
          <t>Dave's Killer Bread Oats &amp; Blues</t>
        </is>
      </c>
      <c r="D7" s="58" t="inlineStr">
        <is>
          <t>Gluten-Free Wide Pan Bread</t>
        </is>
      </c>
      <c r="E7" s="58" t="inlineStr">
        <is>
          <t>No [or possibly Nature's Own] Honey Wheat Bread</t>
        </is>
      </c>
      <c r="F7" s="58" t="n"/>
      <c r="G7" s="58" t="n"/>
      <c r="H7" s="58" t="n"/>
      <c r="I7" s="58" t="n"/>
      <c r="J7" s="58" t="n"/>
      <c r="K7" s="58" t="n"/>
      <c r="L7" s="58" t="n"/>
      <c r="M7" s="58" t="n"/>
      <c r="N7" s="58" t="n"/>
      <c r="O7" s="58" t="n"/>
      <c r="P7" s="58" t="n"/>
      <c r="Q7" s="58" t="n"/>
      <c r="R7" s="58" t="n"/>
      <c r="S7" s="58" t="n"/>
      <c r="T7" s="58" t="n"/>
    </row>
    <row r="8" ht="36" customHeight="1" s="64">
      <c r="A8" s="47" t="inlineStr">
        <is>
          <t>Pantry</t>
        </is>
      </c>
      <c r="B8" s="47" t="inlineStr">
        <is>
          <t>Canned Beans &amp; Legumes</t>
        </is>
      </c>
      <c r="C8" s="48" t="inlineStr">
        <is>
          <t>Assorted Beans</t>
        </is>
      </c>
      <c r="D8" s="48" t="inlineStr">
        <is>
          <t>Dark Red Kidney Beans</t>
        </is>
      </c>
      <c r="E8" s="48" t="inlineStr">
        <is>
          <t>Organic Chickpeas</t>
        </is>
      </c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</row>
    <row r="9" ht="36" customHeight="1" s="64">
      <c r="A9" s="59" t="inlineStr">
        <is>
          <t>Pantry</t>
        </is>
      </c>
      <c r="B9" s="49" t="inlineStr">
        <is>
          <t>Canned Tomatoes</t>
        </is>
      </c>
      <c r="C9" s="50" t="inlineStr">
        <is>
          <t>Diced Tomatoes with Green Chiles</t>
        </is>
      </c>
      <c r="D9" s="50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</row>
    <row r="10" ht="36" customHeight="1" s="64">
      <c r="A10" s="51" t="inlineStr">
        <is>
          <t>Pets</t>
        </is>
      </c>
      <c r="B10" s="51" t="inlineStr">
        <is>
          <t>Cat Litter</t>
        </is>
      </c>
      <c r="C10" s="52" t="inlineStr">
        <is>
          <t>Purina Tidy Cats Clumping Cat Litter</t>
        </is>
      </c>
      <c r="D10" s="52" t="n"/>
      <c r="E10" s="52" t="n"/>
      <c r="F10" s="52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</row>
    <row r="11" ht="36" customHeight="1" s="64">
      <c r="A11" s="53" t="inlineStr">
        <is>
          <t>Dairy</t>
        </is>
      </c>
      <c r="B11" s="53" t="inlineStr">
        <is>
          <t>Cheese</t>
        </is>
      </c>
      <c r="C11" s="54" t="inlineStr">
        <is>
          <t>Cabot Mexican Shredded Cheese</t>
        </is>
      </c>
      <c r="D11" s="54" t="inlineStr">
        <is>
          <t>Deli Sliced Cheese</t>
        </is>
      </c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 t="n"/>
    </row>
    <row r="12" ht="36" customHeight="1" s="64">
      <c r="A12" s="60" t="inlineStr">
        <is>
          <t>Condiments &amp; Seasonings</t>
        </is>
      </c>
      <c r="B12" s="55" t="inlineStr">
        <is>
          <t>Cooking Oils &amp; Sprays</t>
        </is>
      </c>
      <c r="C12" s="56" t="inlineStr">
        <is>
          <t>Canola Oil</t>
        </is>
      </c>
      <c r="D12" s="56" t="inlineStr">
        <is>
          <t>Olive Oil Cooking Spray</t>
        </is>
      </c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</row>
    <row r="13" ht="36" customHeight="1" s="64">
      <c r="A13" s="57" t="inlineStr">
        <is>
          <t>Pantry</t>
        </is>
      </c>
      <c r="B13" s="57" t="inlineStr">
        <is>
          <t>Crackers</t>
        </is>
      </c>
      <c r="C13" s="58" t="inlineStr">
        <is>
          <t>Peanut Butter Toast Crackers</t>
        </is>
      </c>
      <c r="D13" s="58" t="n"/>
      <c r="E13" s="58" t="n"/>
      <c r="F13" s="58" t="n"/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</row>
    <row r="14" ht="36" customHeight="1" s="64">
      <c r="A14" s="47" t="inlineStr">
        <is>
          <t>Dairy</t>
        </is>
      </c>
      <c r="B14" s="47" t="inlineStr">
        <is>
          <t>Cream &amp; Half-and-Half</t>
        </is>
      </c>
      <c r="C14" s="48" t="inlineStr">
        <is>
          <t>Publix Half &amp; Half, Half Gallon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</row>
    <row r="15" ht="36" customHeight="1" s="64">
      <c r="A15" s="59" t="inlineStr">
        <is>
          <t>Dairy</t>
        </is>
      </c>
      <c r="B15" s="49" t="inlineStr">
        <is>
          <t>Cream Cheese</t>
        </is>
      </c>
      <c r="C15" s="50" t="inlineStr">
        <is>
          <t>Whipped Cream Cheese</t>
        </is>
      </c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</row>
    <row r="16" ht="36" customHeight="1" s="64">
      <c r="A16" s="51" t="inlineStr">
        <is>
          <t>Pantry</t>
        </is>
      </c>
      <c r="B16" s="51" t="inlineStr">
        <is>
          <t>Croutons</t>
        </is>
      </c>
      <c r="C16" s="52" t="inlineStr">
        <is>
          <t>Organic Croutons</t>
        </is>
      </c>
      <c r="D16" s="52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</row>
    <row r="17" ht="36" customHeight="1" s="64">
      <c r="A17" s="53" t="inlineStr">
        <is>
          <t>Meat</t>
        </is>
      </c>
      <c r="B17" s="53" t="inlineStr">
        <is>
          <t>Deli Meat</t>
        </is>
      </c>
      <c r="C17" s="54" t="inlineStr">
        <is>
          <t>Hillshire Farm Oven Roasted Turkey Breast</t>
        </is>
      </c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  <c r="R17" s="54" t="n"/>
      <c r="S17" s="54" t="n"/>
      <c r="T17" s="54" t="n"/>
    </row>
    <row r="18" ht="36" customHeight="1" s="64">
      <c r="A18" s="55" t="inlineStr">
        <is>
          <t>Toiletries, Cleaning and Disposables</t>
        </is>
      </c>
      <c r="B18" s="55" t="inlineStr">
        <is>
          <t>Deodorant</t>
        </is>
      </c>
      <c r="C18" s="56" t="inlineStr">
        <is>
          <t>Dove Men+Care Antiperspirant</t>
        </is>
      </c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</row>
    <row r="19" ht="36" customHeight="1" s="64">
      <c r="A19" s="57" t="inlineStr">
        <is>
          <t>Condiments &amp; Seasonings</t>
        </is>
      </c>
      <c r="B19" s="57" t="inlineStr">
        <is>
          <t>Dips &amp; Spreads</t>
        </is>
      </c>
      <c r="C19" s="58" t="inlineStr">
        <is>
          <t>Hummus Mini Cups</t>
        </is>
      </c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  <c r="R19" s="58" t="n"/>
      <c r="S19" s="58" t="n"/>
      <c r="T19" s="58" t="n"/>
    </row>
    <row r="20" ht="36" customHeight="1" s="64">
      <c r="A20" s="47" t="inlineStr">
        <is>
          <t>Toiletries, Cleaning and Disposables</t>
        </is>
      </c>
      <c r="B20" s="47" t="inlineStr">
        <is>
          <t>Dishwashing Supplies</t>
        </is>
      </c>
      <c r="C20" s="48" t="inlineStr">
        <is>
          <t>Dawn Dish Cleaning Brush Wand</t>
        </is>
      </c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</row>
    <row r="21" ht="36" customHeight="1" s="64">
      <c r="A21" s="49" t="inlineStr">
        <is>
          <t>Toiletries, Cleaning and Disposables</t>
        </is>
      </c>
      <c r="B21" s="49" t="inlineStr">
        <is>
          <t>Disposable Tableware</t>
        </is>
      </c>
      <c r="C21" s="50" t="inlineStr">
        <is>
          <t>Everyday Paper Plates, 8.5 Inch</t>
        </is>
      </c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</row>
    <row r="22" ht="36" customHeight="1" s="64">
      <c r="A22" s="51" t="inlineStr">
        <is>
          <t>Eggs</t>
        </is>
      </c>
      <c r="B22" s="51" t="inlineStr">
        <is>
          <t>Eggs</t>
        </is>
      </c>
      <c r="C22" s="52" t="inlineStr">
        <is>
          <t>Great Value Large White Eggs</t>
        </is>
      </c>
      <c r="D22" s="52" t="inlineStr">
        <is>
          <t>Large Eggs</t>
        </is>
      </c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</row>
    <row r="23" ht="36" customHeight="1" s="64">
      <c r="A23" s="53" t="inlineStr">
        <is>
          <t>Fees</t>
        </is>
      </c>
      <c r="B23" s="53" t="inlineStr">
        <is>
          <t>Fees &amp; Charges</t>
        </is>
      </c>
      <c r="C23" s="54" t="inlineStr">
        <is>
          <t>Driver Tip</t>
        </is>
      </c>
      <c r="D23" s="54" t="inlineStr">
        <is>
          <t>Express Delivery Fee</t>
        </is>
      </c>
      <c r="E23" s="54" t="inlineStr">
        <is>
          <t>Price Adjustment</t>
        </is>
      </c>
      <c r="F23" s="54" t="inlineStr">
        <is>
          <t>Tax</t>
        </is>
      </c>
      <c r="G23" s="54" t="inlineStr">
        <is>
          <t>Tip</t>
        </is>
      </c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  <c r="R23" s="54" t="n"/>
      <c r="S23" s="54" t="n"/>
      <c r="T23" s="54" t="n"/>
    </row>
    <row r="24" ht="36" customHeight="1" s="64">
      <c r="A24" s="55" t="inlineStr">
        <is>
          <t>Toiletries, Cleaning and Disposables</t>
        </is>
      </c>
      <c r="B24" s="55" t="inlineStr">
        <is>
          <t>Food Storage</t>
        </is>
      </c>
      <c r="C24" s="56" t="inlineStr">
        <is>
          <t>Ziploc Gallon Freezer Bags</t>
        </is>
      </c>
      <c r="D24" s="56" t="inlineStr">
        <is>
          <t>Ziploc Quart Freezer Bags</t>
        </is>
      </c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</row>
    <row r="25" ht="36" customHeight="1" s="64">
      <c r="A25" s="57" t="inlineStr">
        <is>
          <t>Produce</t>
        </is>
      </c>
      <c r="B25" s="57" t="inlineStr">
        <is>
          <t>Fresh Fruit</t>
        </is>
      </c>
      <c r="C25" s="58" t="inlineStr">
        <is>
          <t>Avocados</t>
        </is>
      </c>
      <c r="D25" s="58" t="inlineStr">
        <is>
          <t>Bagged Avocados</t>
        </is>
      </c>
      <c r="E25" s="58" t="inlineStr">
        <is>
          <t>Bananas</t>
        </is>
      </c>
      <c r="F25" s="58" t="inlineStr">
        <is>
          <t>Blueberries</t>
        </is>
      </c>
      <c r="G25" s="58" t="inlineStr">
        <is>
          <t>Golden Kiwi</t>
        </is>
      </c>
      <c r="H25" s="58" t="inlineStr">
        <is>
          <t>Mandarin Oranges</t>
        </is>
      </c>
      <c r="I25" s="58" t="inlineStr">
        <is>
          <t>Pink Lady Apples</t>
        </is>
      </c>
      <c r="J25" s="58" t="inlineStr">
        <is>
          <t>Strawberries</t>
        </is>
      </c>
      <c r="K25" s="58" t="inlineStr">
        <is>
          <t>Strawberries, 1 lb</t>
        </is>
      </c>
      <c r="L25" s="58" t="n"/>
      <c r="M25" s="58" t="n"/>
      <c r="N25" s="58" t="n"/>
      <c r="O25" s="58" t="n"/>
      <c r="P25" s="58" t="n"/>
      <c r="Q25" s="58" t="n"/>
      <c r="R25" s="58" t="n"/>
      <c r="S25" s="58" t="n"/>
      <c r="T25" s="58" t="n"/>
    </row>
    <row r="26" ht="36" customHeight="1" s="64">
      <c r="A26" s="47" t="inlineStr">
        <is>
          <t>Produce</t>
        </is>
      </c>
      <c r="B26" s="47" t="inlineStr">
        <is>
          <t>Fresh Herbs</t>
        </is>
      </c>
      <c r="C26" s="48" t="inlineStr">
        <is>
          <t>Cilantro</t>
        </is>
      </c>
      <c r="D26" s="48" t="inlineStr">
        <is>
          <t>Parsley</t>
        </is>
      </c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</row>
    <row r="27" ht="36" customHeight="1" s="64">
      <c r="A27" s="49" t="inlineStr">
        <is>
          <t>Meat</t>
        </is>
      </c>
      <c r="B27" s="49" t="inlineStr">
        <is>
          <t>Fresh Poultry</t>
        </is>
      </c>
      <c r="C27" s="50" t="inlineStr">
        <is>
          <t>Empire Kosher Ground Turkey</t>
        </is>
      </c>
      <c r="D27" s="50" t="n"/>
      <c r="E27" s="50" t="n"/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</row>
    <row r="28" ht="36" customHeight="1" s="64">
      <c r="A28" s="51" t="inlineStr">
        <is>
          <t>Fish</t>
        </is>
      </c>
      <c r="B28" s="51" t="inlineStr">
        <is>
          <t>Fresh Seafood</t>
        </is>
      </c>
      <c r="C28" s="52" t="inlineStr">
        <is>
          <t>GreenWise Keta Salmon Fillet</t>
        </is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</row>
    <row r="29" ht="36" customHeight="1" s="64">
      <c r="A29" s="53" t="inlineStr">
        <is>
          <t>Produce</t>
        </is>
      </c>
      <c r="B29" s="53" t="inlineStr">
        <is>
          <t>Fresh Vegetables</t>
        </is>
      </c>
      <c r="C29" s="54" t="inlineStr">
        <is>
          <t>Baby Carrots</t>
        </is>
      </c>
      <c r="D29" s="54" t="inlineStr">
        <is>
          <t>Beefsteak Tomatoes</t>
        </is>
      </c>
      <c r="E29" s="54" t="inlineStr">
        <is>
          <t>Broccoli Crowns</t>
        </is>
      </c>
      <c r="F29" s="54" t="inlineStr">
        <is>
          <t>Flat Leaf Spinach</t>
        </is>
      </c>
      <c r="G29" s="54" t="inlineStr">
        <is>
          <t>Grape Tomatoes</t>
        </is>
      </c>
      <c r="H29" s="54" t="inlineStr">
        <is>
          <t>Green Beans</t>
        </is>
      </c>
      <c r="I29" s="54" t="inlineStr">
        <is>
          <t>Medley Potatoes</t>
        </is>
      </c>
      <c r="J29" s="54" t="inlineStr">
        <is>
          <t>Mini Cucumbers</t>
        </is>
      </c>
      <c r="K29" s="54" t="inlineStr">
        <is>
          <t>Multi-Color Peppers, 3-Pack</t>
        </is>
      </c>
      <c r="L29" s="54" t="inlineStr">
        <is>
          <t>Organic Baby Carrots</t>
        </is>
      </c>
      <c r="M29" s="54" t="inlineStr">
        <is>
          <t>Red Onion</t>
        </is>
      </c>
      <c r="N29" s="54" t="inlineStr">
        <is>
          <t>Red Onions</t>
        </is>
      </c>
      <c r="O29" s="54" t="inlineStr">
        <is>
          <t>Red Potatoes</t>
        </is>
      </c>
      <c r="P29" s="54" t="inlineStr">
        <is>
          <t>Ruby Sensation Potato Nibbles</t>
        </is>
      </c>
      <c r="Q29" s="54" t="inlineStr">
        <is>
          <t>Sweet Potatoes</t>
        </is>
      </c>
      <c r="R29" s="54" t="inlineStr">
        <is>
          <t>Tomatoes on the Vine</t>
        </is>
      </c>
      <c r="S29" s="54" t="inlineStr">
        <is>
          <t>Yellow Squash</t>
        </is>
      </c>
      <c r="T29" s="54" t="inlineStr">
        <is>
          <t>Zucchini</t>
        </is>
      </c>
    </row>
    <row r="30" ht="36" customHeight="1" s="64">
      <c r="A30" s="55" t="inlineStr">
        <is>
          <t>Produce</t>
        </is>
      </c>
      <c r="B30" s="55" t="inlineStr">
        <is>
          <t>Fresh-Cut Fruit</t>
        </is>
      </c>
      <c r="C30" s="56" t="inlineStr">
        <is>
          <t>Pineapple &amp; Watermelon Spears</t>
        </is>
      </c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</row>
    <row r="31" ht="36" customHeight="1" s="64">
      <c r="A31" s="57" t="inlineStr">
        <is>
          <t>Frozen</t>
        </is>
      </c>
      <c r="B31" s="57" t="inlineStr">
        <is>
          <t>Frozen Breakfast</t>
        </is>
      </c>
      <c r="C31" s="58" t="inlineStr">
        <is>
          <t>Van's Gluten Free Blueberry Waffles</t>
        </is>
      </c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  <c r="R31" s="58" t="n"/>
      <c r="S31" s="58" t="n"/>
      <c r="T31" s="58" t="n"/>
    </row>
    <row r="32" ht="36" customHeight="1" s="64">
      <c r="A32" s="47" t="inlineStr">
        <is>
          <t>Meat</t>
        </is>
      </c>
      <c r="B32" s="47" t="inlineStr">
        <is>
          <t>Frozen Meat</t>
        </is>
      </c>
      <c r="C32" s="48" t="inlineStr">
        <is>
          <t>Applegate Chicken &amp; Maple Breakfast Sausage</t>
        </is>
      </c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</row>
    <row r="33" ht="36" customHeight="1" s="64">
      <c r="A33" s="49" t="inlineStr">
        <is>
          <t>Frozen Food</t>
        </is>
      </c>
      <c r="B33" s="49" t="inlineStr">
        <is>
          <t>Frozen Pizza</t>
        </is>
      </c>
      <c r="C33" s="50" t="inlineStr">
        <is>
          <t>Cauliflower Crust Pizza</t>
        </is>
      </c>
      <c r="D33" s="50" t="n"/>
      <c r="E33" s="50" t="n"/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</row>
    <row r="34" ht="36" customHeight="1" s="64">
      <c r="A34" s="61" t="inlineStr">
        <is>
          <t>Frozen Food</t>
        </is>
      </c>
      <c r="B34" s="51" t="inlineStr">
        <is>
          <t>Frozen Plantains</t>
        </is>
      </c>
      <c r="C34" s="52" t="inlineStr">
        <is>
          <t>Chiquita Maduros Sweet Plantains</t>
        </is>
      </c>
      <c r="D34" s="52" t="n"/>
      <c r="E34" s="52" t="n"/>
      <c r="F34" s="52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</row>
    <row r="35" ht="36" customHeight="1" s="64">
      <c r="A35" s="62" t="inlineStr">
        <is>
          <t>Frozen Food</t>
        </is>
      </c>
      <c r="B35" s="53" t="inlineStr">
        <is>
          <t>Frozen Sandwiches</t>
        </is>
      </c>
      <c r="C35" s="54" t="inlineStr">
        <is>
          <t>Crustless Peanut Butter &amp; Jelly Sandwiches</t>
        </is>
      </c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</row>
    <row r="36" ht="36" customHeight="1" s="64">
      <c r="A36" s="55" t="inlineStr">
        <is>
          <t>Frozen Food</t>
        </is>
      </c>
      <c r="B36" s="55" t="inlineStr">
        <is>
          <t>Frozen Vegetables</t>
        </is>
      </c>
      <c r="C36" s="56" t="inlineStr">
        <is>
          <t>Birds Eye Steamfresh Sweet Peas</t>
        </is>
      </c>
      <c r="D36" s="56" t="inlineStr">
        <is>
          <t>Organic Peas &amp; Corn</t>
        </is>
      </c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</row>
    <row r="37" ht="36" customHeight="1" s="64">
      <c r="A37" s="57" t="inlineStr">
        <is>
          <t>Self Care</t>
        </is>
      </c>
      <c r="B37" s="57" t="inlineStr">
        <is>
          <t>Hair Care</t>
        </is>
      </c>
      <c r="C37" s="58" t="inlineStr">
        <is>
          <t>Honest Company Conditioning Detangler</t>
        </is>
      </c>
      <c r="D37" s="58" t="n"/>
      <c r="E37" s="58" t="n"/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58" t="n"/>
      <c r="P37" s="58" t="n"/>
      <c r="Q37" s="58" t="n"/>
      <c r="R37" s="58" t="n"/>
      <c r="S37" s="58" t="n"/>
      <c r="T37" s="58" t="n"/>
    </row>
    <row r="38" ht="36" customHeight="1" s="64">
      <c r="A38" s="47" t="inlineStr">
        <is>
          <t>Home Improvement</t>
        </is>
      </c>
      <c r="B38" s="47" t="inlineStr">
        <is>
          <t>Home Improvement</t>
        </is>
      </c>
      <c r="C38" s="48" t="inlineStr">
        <is>
          <t>Command Heavy Duty Picture Hangers</t>
        </is>
      </c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</row>
    <row r="39" ht="36" customHeight="1" s="64">
      <c r="A39" s="49" t="inlineStr">
        <is>
          <t>Meat</t>
        </is>
      </c>
      <c r="B39" s="49" t="inlineStr">
        <is>
          <t>Hot Dogs &amp; Sausages</t>
        </is>
      </c>
      <c r="C39" s="50" t="inlineStr">
        <is>
          <t>Hebrew National Beef Franks</t>
        </is>
      </c>
      <c r="D39" s="50" t="n"/>
      <c r="E39" s="50" t="n"/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</row>
    <row r="40" ht="36" customHeight="1" s="64">
      <c r="A40" s="51" t="inlineStr">
        <is>
          <t>Toiletries, Cleaning and Disposables</t>
        </is>
      </c>
      <c r="B40" s="51" t="inlineStr">
        <is>
          <t>Household Cleaners</t>
        </is>
      </c>
      <c r="C40" s="52" t="inlineStr">
        <is>
          <t>Weiman Granite &amp; Stone Cleaner &amp; Polish</t>
        </is>
      </c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</row>
    <row r="41" ht="36" customHeight="1" s="64">
      <c r="A41" s="53" t="inlineStr">
        <is>
          <t>Pantry</t>
        </is>
      </c>
      <c r="B41" s="53" t="inlineStr">
        <is>
          <t>Jarred Vegetables</t>
        </is>
      </c>
      <c r="C41" s="54" t="inlineStr">
        <is>
          <t>Fire Roasted Red Peppers</t>
        </is>
      </c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</row>
    <row r="42" ht="36" customHeight="1" s="64">
      <c r="A42" s="55" t="inlineStr">
        <is>
          <t>Torah</t>
        </is>
      </c>
      <c r="B42" s="55" t="inlineStr">
        <is>
          <t>Judaica</t>
        </is>
      </c>
      <c r="C42" s="56" t="inlineStr">
        <is>
          <t>Yehuda Sabbath Candles</t>
        </is>
      </c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</row>
    <row r="43" ht="36" customHeight="1" s="64">
      <c r="A43" s="57" t="inlineStr">
        <is>
          <t>Pantry</t>
        </is>
      </c>
      <c r="B43" s="57" t="inlineStr">
        <is>
          <t>Macaroni &amp; Cheese</t>
        </is>
      </c>
      <c r="C43" s="58" t="inlineStr">
        <is>
          <t>Annie's Gluten-Free Deluxe Shells &amp; Cheddar</t>
        </is>
      </c>
      <c r="D43" s="58" t="inlineStr">
        <is>
          <t>Banza White Cheddar Shells</t>
        </is>
      </c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</row>
    <row r="44" ht="36" customHeight="1" s="64">
      <c r="A44" s="47" t="inlineStr">
        <is>
          <t>Dairy</t>
        </is>
      </c>
      <c r="B44" s="47" t="inlineStr">
        <is>
          <t>Milk</t>
        </is>
      </c>
      <c r="C44" s="48" t="inlineStr">
        <is>
          <t>Fairlife Chocolate Milk</t>
        </is>
      </c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</row>
    <row r="45" ht="36" customHeight="1" s="64">
      <c r="A45" s="49" t="inlineStr">
        <is>
          <t>Bakery</t>
        </is>
      </c>
      <c r="B45" s="49" t="inlineStr">
        <is>
          <t>Muffins &amp; Pastries</t>
        </is>
      </c>
      <c r="C45" s="50" t="inlineStr">
        <is>
          <t>Gluten-Free Blueberry Muffins</t>
        </is>
      </c>
      <c r="D45" s="50" t="n"/>
      <c r="E45" s="50" t="n"/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</row>
    <row r="46" ht="36" customHeight="1" s="64">
      <c r="A46" s="51" t="inlineStr">
        <is>
          <t>Pantry</t>
        </is>
      </c>
      <c r="B46" s="51" t="inlineStr">
        <is>
          <t>Pasta</t>
        </is>
      </c>
      <c r="C46" s="52" t="inlineStr">
        <is>
          <t>Chickpea Fusilli Pasta</t>
        </is>
      </c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</row>
    <row r="47" ht="36" customHeight="1" s="64">
      <c r="A47" s="53" t="inlineStr">
        <is>
          <t>Pantry</t>
        </is>
      </c>
      <c r="B47" s="53" t="inlineStr">
        <is>
          <t>Peanut Butter</t>
        </is>
      </c>
      <c r="C47" s="54" t="inlineStr">
        <is>
          <t>Jif No Sugar Added Creamy Peanut Butter</t>
        </is>
      </c>
      <c r="D47" s="54" t="n"/>
      <c r="E47" s="54" t="n"/>
      <c r="F47" s="54" t="n"/>
      <c r="G47" s="54" t="n"/>
      <c r="H47" s="54" t="n"/>
      <c r="I47" s="54" t="n"/>
      <c r="J47" s="54" t="n"/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4" t="n"/>
    </row>
    <row r="48" ht="36" customHeight="1" s="64">
      <c r="A48" s="55" t="inlineStr">
        <is>
          <t>Dairy</t>
        </is>
      </c>
      <c r="B48" s="55" t="inlineStr">
        <is>
          <t>Plant-Based Cheese</t>
        </is>
      </c>
      <c r="C48" s="56" t="inlineStr">
        <is>
          <t>Daiya Mexican Blend Shreds</t>
        </is>
      </c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</row>
    <row r="49" ht="36" customHeight="1" s="64">
      <c r="A49" s="57" t="inlineStr">
        <is>
          <t>Dairy</t>
        </is>
      </c>
      <c r="B49" s="57" t="inlineStr">
        <is>
          <t>Plant-Based Milk</t>
        </is>
      </c>
      <c r="C49" s="58" t="inlineStr">
        <is>
          <t>Chobani Extra Creamy Oatmilk</t>
        </is>
      </c>
      <c r="D49" s="58" t="inlineStr">
        <is>
          <t>Silk Organic Unsweet Soymilk, Half Gallon</t>
        </is>
      </c>
      <c r="E49" s="58" t="n"/>
      <c r="F49" s="58" t="n"/>
      <c r="G49" s="58" t="n"/>
      <c r="H49" s="58" t="n"/>
      <c r="I49" s="58" t="n"/>
      <c r="J49" s="58" t="n"/>
      <c r="K49" s="58" t="n"/>
      <c r="L49" s="58" t="n"/>
      <c r="M49" s="58" t="n"/>
      <c r="N49" s="58" t="n"/>
      <c r="O49" s="58" t="n"/>
      <c r="P49" s="58" t="n"/>
      <c r="Q49" s="58" t="n"/>
      <c r="R49" s="58" t="n"/>
      <c r="S49" s="58" t="n"/>
      <c r="T49" s="58" t="n"/>
    </row>
    <row r="50" ht="36" customHeight="1" s="64">
      <c r="A50" s="47" t="inlineStr">
        <is>
          <t>Pantry</t>
        </is>
      </c>
      <c r="B50" s="47" t="inlineStr">
        <is>
          <t>Popcorn</t>
        </is>
      </c>
      <c r="C50" s="48" t="inlineStr">
        <is>
          <t>LesserEvil Popcorn</t>
        </is>
      </c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</row>
    <row r="51" ht="36" customHeight="1" s="64">
      <c r="A51" s="49" t="inlineStr">
        <is>
          <t>Prepared Eating</t>
        </is>
      </c>
      <c r="B51" s="49" t="inlineStr">
        <is>
          <t>Prepared Coffee</t>
        </is>
      </c>
      <c r="C51" s="50" t="inlineStr">
        <is>
          <t>1 Caramel Macchiato</t>
        </is>
      </c>
      <c r="D51" s="50" t="inlineStr">
        <is>
          <t>1 Iced Caramel Macchiato</t>
        </is>
      </c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</row>
    <row r="52" ht="36" customHeight="1" s="64">
      <c r="A52" s="51" t="inlineStr">
        <is>
          <t>Prepared Eating</t>
        </is>
      </c>
      <c r="B52" s="51" t="inlineStr">
        <is>
          <t>Prepared Meals</t>
        </is>
      </c>
      <c r="C52" s="52" t="inlineStr">
        <is>
          <t>1 Chicken N French Toast</t>
        </is>
      </c>
      <c r="D52" s="52" t="inlineStr">
        <is>
          <t>1 Frenchy Plate</t>
        </is>
      </c>
      <c r="E52" s="52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</row>
    <row r="53" ht="36" customHeight="1" s="64">
      <c r="A53" s="53" t="inlineStr">
        <is>
          <t>Dessert</t>
        </is>
      </c>
      <c r="B53" s="53" t="inlineStr">
        <is>
          <t>Refrigerated Dough</t>
        </is>
      </c>
      <c r="C53" s="54" t="inlineStr">
        <is>
          <t>Sweet Loren's Gluten Free Brownie Cookie Dough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54" t="n"/>
      <c r="M53" s="54" t="n"/>
      <c r="N53" s="54" t="n"/>
      <c r="O53" s="54" t="n"/>
      <c r="P53" s="54" t="n"/>
      <c r="Q53" s="54" t="n"/>
      <c r="R53" s="54" t="n"/>
      <c r="S53" s="54" t="n"/>
      <c r="T53" s="54" t="n"/>
    </row>
    <row r="54" ht="36" customHeight="1" s="64">
      <c r="A54" s="55" t="inlineStr">
        <is>
          <t>Pantry</t>
        </is>
      </c>
      <c r="B54" s="55" t="inlineStr">
        <is>
          <t>Rice &amp; Grains</t>
        </is>
      </c>
      <c r="C54" s="56" t="inlineStr">
        <is>
          <t>Mahatma Jasmine Rice</t>
        </is>
      </c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</row>
    <row r="55" ht="36" customHeight="1" s="64">
      <c r="A55" s="57" t="inlineStr">
        <is>
          <t>Pantry</t>
        </is>
      </c>
      <c r="B55" s="57" t="inlineStr">
        <is>
          <t>Salad Dressing</t>
        </is>
      </c>
      <c r="C55" s="58" t="inlineStr">
        <is>
          <t>Vinaigrette Dressing</t>
        </is>
      </c>
      <c r="D55" s="58" t="n"/>
      <c r="E55" s="58" t="n"/>
      <c r="F55" s="58" t="n"/>
      <c r="G55" s="58" t="n"/>
      <c r="H55" s="58" t="n"/>
      <c r="I55" s="58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8" t="n"/>
    </row>
    <row r="56" ht="36" customHeight="1" s="64">
      <c r="A56" s="47" t="inlineStr">
        <is>
          <t>Produce</t>
        </is>
      </c>
      <c r="B56" s="47" t="inlineStr">
        <is>
          <t>Salad Kits</t>
        </is>
      </c>
      <c r="C56" s="48" t="inlineStr">
        <is>
          <t>Taylor Farms Chopped Caesar Salad Kit</t>
        </is>
      </c>
      <c r="D56" s="48" t="inlineStr">
        <is>
          <t>Taylor Farms Everything Chopped Salad Kit</t>
        </is>
      </c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</row>
    <row r="57" ht="36" customHeight="1" s="64">
      <c r="A57" s="49" t="inlineStr">
        <is>
          <t>Condiments &amp; Seasonings</t>
        </is>
      </c>
      <c r="B57" s="49" t="inlineStr">
        <is>
          <t>Sauces &amp; Condiments</t>
        </is>
      </c>
      <c r="C57" s="50" t="inlineStr">
        <is>
          <t>Cholula Cremosa Cilantro Lime Sauce</t>
        </is>
      </c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</row>
    <row r="58" ht="36" customHeight="1" s="64">
      <c r="A58" s="51" t="inlineStr">
        <is>
          <t>Condiments &amp; Seasonings</t>
        </is>
      </c>
      <c r="B58" s="51" t="inlineStr">
        <is>
          <t>Seasonings &amp; Spices</t>
        </is>
      </c>
      <c r="C58" s="52" t="inlineStr">
        <is>
          <t>Lawry's Garlic Salt</t>
        </is>
      </c>
      <c r="D58" s="52" t="inlineStr">
        <is>
          <t>McCormick Everything Bagel Seasoning</t>
        </is>
      </c>
      <c r="E58" s="52" t="inlineStr">
        <is>
          <t>McCormick Sea Salt Grinder</t>
        </is>
      </c>
      <c r="F58" s="52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</row>
    <row r="59" ht="36" customHeight="1" s="64">
      <c r="A59" s="53" t="inlineStr">
        <is>
          <t>Pantry</t>
        </is>
      </c>
      <c r="B59" s="53" t="inlineStr">
        <is>
          <t>Snack Bars</t>
        </is>
      </c>
      <c r="C59" s="54" t="inlineStr">
        <is>
          <t>Fruit &amp; Grain Bars</t>
        </is>
      </c>
      <c r="D59" s="54" t="inlineStr">
        <is>
          <t>Nature's Bakery Gluten-Free Raspberry Fig Bars</t>
        </is>
      </c>
      <c r="E59" s="54" t="n"/>
      <c r="F59" s="54" t="n"/>
      <c r="G59" s="54" t="n"/>
      <c r="H59" s="54" t="n"/>
      <c r="I59" s="54" t="n"/>
      <c r="J59" s="54" t="n"/>
      <c r="K59" s="54" t="n"/>
      <c r="L59" s="54" t="n"/>
      <c r="M59" s="54" t="n"/>
      <c r="N59" s="54" t="n"/>
      <c r="O59" s="54" t="n"/>
      <c r="P59" s="54" t="n"/>
      <c r="Q59" s="54" t="n"/>
      <c r="R59" s="54" t="n"/>
      <c r="S59" s="54" t="n"/>
      <c r="T59" s="54" t="n"/>
    </row>
    <row r="60" ht="36" customHeight="1" s="64">
      <c r="A60" s="60" t="inlineStr">
        <is>
          <t>Dessert</t>
        </is>
      </c>
      <c r="B60" s="55" t="inlineStr">
        <is>
          <t>Snack Cakes</t>
        </is>
      </c>
      <c r="C60" s="56" t="inlineStr">
        <is>
          <t>Cosmic Brownies</t>
        </is>
      </c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</row>
    <row r="61" ht="36" customHeight="1" s="64">
      <c r="A61" s="57" t="inlineStr">
        <is>
          <t>Dairy</t>
        </is>
      </c>
      <c r="B61" s="57" t="inlineStr">
        <is>
          <t>Specialty Cheese</t>
        </is>
      </c>
      <c r="C61" s="58" t="inlineStr">
        <is>
          <t>Feta Cheese Crumbles</t>
        </is>
      </c>
      <c r="D61" s="58" t="inlineStr">
        <is>
          <t>Goat Cheese Logs</t>
        </is>
      </c>
      <c r="E61" s="58" t="n"/>
      <c r="F61" s="58" t="n"/>
      <c r="G61" s="58" t="n"/>
      <c r="H61" s="58" t="n"/>
      <c r="I61" s="58" t="n"/>
      <c r="J61" s="58" t="n"/>
      <c r="K61" s="58" t="n"/>
      <c r="L61" s="58" t="n"/>
      <c r="M61" s="58" t="n"/>
      <c r="N61" s="58" t="n"/>
      <c r="O61" s="58" t="n"/>
      <c r="P61" s="58" t="n"/>
      <c r="Q61" s="58" t="n"/>
      <c r="R61" s="58" t="n"/>
      <c r="S61" s="58" t="n"/>
      <c r="T61" s="58" t="n"/>
    </row>
    <row r="62" ht="36" customHeight="1" s="64">
      <c r="A62" s="47" t="inlineStr">
        <is>
          <t>Toiletries, Cleaning and Disposables</t>
        </is>
      </c>
      <c r="B62" s="47" t="inlineStr">
        <is>
          <t>Storage &amp; Organization</t>
        </is>
      </c>
      <c r="C62" s="48" t="inlineStr">
        <is>
          <t>Collapsible Storage Container/Bin</t>
        </is>
      </c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</row>
    <row r="63" ht="36" customHeight="1" s="64">
      <c r="A63" s="59" t="inlineStr">
        <is>
          <t>Pantry</t>
        </is>
      </c>
      <c r="B63" s="49" t="inlineStr">
        <is>
          <t>Tortillas</t>
        </is>
      </c>
      <c r="C63" s="50" t="inlineStr">
        <is>
          <t>High-Fiber Tortillas</t>
        </is>
      </c>
      <c r="D63" s="50" t="inlineStr">
        <is>
          <t>White Corn Tortillas</t>
        </is>
      </c>
      <c r="E63" s="50" t="n"/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</row>
    <row r="64" ht="36" customHeight="1" s="64">
      <c r="A64" s="51" t="inlineStr">
        <is>
          <t>Wine</t>
        </is>
      </c>
      <c r="B64" s="51" t="inlineStr">
        <is>
          <t>Wine</t>
        </is>
      </c>
      <c r="C64" s="52" t="inlineStr">
        <is>
          <t>Häagen-Dazs Blackberry Ice Cream</t>
        </is>
      </c>
      <c r="D64" s="52" t="n"/>
      <c r="E64" s="52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</row>
    <row r="65" ht="36" customHeight="1" s="64">
      <c r="A65" s="53" t="inlineStr">
        <is>
          <t>Office Supplies</t>
        </is>
      </c>
      <c r="B65" s="53" t="inlineStr">
        <is>
          <t>Writing Supplies</t>
        </is>
      </c>
      <c r="C65" s="54" t="inlineStr">
        <is>
          <t>Gel Pens, 3-Pack</t>
        </is>
      </c>
      <c r="D65" s="54" t="n"/>
      <c r="E65" s="54" t="n"/>
      <c r="F65" s="54" t="n"/>
      <c r="G65" s="54" t="n"/>
      <c r="H65" s="54" t="n"/>
      <c r="I65" s="54" t="n"/>
      <c r="J65" s="54" t="n"/>
      <c r="K65" s="54" t="n"/>
      <c r="L65" s="54" t="n"/>
      <c r="M65" s="54" t="n"/>
      <c r="N65" s="54" t="n"/>
      <c r="O65" s="54" t="n"/>
      <c r="P65" s="54" t="n"/>
      <c r="Q65" s="54" t="n"/>
      <c r="R65" s="54" t="n"/>
      <c r="S65" s="54" t="n"/>
      <c r="T65" s="54" t="n"/>
    </row>
    <row r="66" ht="36" customHeight="1" s="64">
      <c r="A66" s="55" t="inlineStr">
        <is>
          <t>Dairy</t>
        </is>
      </c>
      <c r="B66" s="55" t="inlineStr">
        <is>
          <t>Yogurt</t>
        </is>
      </c>
      <c r="C66" s="56" t="inlineStr">
        <is>
          <t>Chobani Greek Yogurt 4-Pack, Hero Batch</t>
        </is>
      </c>
      <c r="D66" s="56" t="inlineStr">
        <is>
          <t>Chobani Protein Greek Yogurt Drink, Strawberries &amp; Cream</t>
        </is>
      </c>
      <c r="E66" s="56" t="inlineStr">
        <is>
          <t>Chobani Vanilla Mixed Berry Greek Yogurt</t>
        </is>
      </c>
      <c r="F66" s="56" t="inlineStr">
        <is>
          <t>Stonyfield Organic YoBaby Yogurt Pouch, Banana</t>
        </is>
      </c>
      <c r="G66" s="56" t="inlineStr">
        <is>
          <t>Stonyfield Organic YoBaby Yogurt Pouch, Peach</t>
        </is>
      </c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</row>
  </sheetData>
  <autoFilter ref="A1:T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64" min="1" max="15"/>
    <col width="2" customWidth="1" style="64" min="16" max="16"/>
    <col width="4" customWidth="1" style="64" min="17" max="17"/>
    <col width="5" customWidth="1" style="64" min="18" max="18"/>
    <col width="15" customWidth="1" style="64" min="19" max="22"/>
    <col width="14" customWidth="1" style="64" min="23" max="23"/>
    <col width="2" customWidth="1" style="64" min="24" max="24"/>
    <col width="13" customWidth="1" style="64" min="25" max="33"/>
  </cols>
  <sheetData>
    <row r="1" ht="28" customHeight="1" s="64">
      <c r="A1" s="67" t="inlineStr">
        <is>
          <t>ShopGraph Sub Analytics</t>
        </is>
      </c>
    </row>
    <row r="2" ht="28" customHeight="1" s="64"/>
    <row r="4">
      <c r="A4" s="27" t="inlineStr">
        <is>
          <t>Total Spending</t>
        </is>
      </c>
      <c r="G4" s="27" t="inlineStr">
        <is>
          <t>Purchase Observations</t>
        </is>
      </c>
      <c r="M4" s="27" t="inlineStr">
        <is>
          <t>Date Range</t>
        </is>
      </c>
      <c r="T4" s="27" t="inlineStr">
        <is>
          <t>Stores</t>
        </is>
      </c>
      <c r="Z4" s="27" t="inlineStr">
        <is>
          <t>Sub-Categories</t>
        </is>
      </c>
    </row>
    <row r="5" ht="16" customHeight="1" s="64">
      <c r="A5" s="28" t="n">
        <v>979.8000000000001</v>
      </c>
      <c r="G5" s="29" t="n">
        <v>187</v>
      </c>
      <c r="M5" s="29" t="inlineStr">
        <is>
          <t>08/06/2026 - 08/30/2026</t>
        </is>
      </c>
      <c r="T5" s="29" t="n">
        <v>5</v>
      </c>
      <c r="Z5" s="29" t="n">
        <v>64</v>
      </c>
    </row>
    <row r="8" ht="16" customHeight="1" s="64">
      <c r="Q8" s="65" t="inlineStr">
        <is>
          <t>Number / Month</t>
        </is>
      </c>
      <c r="Y8" s="65" t="inlineStr">
        <is>
          <t>How to Read This Graph</t>
        </is>
      </c>
    </row>
    <row r="9">
      <c r="Q9" s="30" t="n"/>
      <c r="R9" s="30" t="inlineStr">
        <is>
          <t>#</t>
        </is>
      </c>
      <c r="S9" s="30" t="inlineStr">
        <is>
          <t>Description</t>
        </is>
      </c>
      <c r="W9" s="30" t="inlineStr">
        <is>
          <t>Value</t>
        </is>
      </c>
    </row>
    <row r="10" ht="22" customHeight="1" s="64">
      <c r="Q10" s="31" t="n"/>
      <c r="R10" s="32" t="n">
        <v>1</v>
      </c>
      <c r="S10" s="63" t="inlineStr">
        <is>
          <t>August 2026</t>
        </is>
      </c>
      <c r="W10" s="6" t="inlineStr">
        <is>
          <t>$979.80</t>
        </is>
      </c>
      <c r="Y10" s="66" t="inlineStr">
        <is>
          <t>What it represents</t>
        </is>
      </c>
    </row>
    <row r="11">
      <c r="Y11" s="63" t="inlineStr">
        <is>
          <t>Shows total household spending for each calendar month. Every valid Date N / Price N purchase observation is added to its month.</t>
        </is>
      </c>
    </row>
    <row r="12"/>
    <row r="13"/>
    <row r="14"/>
    <row r="16">
      <c r="Y16" s="66" t="inlineStr">
        <is>
          <t>How to read it</t>
        </is>
      </c>
    </row>
    <row r="17">
      <c r="Y17" s="63" t="inlineStr">
        <is>
          <t>The x-axis uses month numbers instead of month names to keep the graph clear. Match each number to the month and dollar total in the key. A rising line means monthly spending increased; a falling line means it decreased.</t>
        </is>
      </c>
    </row>
    <row r="18"/>
    <row r="19"/>
    <row r="20"/>
    <row r="22">
      <c r="Y22" s="66" t="inlineStr">
        <is>
          <t>What it is useful for</t>
        </is>
      </c>
    </row>
    <row r="23">
      <c r="Y23" s="63" t="inlineStr">
        <is>
          <t>Use this to identify overall spending trends, unusually expensive months, and whether spending is gradually moving up or down over time.</t>
        </is>
      </c>
    </row>
    <row r="24"/>
    <row r="25"/>
    <row r="26"/>
    <row r="28">
      <c r="Y28" s="66" t="inlineStr">
        <is>
          <t>Notes</t>
        </is>
      </c>
    </row>
    <row r="29">
      <c r="Y29" s="63" t="inlineStr">
        <is>
          <t>Months with no spending between the earliest and latest purchase dates are included as zero-spend months.</t>
        </is>
      </c>
    </row>
    <row r="30"/>
    <row r="31"/>
    <row r="32"/>
    <row r="44" ht="16" customHeight="1" s="64">
      <c r="Q44" s="65" t="inlineStr">
        <is>
          <t>Number / Sub-Category</t>
        </is>
      </c>
      <c r="Y44" s="65" t="inlineStr">
        <is>
          <t>How to Read This Graph</t>
        </is>
      </c>
    </row>
    <row r="45">
      <c r="Q45" s="30" t="n"/>
      <c r="R45" s="30" t="inlineStr">
        <is>
          <t>#</t>
        </is>
      </c>
      <c r="S45" s="30" t="inlineStr">
        <is>
          <t>Description</t>
        </is>
      </c>
      <c r="W45" s="30" t="inlineStr">
        <is>
          <t>Value</t>
        </is>
      </c>
    </row>
    <row r="46" ht="22" customHeight="1" s="64">
      <c r="Q46" s="31" t="n"/>
      <c r="R46" s="32" t="n">
        <v>1</v>
      </c>
      <c r="S46" s="63" t="inlineStr">
        <is>
          <t>Baby Care</t>
        </is>
      </c>
      <c r="W46" s="6" t="inlineStr">
        <is>
          <t>$136.04</t>
        </is>
      </c>
      <c r="Y46" s="66" t="inlineStr">
        <is>
          <t>What it represents</t>
        </is>
      </c>
    </row>
    <row r="47" ht="22" customHeight="1" s="64">
      <c r="Q47" s="33" t="n"/>
      <c r="R47" s="32" t="n">
        <v>2</v>
      </c>
      <c r="S47" s="63" t="inlineStr">
        <is>
          <t>Fees &amp; Charges</t>
        </is>
      </c>
      <c r="W47" s="6" t="inlineStr">
        <is>
          <t>$87.39</t>
        </is>
      </c>
      <c r="Y47" s="63" t="inlineStr">
        <is>
          <t>Compares total spending across every sub-category in Purchase History. No sub-categories are collapsed into an 'Other' group.</t>
        </is>
      </c>
    </row>
    <row r="48" ht="22" customHeight="1" s="64">
      <c r="Q48" s="34" t="n"/>
      <c r="R48" s="32" t="n">
        <v>3</v>
      </c>
      <c r="S48" s="63" t="inlineStr">
        <is>
          <t>Fresh Fruit</t>
        </is>
      </c>
      <c r="W48" s="6" t="inlineStr">
        <is>
          <t>$69.72</t>
        </is>
      </c>
    </row>
    <row r="49" ht="22" customHeight="1" s="64">
      <c r="Q49" s="35" t="n"/>
      <c r="R49" s="32" t="n">
        <v>4</v>
      </c>
      <c r="S49" s="63" t="inlineStr">
        <is>
          <t>Fresh Vegetables</t>
        </is>
      </c>
      <c r="W49" s="6" t="inlineStr">
        <is>
          <t>$53.99</t>
        </is>
      </c>
    </row>
    <row r="50" ht="22" customHeight="1" s="64">
      <c r="Q50" s="36" t="n"/>
      <c r="R50" s="32" t="n">
        <v>5</v>
      </c>
      <c r="S50" s="63" t="inlineStr">
        <is>
          <t>Cat Litter</t>
        </is>
      </c>
      <c r="W50" s="6" t="inlineStr">
        <is>
          <t>$47.88</t>
        </is>
      </c>
    </row>
    <row r="51" ht="22" customHeight="1" s="64">
      <c r="Q51" s="37" t="n"/>
      <c r="R51" s="32" t="n">
        <v>6</v>
      </c>
      <c r="S51" s="63" t="inlineStr">
        <is>
          <t>Yogurt</t>
        </is>
      </c>
      <c r="W51" s="6" t="inlineStr">
        <is>
          <t>$45.36</t>
        </is>
      </c>
    </row>
    <row r="52" ht="22" customHeight="1" s="64">
      <c r="Q52" s="38" t="n"/>
      <c r="R52" s="32" t="n">
        <v>7</v>
      </c>
      <c r="S52" s="63" t="inlineStr">
        <is>
          <t>Baking Ingredients</t>
        </is>
      </c>
      <c r="W52" s="6" t="inlineStr">
        <is>
          <t>$32.26</t>
        </is>
      </c>
      <c r="Y52" s="66" t="inlineStr">
        <is>
          <t>How to read it</t>
        </is>
      </c>
    </row>
    <row r="53" ht="22" customHeight="1" s="64">
      <c r="Q53" s="39" t="n"/>
      <c r="R53" s="32" t="n">
        <v>8</v>
      </c>
      <c r="S53" s="63" t="inlineStr">
        <is>
          <t>Prepared Meals</t>
        </is>
      </c>
      <c r="W53" s="6" t="inlineStr">
        <is>
          <t>$31.20</t>
        </is>
      </c>
      <c r="Y53" s="63" t="inlineStr">
        <is>
          <t>Each horizontal bar is identified by a number and color. Use the key to map that number/color to the sub-category name and exact spending amount. Longer bars mean more money was spent in that sub-category.</t>
        </is>
      </c>
    </row>
    <row r="54" ht="22" customHeight="1" s="64">
      <c r="Q54" s="40" t="n"/>
      <c r="R54" s="32" t="n">
        <v>9</v>
      </c>
      <c r="S54" s="63" t="inlineStr">
        <is>
          <t>Home Improvement</t>
        </is>
      </c>
      <c r="W54" s="6" t="inlineStr">
        <is>
          <t>$28.54</t>
        </is>
      </c>
    </row>
    <row r="55" ht="22" customHeight="1" s="64">
      <c r="Q55" s="41" t="n"/>
      <c r="R55" s="32" t="n">
        <v>10</v>
      </c>
      <c r="S55" s="63" t="inlineStr">
        <is>
          <t>Plant-Based Milk</t>
        </is>
      </c>
      <c r="W55" s="6" t="inlineStr">
        <is>
          <t>$26.91</t>
        </is>
      </c>
    </row>
    <row r="56" ht="22" customHeight="1" s="64">
      <c r="Q56" s="42" t="n"/>
      <c r="R56" s="32" t="n">
        <v>11</v>
      </c>
      <c r="S56" s="63" t="inlineStr">
        <is>
          <t>Body Wash</t>
        </is>
      </c>
      <c r="W56" s="6" t="inlineStr">
        <is>
          <t>$19.88</t>
        </is>
      </c>
    </row>
    <row r="57" ht="22" customHeight="1" s="64">
      <c r="Q57" s="43" t="n"/>
      <c r="R57" s="32" t="n">
        <v>12</v>
      </c>
      <c r="S57" s="63" t="inlineStr">
        <is>
          <t>Macaroni &amp; Cheese</t>
        </is>
      </c>
      <c r="W57" s="6" t="inlineStr">
        <is>
          <t>$18.88</t>
        </is>
      </c>
    </row>
    <row r="58" ht="22" customHeight="1" s="64">
      <c r="Q58" s="31" t="n"/>
      <c r="R58" s="32" t="n">
        <v>13</v>
      </c>
      <c r="S58" s="63" t="inlineStr">
        <is>
          <t>Baking Mixes</t>
        </is>
      </c>
      <c r="W58" s="6" t="inlineStr">
        <is>
          <t>$18.49</t>
        </is>
      </c>
      <c r="Y58" s="66" t="inlineStr">
        <is>
          <t>What it is useful for</t>
        </is>
      </c>
    </row>
    <row r="59" ht="22" customHeight="1" s="64">
      <c r="Q59" s="33" t="n"/>
      <c r="R59" s="32" t="n">
        <v>14</v>
      </c>
      <c r="S59" s="63" t="inlineStr">
        <is>
          <t>Seasonings &amp; Spices</t>
        </is>
      </c>
      <c r="W59" s="6" t="inlineStr">
        <is>
          <t>$18.19</t>
        </is>
      </c>
      <c r="Y59" s="63" t="inlineStr">
        <is>
          <t>Use this to see which types of goods are the biggest drivers of household spending.</t>
        </is>
      </c>
    </row>
    <row r="60" ht="22" customHeight="1" s="64">
      <c r="Q60" s="34" t="n"/>
      <c r="R60" s="32" t="n">
        <v>15</v>
      </c>
      <c r="S60" s="63" t="inlineStr">
        <is>
          <t>Frozen Pizza</t>
        </is>
      </c>
      <c r="W60" s="6" t="inlineStr">
        <is>
          <t>$16.58</t>
        </is>
      </c>
    </row>
    <row r="61" ht="22" customHeight="1" s="64">
      <c r="Q61" s="35" t="n"/>
      <c r="R61" s="32" t="n">
        <v>16</v>
      </c>
      <c r="S61" s="63" t="inlineStr">
        <is>
          <t>Bread</t>
        </is>
      </c>
      <c r="W61" s="6" t="inlineStr">
        <is>
          <t>$16.14</t>
        </is>
      </c>
    </row>
    <row r="62" ht="22" customHeight="1" s="64">
      <c r="Q62" s="36" t="n"/>
      <c r="R62" s="32" t="n">
        <v>17</v>
      </c>
      <c r="S62" s="63" t="inlineStr">
        <is>
          <t>Food Storage</t>
        </is>
      </c>
      <c r="W62" s="6" t="inlineStr">
        <is>
          <t>$14.46</t>
        </is>
      </c>
    </row>
    <row r="63" ht="22" customHeight="1" s="64">
      <c r="Q63" s="37" t="n"/>
      <c r="R63" s="32" t="n">
        <v>18</v>
      </c>
      <c r="S63" s="63" t="inlineStr">
        <is>
          <t>Fresh Seafood</t>
        </is>
      </c>
      <c r="W63" s="6" t="inlineStr">
        <is>
          <t>$14.29</t>
        </is>
      </c>
    </row>
    <row r="64" ht="22" customHeight="1" s="64">
      <c r="Q64" s="38" t="n"/>
      <c r="R64" s="32" t="n">
        <v>19</v>
      </c>
      <c r="S64" s="63" t="inlineStr">
        <is>
          <t>Fresh Poultry</t>
        </is>
      </c>
      <c r="W64" s="6" t="inlineStr">
        <is>
          <t>$13.98</t>
        </is>
      </c>
    </row>
    <row r="65" ht="22" customHeight="1" s="64">
      <c r="Q65" s="39" t="n"/>
      <c r="R65" s="32" t="n">
        <v>20</v>
      </c>
      <c r="S65" s="63" t="inlineStr">
        <is>
          <t>Hair Care</t>
        </is>
      </c>
      <c r="W65" s="6" t="inlineStr">
        <is>
          <t>$13.92</t>
        </is>
      </c>
    </row>
    <row r="66" ht="22" customHeight="1" s="64">
      <c r="Q66" s="40" t="n"/>
      <c r="R66" s="32" t="n">
        <v>21</v>
      </c>
      <c r="S66" s="63" t="inlineStr">
        <is>
          <t>Cheese</t>
        </is>
      </c>
      <c r="W66" s="6" t="inlineStr">
        <is>
          <t>$13.42</t>
        </is>
      </c>
    </row>
    <row r="67" ht="22" customHeight="1" s="64">
      <c r="Q67" s="41" t="n"/>
      <c r="R67" s="32" t="n">
        <v>22</v>
      </c>
      <c r="S67" s="63" t="inlineStr">
        <is>
          <t>Eggs</t>
        </is>
      </c>
      <c r="W67" s="6" t="inlineStr">
        <is>
          <t>$13.08</t>
        </is>
      </c>
    </row>
    <row r="68" ht="22" customHeight="1" s="64">
      <c r="Q68" s="42" t="n"/>
      <c r="R68" s="32" t="n">
        <v>23</v>
      </c>
      <c r="S68" s="63" t="inlineStr">
        <is>
          <t>Frozen Meat</t>
        </is>
      </c>
      <c r="W68" s="6" t="inlineStr">
        <is>
          <t>$11.76</t>
        </is>
      </c>
    </row>
    <row r="69" ht="22" customHeight="1" s="64">
      <c r="Q69" s="43" t="n"/>
      <c r="R69" s="32" t="n">
        <v>24</v>
      </c>
      <c r="S69" s="63" t="inlineStr">
        <is>
          <t>Prepared Coffee</t>
        </is>
      </c>
      <c r="W69" s="6" t="inlineStr">
        <is>
          <t>$11.00</t>
        </is>
      </c>
    </row>
    <row r="70" ht="22" customHeight="1" s="64">
      <c r="Q70" s="31" t="n"/>
      <c r="R70" s="32" t="n">
        <v>25</v>
      </c>
      <c r="S70" s="63" t="inlineStr">
        <is>
          <t>Milk</t>
        </is>
      </c>
      <c r="W70" s="6" t="inlineStr">
        <is>
          <t>$10.64</t>
        </is>
      </c>
    </row>
    <row r="71" ht="22" customHeight="1" s="64">
      <c r="Q71" s="33" t="n"/>
      <c r="R71" s="32" t="n">
        <v>26</v>
      </c>
      <c r="S71" s="63" t="inlineStr">
        <is>
          <t>Salad Kits</t>
        </is>
      </c>
      <c r="W71" s="6" t="inlineStr">
        <is>
          <t>$10.00</t>
        </is>
      </c>
    </row>
    <row r="72" ht="22" customHeight="1" s="64">
      <c r="Q72" s="34" t="n"/>
      <c r="R72" s="32" t="n">
        <v>27</v>
      </c>
      <c r="S72" s="63" t="inlineStr">
        <is>
          <t>Baby &amp; Toddler Food</t>
        </is>
      </c>
      <c r="W72" s="6" t="inlineStr">
        <is>
          <t>$9.98</t>
        </is>
      </c>
    </row>
    <row r="73" ht="22" customHeight="1" s="64">
      <c r="Q73" s="35" t="n"/>
      <c r="R73" s="32" t="n">
        <v>28</v>
      </c>
      <c r="S73" s="63" t="inlineStr">
        <is>
          <t>Snack Bars</t>
        </is>
      </c>
      <c r="W73" s="6" t="inlineStr">
        <is>
          <t>$9.95</t>
        </is>
      </c>
    </row>
    <row r="74" ht="22" customHeight="1" s="64">
      <c r="Q74" s="36" t="n"/>
      <c r="R74" s="32" t="n">
        <v>29</v>
      </c>
      <c r="S74" s="63" t="inlineStr">
        <is>
          <t>Cooking Oils &amp; Sprays</t>
        </is>
      </c>
      <c r="W74" s="6" t="inlineStr">
        <is>
          <t>$8.38</t>
        </is>
      </c>
    </row>
    <row r="75" ht="22" customHeight="1" s="64">
      <c r="Q75" s="37" t="n"/>
      <c r="R75" s="32" t="n">
        <v>30</v>
      </c>
      <c r="S75" s="63" t="inlineStr">
        <is>
          <t>Frozen Breakfast</t>
        </is>
      </c>
      <c r="W75" s="6" t="inlineStr">
        <is>
          <t>$7.78</t>
        </is>
      </c>
    </row>
    <row r="76" ht="22" customHeight="1" s="64">
      <c r="Q76" s="38" t="n"/>
      <c r="R76" s="32" t="n">
        <v>31</v>
      </c>
      <c r="S76" s="63" t="inlineStr">
        <is>
          <t>Wine</t>
        </is>
      </c>
      <c r="W76" s="6" t="inlineStr">
        <is>
          <t>$7.19</t>
        </is>
      </c>
    </row>
    <row r="77" ht="22" customHeight="1" s="64">
      <c r="Q77" s="39" t="n"/>
      <c r="R77" s="32" t="n">
        <v>32</v>
      </c>
      <c r="S77" s="63" t="inlineStr">
        <is>
          <t>Tortillas</t>
        </is>
      </c>
      <c r="W77" s="6" t="inlineStr">
        <is>
          <t>$7.01</t>
        </is>
      </c>
    </row>
    <row r="78" ht="22" customHeight="1" s="64">
      <c r="Q78" s="40" t="n"/>
      <c r="R78" s="32" t="n">
        <v>33</v>
      </c>
      <c r="S78" s="63" t="inlineStr">
        <is>
          <t>Refrigerated Dough</t>
        </is>
      </c>
      <c r="W78" s="6" t="inlineStr">
        <is>
          <t>$6.99</t>
        </is>
      </c>
    </row>
    <row r="79" ht="22" customHeight="1" s="64">
      <c r="Q79" s="41" t="n"/>
      <c r="R79" s="32" t="n">
        <v>34</v>
      </c>
      <c r="S79" s="63" t="inlineStr">
        <is>
          <t>Rice &amp; Grains</t>
        </is>
      </c>
      <c r="W79" s="6" t="inlineStr">
        <is>
          <t>$6.88</t>
        </is>
      </c>
    </row>
    <row r="80" ht="22" customHeight="1" s="64">
      <c r="Q80" s="42" t="n"/>
      <c r="R80" s="32" t="n">
        <v>35</v>
      </c>
      <c r="S80" s="63" t="inlineStr">
        <is>
          <t>Deli Meat</t>
        </is>
      </c>
      <c r="W80" s="6" t="inlineStr">
        <is>
          <t>$6.48</t>
        </is>
      </c>
    </row>
    <row r="81" ht="22" customHeight="1" s="64">
      <c r="Q81" s="43" t="n"/>
      <c r="R81" s="32" t="n">
        <v>36</v>
      </c>
      <c r="S81" s="63" t="inlineStr">
        <is>
          <t>Frozen Plantains</t>
        </is>
      </c>
      <c r="W81" s="6" t="inlineStr">
        <is>
          <t>$6.29</t>
        </is>
      </c>
    </row>
    <row r="82" ht="22" customHeight="1" s="64">
      <c r="Q82" s="31" t="n"/>
      <c r="R82" s="32" t="n">
        <v>37</v>
      </c>
      <c r="S82" s="63" t="inlineStr">
        <is>
          <t>Household Cleaners</t>
        </is>
      </c>
      <c r="W82" s="6" t="inlineStr">
        <is>
          <t>$6.24</t>
        </is>
      </c>
    </row>
    <row r="83" ht="22" customHeight="1" s="64">
      <c r="Q83" s="33" t="n"/>
      <c r="R83" s="32" t="n">
        <v>38</v>
      </c>
      <c r="S83" s="63" t="inlineStr">
        <is>
          <t>Muffins &amp; Pastries</t>
        </is>
      </c>
      <c r="W83" s="6" t="inlineStr">
        <is>
          <t>$5.99</t>
        </is>
      </c>
    </row>
    <row r="84" ht="22" customHeight="1" s="64">
      <c r="Q84" s="34" t="n"/>
      <c r="R84" s="32" t="n">
        <v>39</v>
      </c>
      <c r="S84" s="63" t="inlineStr">
        <is>
          <t>Storage &amp; Organization</t>
        </is>
      </c>
      <c r="W84" s="6" t="inlineStr">
        <is>
          <t>$5.99</t>
        </is>
      </c>
    </row>
    <row r="85" ht="22" customHeight="1" s="64">
      <c r="Q85" s="35" t="n"/>
      <c r="R85" s="32" t="n">
        <v>40</v>
      </c>
      <c r="S85" s="63" t="inlineStr">
        <is>
          <t>Writing Supplies</t>
        </is>
      </c>
      <c r="W85" s="6" t="inlineStr">
        <is>
          <t>$5.99</t>
        </is>
      </c>
    </row>
    <row r="86" ht="22" customHeight="1" s="64">
      <c r="Q86" s="36" t="n"/>
      <c r="R86" s="32" t="n">
        <v>41</v>
      </c>
      <c r="S86" s="63" t="inlineStr">
        <is>
          <t>Cream &amp; Half-and-Half</t>
        </is>
      </c>
      <c r="W86" s="6" t="inlineStr">
        <is>
          <t>$5.89</t>
        </is>
      </c>
    </row>
    <row r="87" ht="22" customHeight="1" s="64">
      <c r="Q87" s="37" t="n"/>
      <c r="R87" s="32" t="n">
        <v>42</v>
      </c>
      <c r="S87" s="63" t="inlineStr">
        <is>
          <t>Hot Dogs &amp; Sausages</t>
        </is>
      </c>
      <c r="W87" s="6" t="inlineStr">
        <is>
          <t>$5.74</t>
        </is>
      </c>
    </row>
    <row r="88" ht="22" customHeight="1" s="64">
      <c r="Q88" s="38" t="n"/>
      <c r="R88" s="32" t="n">
        <v>43</v>
      </c>
      <c r="S88" s="63" t="inlineStr">
        <is>
          <t>Plant-Based Cheese</t>
        </is>
      </c>
      <c r="W88" s="6" t="inlineStr">
        <is>
          <t>$5.65</t>
        </is>
      </c>
    </row>
    <row r="89" ht="22" customHeight="1" s="64">
      <c r="Q89" s="39" t="n"/>
      <c r="R89" s="32" t="n">
        <v>44</v>
      </c>
      <c r="S89" s="63" t="inlineStr">
        <is>
          <t>Canned Beans &amp; Legumes</t>
        </is>
      </c>
      <c r="W89" s="6" t="inlineStr">
        <is>
          <t>$5.42</t>
        </is>
      </c>
    </row>
    <row r="90" ht="22" customHeight="1" s="64">
      <c r="Q90" s="40" t="n"/>
      <c r="R90" s="32" t="n">
        <v>45</v>
      </c>
      <c r="S90" s="63" t="inlineStr">
        <is>
          <t>Disposable Tableware</t>
        </is>
      </c>
      <c r="W90" s="6" t="inlineStr">
        <is>
          <t>$5.25</t>
        </is>
      </c>
    </row>
    <row r="91" ht="22" customHeight="1" s="64">
      <c r="Q91" s="41" t="n"/>
      <c r="R91" s="32" t="n">
        <v>46</v>
      </c>
      <c r="S91" s="63" t="inlineStr">
        <is>
          <t>Specialty Cheese</t>
        </is>
      </c>
      <c r="W91" s="6" t="inlineStr">
        <is>
          <t>$4.88</t>
        </is>
      </c>
    </row>
    <row r="92" ht="22" customHeight="1" s="64">
      <c r="Q92" s="42" t="n"/>
      <c r="R92" s="32" t="n">
        <v>47</v>
      </c>
      <c r="S92" s="63" t="inlineStr">
        <is>
          <t>Dishwashing Supplies</t>
        </is>
      </c>
      <c r="W92" s="6" t="inlineStr">
        <is>
          <t>$4.46</t>
        </is>
      </c>
    </row>
    <row r="93" ht="22" customHeight="1" s="64">
      <c r="Q93" s="43" t="n"/>
      <c r="R93" s="32" t="n">
        <v>48</v>
      </c>
      <c r="S93" s="63" t="inlineStr">
        <is>
          <t>Fresh-Cut Fruit</t>
        </is>
      </c>
      <c r="W93" s="6" t="inlineStr">
        <is>
          <t>$3.89</t>
        </is>
      </c>
    </row>
    <row r="94" ht="22" customHeight="1" s="64">
      <c r="Q94" s="31" t="n"/>
      <c r="R94" s="32" t="n">
        <v>49</v>
      </c>
      <c r="S94" s="63" t="inlineStr">
        <is>
          <t>Peanut Butter</t>
        </is>
      </c>
      <c r="W94" s="6" t="inlineStr">
        <is>
          <t>$3.69</t>
        </is>
      </c>
    </row>
    <row r="95" ht="22" customHeight="1" s="64">
      <c r="Q95" s="33" t="n"/>
      <c r="R95" s="32" t="n">
        <v>50</v>
      </c>
      <c r="S95" s="63" t="inlineStr">
        <is>
          <t>Dips &amp; Spreads</t>
        </is>
      </c>
      <c r="W95" s="6" t="inlineStr">
        <is>
          <t>$3.45</t>
        </is>
      </c>
    </row>
    <row r="96" ht="22" customHeight="1" s="64">
      <c r="Q96" s="34" t="n"/>
      <c r="R96" s="32" t="n">
        <v>51</v>
      </c>
      <c r="S96" s="63" t="inlineStr">
        <is>
          <t>Jarred Vegetables</t>
        </is>
      </c>
      <c r="W96" s="6" t="inlineStr">
        <is>
          <t>$3.29</t>
        </is>
      </c>
    </row>
    <row r="97" ht="22" customHeight="1" s="64">
      <c r="Q97" s="35" t="n"/>
      <c r="R97" s="32" t="n">
        <v>52</v>
      </c>
      <c r="S97" s="63" t="inlineStr">
        <is>
          <t>Sauces &amp; Condiments</t>
        </is>
      </c>
      <c r="W97" s="6" t="inlineStr">
        <is>
          <t>$3.19</t>
        </is>
      </c>
    </row>
    <row r="98" ht="22" customHeight="1" s="64">
      <c r="Q98" s="36" t="n"/>
      <c r="R98" s="32" t="n">
        <v>53</v>
      </c>
      <c r="S98" s="63" t="inlineStr">
        <is>
          <t>Judaica</t>
        </is>
      </c>
      <c r="W98" s="6" t="inlineStr">
        <is>
          <t>$3.16</t>
        </is>
      </c>
    </row>
    <row r="99" ht="22" customHeight="1" s="64">
      <c r="Q99" s="37" t="n"/>
      <c r="R99" s="32" t="n">
        <v>54</v>
      </c>
      <c r="S99" s="63" t="inlineStr">
        <is>
          <t>Snack Cakes</t>
        </is>
      </c>
      <c r="W99" s="6" t="inlineStr">
        <is>
          <t>$3.12</t>
        </is>
      </c>
    </row>
    <row r="100" ht="22" customHeight="1" s="64">
      <c r="Q100" s="38" t="n"/>
      <c r="R100" s="32" t="n">
        <v>55</v>
      </c>
      <c r="S100" s="63" t="inlineStr">
        <is>
          <t>Frozen Sandwiches</t>
        </is>
      </c>
      <c r="W100" s="6" t="inlineStr">
        <is>
          <t>$2.99</t>
        </is>
      </c>
    </row>
    <row r="101" ht="22" customHeight="1" s="64">
      <c r="Q101" s="39" t="n"/>
      <c r="R101" s="32" t="n">
        <v>56</v>
      </c>
      <c r="S101" s="63" t="inlineStr">
        <is>
          <t>Pasta</t>
        </is>
      </c>
      <c r="W101" s="6" t="inlineStr">
        <is>
          <t>$2.99</t>
        </is>
      </c>
    </row>
    <row r="102" ht="22" customHeight="1" s="64">
      <c r="Q102" s="40" t="n"/>
      <c r="R102" s="32" t="n">
        <v>57</v>
      </c>
      <c r="S102" s="63" t="inlineStr">
        <is>
          <t>Salad Dressing</t>
        </is>
      </c>
      <c r="W102" s="6" t="inlineStr">
        <is>
          <t>$2.99</t>
        </is>
      </c>
    </row>
    <row r="103" ht="22" customHeight="1" s="64">
      <c r="Q103" s="41" t="n"/>
      <c r="R103" s="32" t="n">
        <v>58</v>
      </c>
      <c r="S103" s="63" t="inlineStr">
        <is>
          <t>Frozen Vegetables</t>
        </is>
      </c>
      <c r="W103" s="6" t="inlineStr">
        <is>
          <t>$2.86</t>
        </is>
      </c>
    </row>
    <row r="104" ht="22" customHeight="1" s="64">
      <c r="Q104" s="42" t="n"/>
      <c r="R104" s="32" t="n">
        <v>59</v>
      </c>
      <c r="S104" s="63" t="inlineStr">
        <is>
          <t>Crackers</t>
        </is>
      </c>
      <c r="W104" s="6" t="inlineStr">
        <is>
          <t>$2.79</t>
        </is>
      </c>
    </row>
    <row r="105" ht="22" customHeight="1" s="64">
      <c r="Q105" s="43" t="n"/>
      <c r="R105" s="32" t="n">
        <v>60</v>
      </c>
      <c r="S105" s="63" t="inlineStr">
        <is>
          <t>Popcorn</t>
        </is>
      </c>
      <c r="W105" s="6" t="inlineStr">
        <is>
          <t>$2.39</t>
        </is>
      </c>
    </row>
    <row r="106" ht="22" customHeight="1" s="64">
      <c r="Q106" s="31" t="n"/>
      <c r="R106" s="32" t="n">
        <v>61</v>
      </c>
      <c r="S106" s="63" t="inlineStr">
        <is>
          <t>Croutons</t>
        </is>
      </c>
      <c r="W106" s="6" t="inlineStr">
        <is>
          <t>$1.99</t>
        </is>
      </c>
    </row>
    <row r="107" ht="22" customHeight="1" s="64">
      <c r="Q107" s="33" t="n"/>
      <c r="R107" s="32" t="n">
        <v>62</v>
      </c>
      <c r="S107" s="63" t="inlineStr">
        <is>
          <t>Fresh Herbs</t>
        </is>
      </c>
      <c r="W107" s="6" t="inlineStr">
        <is>
          <t>$1.84</t>
        </is>
      </c>
    </row>
    <row r="108" ht="22" customHeight="1" s="64">
      <c r="Q108" s="34" t="n"/>
      <c r="R108" s="32" t="n">
        <v>63</v>
      </c>
      <c r="S108" s="63" t="inlineStr">
        <is>
          <t>Cream Cheese</t>
        </is>
      </c>
      <c r="W108" s="6" t="inlineStr">
        <is>
          <t>$1.79</t>
        </is>
      </c>
    </row>
    <row r="109" ht="22" customHeight="1" s="64">
      <c r="Q109" s="35" t="n"/>
      <c r="R109" s="32" t="n">
        <v>64</v>
      </c>
      <c r="S109" s="63" t="inlineStr">
        <is>
          <t>Canned Tomatoes</t>
        </is>
      </c>
      <c r="W109" s="6" t="inlineStr">
        <is>
          <t>$0.95</t>
        </is>
      </c>
    </row>
    <row r="113" ht="16" customHeight="1" s="64">
      <c r="Q113" s="65" t="inlineStr">
        <is>
          <t>Number / Store</t>
        </is>
      </c>
      <c r="Y113" s="65" t="inlineStr">
        <is>
          <t>How to Read This Graph</t>
        </is>
      </c>
    </row>
    <row r="114">
      <c r="Q114" s="30" t="n"/>
      <c r="R114" s="30" t="inlineStr">
        <is>
          <t>#</t>
        </is>
      </c>
      <c r="S114" s="30" t="inlineStr">
        <is>
          <t>Description</t>
        </is>
      </c>
      <c r="W114" s="30" t="inlineStr">
        <is>
          <t>Value</t>
        </is>
      </c>
    </row>
    <row r="115" ht="22" customHeight="1" s="64">
      <c r="Q115" s="31" t="n"/>
      <c r="R115" s="32" t="n">
        <v>1</v>
      </c>
      <c r="S115" s="63" t="inlineStr">
        <is>
          <t>Walmart</t>
        </is>
      </c>
      <c r="W115" s="6" t="inlineStr">
        <is>
          <t>$574.97</t>
        </is>
      </c>
      <c r="Y115" s="66" t="inlineStr">
        <is>
          <t>What it represents</t>
        </is>
      </c>
    </row>
    <row r="116" ht="22" customHeight="1" s="64">
      <c r="Q116" s="33" t="n"/>
      <c r="R116" s="32" t="n">
        <v>2</v>
      </c>
      <c r="S116" s="63" t="inlineStr">
        <is>
          <t>Aldi</t>
        </is>
      </c>
      <c r="W116" s="6" t="inlineStr">
        <is>
          <t>$180.89</t>
        </is>
      </c>
      <c r="Y116" s="63" t="inlineStr">
        <is>
          <t>Compares how much money was spent at each retailer across the entire Purchase History.</t>
        </is>
      </c>
    </row>
    <row r="117" ht="22" customHeight="1" s="64">
      <c r="Q117" s="34" t="n"/>
      <c r="R117" s="32" t="n">
        <v>3</v>
      </c>
      <c r="S117" s="63" t="inlineStr">
        <is>
          <t>Publix</t>
        </is>
      </c>
      <c r="W117" s="6" t="inlineStr">
        <is>
          <t>$145.58</t>
        </is>
      </c>
    </row>
    <row r="118" ht="22" customHeight="1" s="64">
      <c r="Q118" s="35" t="n"/>
      <c r="R118" s="32" t="n">
        <v>4</v>
      </c>
      <c r="S118" s="63" t="inlineStr">
        <is>
          <t>Honey Pineapple</t>
        </is>
      </c>
      <c r="W118" s="6" t="inlineStr">
        <is>
          <t>$48.12</t>
        </is>
      </c>
    </row>
    <row r="119" ht="22" customHeight="1" s="64">
      <c r="Q119" s="36" t="n"/>
      <c r="R119" s="32" t="n">
        <v>5</v>
      </c>
      <c r="S119" s="63" t="inlineStr">
        <is>
          <t>Trader Joe's</t>
        </is>
      </c>
      <c r="W119" s="6" t="inlineStr">
        <is>
          <t>$30.24</t>
        </is>
      </c>
    </row>
    <row r="121">
      <c r="Y121" s="66" t="inlineStr">
        <is>
          <t>How to read it</t>
        </is>
      </c>
    </row>
    <row r="122">
      <c r="Y122" s="63" t="inlineStr">
        <is>
          <t>Each store is represented by a numbered colored bar. Match the number/color to the key. Longer bars indicate more total spending at that store.</t>
        </is>
      </c>
    </row>
    <row r="123"/>
    <row r="124"/>
    <row r="125"/>
    <row r="127">
      <c r="Y127" s="66" t="inlineStr">
        <is>
          <t>What it is useful for</t>
        </is>
      </c>
    </row>
    <row r="128">
      <c r="Y128" s="63" t="inlineStr">
        <is>
          <t>Use this to understand which retailers receive the largest share of your household shopping budget.</t>
        </is>
      </c>
    </row>
    <row r="129"/>
    <row r="130"/>
    <row r="131"/>
    <row r="133">
      <c r="Y133" s="66" t="inlineStr">
        <is>
          <t>Notes</t>
        </is>
      </c>
    </row>
    <row r="134">
      <c r="Y134" s="63" t="inlineStr">
        <is>
          <t>Store Number is intentionally ignored here; purchases are grouped by the Store name.</t>
        </is>
      </c>
    </row>
    <row r="135"/>
    <row r="136"/>
    <row r="137"/>
    <row r="149" ht="16" customHeight="1" s="64">
      <c r="Q149" s="65" t="inlineStr">
        <is>
          <t>Number / Sub-Category</t>
        </is>
      </c>
      <c r="Y149" s="65" t="inlineStr">
        <is>
          <t>How to Read This Graph</t>
        </is>
      </c>
    </row>
    <row r="150">
      <c r="Q150" s="30" t="n"/>
      <c r="R150" s="30" t="inlineStr">
        <is>
          <t>#</t>
        </is>
      </c>
      <c r="S150" s="30" t="inlineStr">
        <is>
          <t>Description</t>
        </is>
      </c>
      <c r="W150" s="30" t="inlineStr">
        <is>
          <t>Value</t>
        </is>
      </c>
    </row>
    <row r="151" ht="22" customHeight="1" s="64">
      <c r="Q151" s="31" t="n"/>
      <c r="R151" s="32" t="n">
        <v>1</v>
      </c>
      <c r="S151" s="63" t="inlineStr">
        <is>
          <t>Baby Care</t>
        </is>
      </c>
      <c r="W151" s="6" t="inlineStr">
        <is>
          <t>$136.04 (13.9%)</t>
        </is>
      </c>
      <c r="Y151" s="66" t="inlineStr">
        <is>
          <t>What it represents</t>
        </is>
      </c>
    </row>
    <row r="152" ht="22" customHeight="1" s="64">
      <c r="Q152" s="33" t="n"/>
      <c r="R152" s="32" t="n">
        <v>2</v>
      </c>
      <c r="S152" s="63" t="inlineStr">
        <is>
          <t>Fees &amp; Charges</t>
        </is>
      </c>
      <c r="W152" s="6" t="inlineStr">
        <is>
          <t>$87.39 (8.9%)</t>
        </is>
      </c>
      <c r="Y152" s="63" t="inlineStr">
        <is>
          <t>Shows each sub-category's share of total spending as part of the whole shopping budget.</t>
        </is>
      </c>
    </row>
    <row r="153" ht="22" customHeight="1" s="64">
      <c r="Q153" s="34" t="n"/>
      <c r="R153" s="32" t="n">
        <v>3</v>
      </c>
      <c r="S153" s="63" t="inlineStr">
        <is>
          <t>Fresh Fruit</t>
        </is>
      </c>
      <c r="W153" s="6" t="inlineStr">
        <is>
          <t>$69.72 (7.1%)</t>
        </is>
      </c>
    </row>
    <row r="154" ht="22" customHeight="1" s="64">
      <c r="Q154" s="35" t="n"/>
      <c r="R154" s="32" t="n">
        <v>4</v>
      </c>
      <c r="S154" s="63" t="inlineStr">
        <is>
          <t>Fresh Vegetables</t>
        </is>
      </c>
      <c r="W154" s="6" t="inlineStr">
        <is>
          <t>$53.99 (5.5%)</t>
        </is>
      </c>
    </row>
    <row r="155" ht="22" customHeight="1" s="64">
      <c r="Q155" s="36" t="n"/>
      <c r="R155" s="32" t="n">
        <v>5</v>
      </c>
      <c r="S155" s="63" t="inlineStr">
        <is>
          <t>Cat Litter</t>
        </is>
      </c>
      <c r="W155" s="6" t="inlineStr">
        <is>
          <t>$47.88 (4.9%)</t>
        </is>
      </c>
    </row>
    <row r="156" ht="22" customHeight="1" s="64">
      <c r="Q156" s="37" t="n"/>
      <c r="R156" s="32" t="n">
        <v>6</v>
      </c>
      <c r="S156" s="63" t="inlineStr">
        <is>
          <t>Yogurt</t>
        </is>
      </c>
      <c r="W156" s="6" t="inlineStr">
        <is>
          <t>$45.36 (4.6%)</t>
        </is>
      </c>
    </row>
    <row r="157" ht="22" customHeight="1" s="64">
      <c r="Q157" s="38" t="n"/>
      <c r="R157" s="32" t="n">
        <v>7</v>
      </c>
      <c r="S157" s="63" t="inlineStr">
        <is>
          <t>Baking Ingredients</t>
        </is>
      </c>
      <c r="W157" s="6" t="inlineStr">
        <is>
          <t>$32.26 (3.3%)</t>
        </is>
      </c>
      <c r="Y157" s="66" t="inlineStr">
        <is>
          <t>How to read it</t>
        </is>
      </c>
    </row>
    <row r="158" ht="22" customHeight="1" s="64">
      <c r="Q158" s="39" t="n"/>
      <c r="R158" s="32" t="n">
        <v>8</v>
      </c>
      <c r="S158" s="63" t="inlineStr">
        <is>
          <t>Prepared Meals</t>
        </is>
      </c>
      <c r="W158" s="6" t="inlineStr">
        <is>
          <t>$31.20 (3.2%)</t>
        </is>
      </c>
      <c r="Y158" s="63" t="inlineStr">
        <is>
          <t>The doughnut itself displays only numeric sub-category codes. Match each number/color to the key for the sub-category name, dollar amount, and percentage of total spending.</t>
        </is>
      </c>
    </row>
    <row r="159" ht="22" customHeight="1" s="64">
      <c r="Q159" s="40" t="n"/>
      <c r="R159" s="32" t="n">
        <v>9</v>
      </c>
      <c r="S159" s="63" t="inlineStr">
        <is>
          <t>Home Improvement</t>
        </is>
      </c>
      <c r="W159" s="6" t="inlineStr">
        <is>
          <t>$28.54 (2.9%)</t>
        </is>
      </c>
    </row>
    <row r="160" ht="22" customHeight="1" s="64">
      <c r="Q160" s="41" t="n"/>
      <c r="R160" s="32" t="n">
        <v>10</v>
      </c>
      <c r="S160" s="63" t="inlineStr">
        <is>
          <t>Plant-Based Milk</t>
        </is>
      </c>
      <c r="W160" s="6" t="inlineStr">
        <is>
          <t>$26.91 (2.7%)</t>
        </is>
      </c>
    </row>
    <row r="161" ht="22" customHeight="1" s="64">
      <c r="Q161" s="42" t="n"/>
      <c r="R161" s="32" t="n">
        <v>11</v>
      </c>
      <c r="S161" s="63" t="inlineStr">
        <is>
          <t>Body Wash</t>
        </is>
      </c>
      <c r="W161" s="6" t="inlineStr">
        <is>
          <t>$19.88 (2.0%)</t>
        </is>
      </c>
    </row>
    <row r="162" ht="22" customHeight="1" s="64">
      <c r="Q162" s="43" t="n"/>
      <c r="R162" s="32" t="n">
        <v>12</v>
      </c>
      <c r="S162" s="63" t="inlineStr">
        <is>
          <t>Macaroni &amp; Cheese</t>
        </is>
      </c>
      <c r="W162" s="6" t="inlineStr">
        <is>
          <t>$18.88 (1.9%)</t>
        </is>
      </c>
    </row>
    <row r="163" ht="22" customHeight="1" s="64">
      <c r="Q163" s="31" t="n"/>
      <c r="R163" s="32" t="n">
        <v>13</v>
      </c>
      <c r="S163" s="63" t="inlineStr">
        <is>
          <t>Baking Mixes</t>
        </is>
      </c>
      <c r="W163" s="6" t="inlineStr">
        <is>
          <t>$18.49 (1.9%)</t>
        </is>
      </c>
      <c r="Y163" s="66" t="inlineStr">
        <is>
          <t>What it is useful for</t>
        </is>
      </c>
    </row>
    <row r="164" ht="22" customHeight="1" s="64">
      <c r="Q164" s="33" t="n"/>
      <c r="R164" s="32" t="n">
        <v>14</v>
      </c>
      <c r="S164" s="63" t="inlineStr">
        <is>
          <t>Seasonings &amp; Spices</t>
        </is>
      </c>
      <c r="W164" s="6" t="inlineStr">
        <is>
          <t>$18.19 (1.9%)</t>
        </is>
      </c>
      <c r="Y164" s="63" t="inlineStr">
        <is>
          <t>Use this for a fast visual picture of the household spending mix—especially which sub-categories take the largest portion of the budget.</t>
        </is>
      </c>
    </row>
    <row r="165" ht="22" customHeight="1" s="64">
      <c r="Q165" s="34" t="n"/>
      <c r="R165" s="32" t="n">
        <v>15</v>
      </c>
      <c r="S165" s="63" t="inlineStr">
        <is>
          <t>Frozen Pizza</t>
        </is>
      </c>
      <c r="W165" s="6" t="inlineStr">
        <is>
          <t>$16.58 (1.7%)</t>
        </is>
      </c>
    </row>
    <row r="166" ht="22" customHeight="1" s="64">
      <c r="Q166" s="35" t="n"/>
      <c r="R166" s="32" t="n">
        <v>16</v>
      </c>
      <c r="S166" s="63" t="inlineStr">
        <is>
          <t>Bread</t>
        </is>
      </c>
      <c r="W166" s="6" t="inlineStr">
        <is>
          <t>$16.14 (1.6%)</t>
        </is>
      </c>
    </row>
    <row r="167" ht="22" customHeight="1" s="64">
      <c r="Q167" s="36" t="n"/>
      <c r="R167" s="32" t="n">
        <v>17</v>
      </c>
      <c r="S167" s="63" t="inlineStr">
        <is>
          <t>Food Storage</t>
        </is>
      </c>
      <c r="W167" s="6" t="inlineStr">
        <is>
          <t>$14.46 (1.5%)</t>
        </is>
      </c>
    </row>
    <row r="168" ht="22" customHeight="1" s="64">
      <c r="Q168" s="37" t="n"/>
      <c r="R168" s="32" t="n">
        <v>18</v>
      </c>
      <c r="S168" s="63" t="inlineStr">
        <is>
          <t>Fresh Seafood</t>
        </is>
      </c>
      <c r="W168" s="6" t="inlineStr">
        <is>
          <t>$14.29 (1.5%)</t>
        </is>
      </c>
    </row>
    <row r="169" ht="22" customHeight="1" s="64">
      <c r="Q169" s="38" t="n"/>
      <c r="R169" s="32" t="n">
        <v>19</v>
      </c>
      <c r="S169" s="63" t="inlineStr">
        <is>
          <t>Fresh Poultry</t>
        </is>
      </c>
      <c r="W169" s="6" t="inlineStr">
        <is>
          <t>$13.98 (1.4%)</t>
        </is>
      </c>
      <c r="Y169" s="66" t="inlineStr">
        <is>
          <t>Notes</t>
        </is>
      </c>
    </row>
    <row r="170" ht="22" customHeight="1" s="64">
      <c r="Q170" s="39" t="n"/>
      <c r="R170" s="32" t="n">
        <v>20</v>
      </c>
      <c r="S170" s="63" t="inlineStr">
        <is>
          <t>Hair Care</t>
        </is>
      </c>
      <c r="W170" s="6" t="inlineStr">
        <is>
          <t>$13.92 (1.4%)</t>
        </is>
      </c>
      <c r="Y170" s="63" t="inlineStr">
        <is>
          <t>Unlike the older dashboard, this graph does not create a large 'Other' slice. Every sub-category receives its own numbered segment.</t>
        </is>
      </c>
    </row>
    <row r="171" ht="22" customHeight="1" s="64">
      <c r="Q171" s="40" t="n"/>
      <c r="R171" s="32" t="n">
        <v>21</v>
      </c>
      <c r="S171" s="63" t="inlineStr">
        <is>
          <t>Cheese</t>
        </is>
      </c>
      <c r="W171" s="6" t="inlineStr">
        <is>
          <t>$13.42 (1.4%)</t>
        </is>
      </c>
    </row>
    <row r="172" ht="22" customHeight="1" s="64">
      <c r="Q172" s="41" t="n"/>
      <c r="R172" s="32" t="n">
        <v>22</v>
      </c>
      <c r="S172" s="63" t="inlineStr">
        <is>
          <t>Eggs</t>
        </is>
      </c>
      <c r="W172" s="6" t="inlineStr">
        <is>
          <t>$13.08 (1.3%)</t>
        </is>
      </c>
    </row>
    <row r="173" ht="22" customHeight="1" s="64">
      <c r="Q173" s="42" t="n"/>
      <c r="R173" s="32" t="n">
        <v>23</v>
      </c>
      <c r="S173" s="63" t="inlineStr">
        <is>
          <t>Frozen Meat</t>
        </is>
      </c>
      <c r="W173" s="6" t="inlineStr">
        <is>
          <t>$11.76 (1.2%)</t>
        </is>
      </c>
    </row>
    <row r="174" ht="22" customHeight="1" s="64">
      <c r="Q174" s="43" t="n"/>
      <c r="R174" s="32" t="n">
        <v>24</v>
      </c>
      <c r="S174" s="63" t="inlineStr">
        <is>
          <t>Prepared Coffee</t>
        </is>
      </c>
      <c r="W174" s="6" t="inlineStr">
        <is>
          <t>$11.00 (1.1%)</t>
        </is>
      </c>
    </row>
    <row r="175" ht="22" customHeight="1" s="64">
      <c r="Q175" s="31" t="n"/>
      <c r="R175" s="32" t="n">
        <v>25</v>
      </c>
      <c r="S175" s="63" t="inlineStr">
        <is>
          <t>Milk</t>
        </is>
      </c>
      <c r="W175" s="6" t="inlineStr">
        <is>
          <t>$10.64 (1.1%)</t>
        </is>
      </c>
    </row>
    <row r="176" ht="22" customHeight="1" s="64">
      <c r="Q176" s="33" t="n"/>
      <c r="R176" s="32" t="n">
        <v>26</v>
      </c>
      <c r="S176" s="63" t="inlineStr">
        <is>
          <t>Salad Kits</t>
        </is>
      </c>
      <c r="W176" s="6" t="inlineStr">
        <is>
          <t>$10.00 (1.0%)</t>
        </is>
      </c>
    </row>
    <row r="177" ht="22" customHeight="1" s="64">
      <c r="Q177" s="34" t="n"/>
      <c r="R177" s="32" t="n">
        <v>27</v>
      </c>
      <c r="S177" s="63" t="inlineStr">
        <is>
          <t>Baby &amp; Toddler Food</t>
        </is>
      </c>
      <c r="W177" s="6" t="inlineStr">
        <is>
          <t>$9.98 (1.0%)</t>
        </is>
      </c>
    </row>
    <row r="178" ht="22" customHeight="1" s="64">
      <c r="Q178" s="35" t="n"/>
      <c r="R178" s="32" t="n">
        <v>28</v>
      </c>
      <c r="S178" s="63" t="inlineStr">
        <is>
          <t>Snack Bars</t>
        </is>
      </c>
      <c r="W178" s="6" t="inlineStr">
        <is>
          <t>$9.95 (1.0%)</t>
        </is>
      </c>
    </row>
    <row r="179" ht="22" customHeight="1" s="64">
      <c r="Q179" s="36" t="n"/>
      <c r="R179" s="32" t="n">
        <v>29</v>
      </c>
      <c r="S179" s="63" t="inlineStr">
        <is>
          <t>Cooking Oils &amp; Sprays</t>
        </is>
      </c>
      <c r="W179" s="6" t="inlineStr">
        <is>
          <t>$8.38 (0.9%)</t>
        </is>
      </c>
    </row>
    <row r="180" ht="22" customHeight="1" s="64">
      <c r="Q180" s="37" t="n"/>
      <c r="R180" s="32" t="n">
        <v>30</v>
      </c>
      <c r="S180" s="63" t="inlineStr">
        <is>
          <t>Frozen Breakfast</t>
        </is>
      </c>
      <c r="W180" s="6" t="inlineStr">
        <is>
          <t>$7.78 (0.8%)</t>
        </is>
      </c>
    </row>
    <row r="181" ht="22" customHeight="1" s="64">
      <c r="Q181" s="38" t="n"/>
      <c r="R181" s="32" t="n">
        <v>31</v>
      </c>
      <c r="S181" s="63" t="inlineStr">
        <is>
          <t>Wine</t>
        </is>
      </c>
      <c r="W181" s="6" t="inlineStr">
        <is>
          <t>$7.19 (0.7%)</t>
        </is>
      </c>
    </row>
    <row r="182" ht="22" customHeight="1" s="64">
      <c r="Q182" s="39" t="n"/>
      <c r="R182" s="32" t="n">
        <v>32</v>
      </c>
      <c r="S182" s="63" t="inlineStr">
        <is>
          <t>Tortillas</t>
        </is>
      </c>
      <c r="W182" s="6" t="inlineStr">
        <is>
          <t>$7.01 (0.7%)</t>
        </is>
      </c>
    </row>
    <row r="183" ht="22" customHeight="1" s="64">
      <c r="Q183" s="40" t="n"/>
      <c r="R183" s="32" t="n">
        <v>33</v>
      </c>
      <c r="S183" s="63" t="inlineStr">
        <is>
          <t>Refrigerated Dough</t>
        </is>
      </c>
      <c r="W183" s="6" t="inlineStr">
        <is>
          <t>$6.99 (0.7%)</t>
        </is>
      </c>
    </row>
    <row r="184" ht="22" customHeight="1" s="64">
      <c r="Q184" s="41" t="n"/>
      <c r="R184" s="32" t="n">
        <v>34</v>
      </c>
      <c r="S184" s="63" t="inlineStr">
        <is>
          <t>Rice &amp; Grains</t>
        </is>
      </c>
      <c r="W184" s="6" t="inlineStr">
        <is>
          <t>$6.88 (0.7%)</t>
        </is>
      </c>
    </row>
    <row r="185" ht="22" customHeight="1" s="64">
      <c r="Q185" s="42" t="n"/>
      <c r="R185" s="32" t="n">
        <v>35</v>
      </c>
      <c r="S185" s="63" t="inlineStr">
        <is>
          <t>Deli Meat</t>
        </is>
      </c>
      <c r="W185" s="6" t="inlineStr">
        <is>
          <t>$6.48 (0.7%)</t>
        </is>
      </c>
    </row>
    <row r="186" ht="22" customHeight="1" s="64">
      <c r="Q186" s="43" t="n"/>
      <c r="R186" s="32" t="n">
        <v>36</v>
      </c>
      <c r="S186" s="63" t="inlineStr">
        <is>
          <t>Frozen Plantains</t>
        </is>
      </c>
      <c r="W186" s="6" t="inlineStr">
        <is>
          <t>$6.29 (0.6%)</t>
        </is>
      </c>
    </row>
    <row r="187" ht="22" customHeight="1" s="64">
      <c r="Q187" s="31" t="n"/>
      <c r="R187" s="32" t="n">
        <v>37</v>
      </c>
      <c r="S187" s="63" t="inlineStr">
        <is>
          <t>Household Cleaners</t>
        </is>
      </c>
      <c r="W187" s="6" t="inlineStr">
        <is>
          <t>$6.24 (0.6%)</t>
        </is>
      </c>
    </row>
    <row r="188" ht="22" customHeight="1" s="64">
      <c r="Q188" s="33" t="n"/>
      <c r="R188" s="32" t="n">
        <v>38</v>
      </c>
      <c r="S188" s="63" t="inlineStr">
        <is>
          <t>Muffins &amp; Pastries</t>
        </is>
      </c>
      <c r="W188" s="6" t="inlineStr">
        <is>
          <t>$5.99 (0.6%)</t>
        </is>
      </c>
    </row>
    <row r="189" ht="22" customHeight="1" s="64">
      <c r="Q189" s="34" t="n"/>
      <c r="R189" s="32" t="n">
        <v>39</v>
      </c>
      <c r="S189" s="63" t="inlineStr">
        <is>
          <t>Storage &amp; Organization</t>
        </is>
      </c>
      <c r="W189" s="6" t="inlineStr">
        <is>
          <t>$5.99 (0.6%)</t>
        </is>
      </c>
    </row>
    <row r="190" ht="22" customHeight="1" s="64">
      <c r="Q190" s="35" t="n"/>
      <c r="R190" s="32" t="n">
        <v>40</v>
      </c>
      <c r="S190" s="63" t="inlineStr">
        <is>
          <t>Writing Supplies</t>
        </is>
      </c>
      <c r="W190" s="6" t="inlineStr">
        <is>
          <t>$5.99 (0.6%)</t>
        </is>
      </c>
    </row>
    <row r="191" ht="22" customHeight="1" s="64">
      <c r="Q191" s="36" t="n"/>
      <c r="R191" s="32" t="n">
        <v>41</v>
      </c>
      <c r="S191" s="63" t="inlineStr">
        <is>
          <t>Cream &amp; Half-and-Half</t>
        </is>
      </c>
      <c r="W191" s="6" t="inlineStr">
        <is>
          <t>$5.89 (0.6%)</t>
        </is>
      </c>
    </row>
    <row r="192" ht="22" customHeight="1" s="64">
      <c r="Q192" s="37" t="n"/>
      <c r="R192" s="32" t="n">
        <v>42</v>
      </c>
      <c r="S192" s="63" t="inlineStr">
        <is>
          <t>Hot Dogs &amp; Sausages</t>
        </is>
      </c>
      <c r="W192" s="6" t="inlineStr">
        <is>
          <t>$5.74 (0.6%)</t>
        </is>
      </c>
    </row>
    <row r="193" ht="22" customHeight="1" s="64">
      <c r="Q193" s="38" t="n"/>
      <c r="R193" s="32" t="n">
        <v>43</v>
      </c>
      <c r="S193" s="63" t="inlineStr">
        <is>
          <t>Plant-Based Cheese</t>
        </is>
      </c>
      <c r="W193" s="6" t="inlineStr">
        <is>
          <t>$5.65 (0.6%)</t>
        </is>
      </c>
    </row>
    <row r="194" ht="22" customHeight="1" s="64">
      <c r="Q194" s="39" t="n"/>
      <c r="R194" s="32" t="n">
        <v>44</v>
      </c>
      <c r="S194" s="63" t="inlineStr">
        <is>
          <t>Canned Beans &amp; Legumes</t>
        </is>
      </c>
      <c r="W194" s="6" t="inlineStr">
        <is>
          <t>$5.42 (0.6%)</t>
        </is>
      </c>
    </row>
    <row r="195" ht="22" customHeight="1" s="64">
      <c r="Q195" s="40" t="n"/>
      <c r="R195" s="32" t="n">
        <v>45</v>
      </c>
      <c r="S195" s="63" t="inlineStr">
        <is>
          <t>Disposable Tableware</t>
        </is>
      </c>
      <c r="W195" s="6" t="inlineStr">
        <is>
          <t>$5.25 (0.5%)</t>
        </is>
      </c>
    </row>
    <row r="196" ht="22" customHeight="1" s="64">
      <c r="Q196" s="41" t="n"/>
      <c r="R196" s="32" t="n">
        <v>46</v>
      </c>
      <c r="S196" s="63" t="inlineStr">
        <is>
          <t>Specialty Cheese</t>
        </is>
      </c>
      <c r="W196" s="6" t="inlineStr">
        <is>
          <t>$4.88 (0.5%)</t>
        </is>
      </c>
    </row>
    <row r="197" ht="22" customHeight="1" s="64">
      <c r="Q197" s="42" t="n"/>
      <c r="R197" s="32" t="n">
        <v>47</v>
      </c>
      <c r="S197" s="63" t="inlineStr">
        <is>
          <t>Dishwashing Supplies</t>
        </is>
      </c>
      <c r="W197" s="6" t="inlineStr">
        <is>
          <t>$4.46 (0.5%)</t>
        </is>
      </c>
    </row>
    <row r="198" ht="22" customHeight="1" s="64">
      <c r="Q198" s="43" t="n"/>
      <c r="R198" s="32" t="n">
        <v>48</v>
      </c>
      <c r="S198" s="63" t="inlineStr">
        <is>
          <t>Fresh-Cut Fruit</t>
        </is>
      </c>
      <c r="W198" s="6" t="inlineStr">
        <is>
          <t>$3.89 (0.4%)</t>
        </is>
      </c>
    </row>
    <row r="199" ht="22" customHeight="1" s="64">
      <c r="Q199" s="31" t="n"/>
      <c r="R199" s="32" t="n">
        <v>49</v>
      </c>
      <c r="S199" s="63" t="inlineStr">
        <is>
          <t>Peanut Butter</t>
        </is>
      </c>
      <c r="W199" s="6" t="inlineStr">
        <is>
          <t>$3.69 (0.4%)</t>
        </is>
      </c>
    </row>
    <row r="200" ht="22" customHeight="1" s="64">
      <c r="Q200" s="33" t="n"/>
      <c r="R200" s="32" t="n">
        <v>50</v>
      </c>
      <c r="S200" s="63" t="inlineStr">
        <is>
          <t>Dips &amp; Spreads</t>
        </is>
      </c>
      <c r="W200" s="6" t="inlineStr">
        <is>
          <t>$3.45 (0.4%)</t>
        </is>
      </c>
    </row>
    <row r="201" ht="22" customHeight="1" s="64">
      <c r="Q201" s="34" t="n"/>
      <c r="R201" s="32" t="n">
        <v>51</v>
      </c>
      <c r="S201" s="63" t="inlineStr">
        <is>
          <t>Jarred Vegetables</t>
        </is>
      </c>
      <c r="W201" s="6" t="inlineStr">
        <is>
          <t>$3.29 (0.3%)</t>
        </is>
      </c>
    </row>
    <row r="202" ht="22" customHeight="1" s="64">
      <c r="Q202" s="35" t="n"/>
      <c r="R202" s="32" t="n">
        <v>52</v>
      </c>
      <c r="S202" s="63" t="inlineStr">
        <is>
          <t>Sauces &amp; Condiments</t>
        </is>
      </c>
      <c r="W202" s="6" t="inlineStr">
        <is>
          <t>$3.19 (0.3%)</t>
        </is>
      </c>
    </row>
    <row r="203" ht="22" customHeight="1" s="64">
      <c r="Q203" s="36" t="n"/>
      <c r="R203" s="32" t="n">
        <v>53</v>
      </c>
      <c r="S203" s="63" t="inlineStr">
        <is>
          <t>Judaica</t>
        </is>
      </c>
      <c r="W203" s="6" t="inlineStr">
        <is>
          <t>$3.16 (0.3%)</t>
        </is>
      </c>
    </row>
    <row r="204" ht="22" customHeight="1" s="64">
      <c r="Q204" s="37" t="n"/>
      <c r="R204" s="32" t="n">
        <v>54</v>
      </c>
      <c r="S204" s="63" t="inlineStr">
        <is>
          <t>Snack Cakes</t>
        </is>
      </c>
      <c r="W204" s="6" t="inlineStr">
        <is>
          <t>$3.12 (0.3%)</t>
        </is>
      </c>
    </row>
    <row r="205" ht="22" customHeight="1" s="64">
      <c r="Q205" s="38" t="n"/>
      <c r="R205" s="32" t="n">
        <v>55</v>
      </c>
      <c r="S205" s="63" t="inlineStr">
        <is>
          <t>Frozen Sandwiches</t>
        </is>
      </c>
      <c r="W205" s="6" t="inlineStr">
        <is>
          <t>$2.99 (0.3%)</t>
        </is>
      </c>
    </row>
    <row r="206" ht="22" customHeight="1" s="64">
      <c r="Q206" s="39" t="n"/>
      <c r="R206" s="32" t="n">
        <v>56</v>
      </c>
      <c r="S206" s="63" t="inlineStr">
        <is>
          <t>Pasta</t>
        </is>
      </c>
      <c r="W206" s="6" t="inlineStr">
        <is>
          <t>$2.99 (0.3%)</t>
        </is>
      </c>
    </row>
    <row r="207" ht="22" customHeight="1" s="64">
      <c r="Q207" s="40" t="n"/>
      <c r="R207" s="32" t="n">
        <v>57</v>
      </c>
      <c r="S207" s="63" t="inlineStr">
        <is>
          <t>Salad Dressing</t>
        </is>
      </c>
      <c r="W207" s="6" t="inlineStr">
        <is>
          <t>$2.99 (0.3%)</t>
        </is>
      </c>
    </row>
    <row r="208" ht="22" customHeight="1" s="64">
      <c r="Q208" s="41" t="n"/>
      <c r="R208" s="32" t="n">
        <v>58</v>
      </c>
      <c r="S208" s="63" t="inlineStr">
        <is>
          <t>Frozen Vegetables</t>
        </is>
      </c>
      <c r="W208" s="6" t="inlineStr">
        <is>
          <t>$2.86 (0.3%)</t>
        </is>
      </c>
    </row>
    <row r="209" ht="22" customHeight="1" s="64">
      <c r="Q209" s="42" t="n"/>
      <c r="R209" s="32" t="n">
        <v>59</v>
      </c>
      <c r="S209" s="63" t="inlineStr">
        <is>
          <t>Crackers</t>
        </is>
      </c>
      <c r="W209" s="6" t="inlineStr">
        <is>
          <t>$2.79 (0.3%)</t>
        </is>
      </c>
    </row>
    <row r="210" ht="22" customHeight="1" s="64">
      <c r="Q210" s="43" t="n"/>
      <c r="R210" s="32" t="n">
        <v>60</v>
      </c>
      <c r="S210" s="63" t="inlineStr">
        <is>
          <t>Popcorn</t>
        </is>
      </c>
      <c r="W210" s="6" t="inlineStr">
        <is>
          <t>$2.39 (0.2%)</t>
        </is>
      </c>
    </row>
    <row r="211" ht="22" customHeight="1" s="64">
      <c r="Q211" s="31" t="n"/>
      <c r="R211" s="32" t="n">
        <v>61</v>
      </c>
      <c r="S211" s="63" t="inlineStr">
        <is>
          <t>Croutons</t>
        </is>
      </c>
      <c r="W211" s="6" t="inlineStr">
        <is>
          <t>$1.99 (0.2%)</t>
        </is>
      </c>
    </row>
    <row r="212" ht="22" customHeight="1" s="64">
      <c r="Q212" s="33" t="n"/>
      <c r="R212" s="32" t="n">
        <v>62</v>
      </c>
      <c r="S212" s="63" t="inlineStr">
        <is>
          <t>Fresh Herbs</t>
        </is>
      </c>
      <c r="W212" s="6" t="inlineStr">
        <is>
          <t>$1.84 (0.2%)</t>
        </is>
      </c>
    </row>
    <row r="213" ht="22" customHeight="1" s="64">
      <c r="Q213" s="34" t="n"/>
      <c r="R213" s="32" t="n">
        <v>63</v>
      </c>
      <c r="S213" s="63" t="inlineStr">
        <is>
          <t>Cream Cheese</t>
        </is>
      </c>
      <c r="W213" s="6" t="inlineStr">
        <is>
          <t>$1.79 (0.2%)</t>
        </is>
      </c>
    </row>
    <row r="214" ht="22" customHeight="1" s="64">
      <c r="Q214" s="35" t="n"/>
      <c r="R214" s="32" t="n">
        <v>64</v>
      </c>
      <c r="S214" s="63" t="inlineStr">
        <is>
          <t>Canned Tomatoes</t>
        </is>
      </c>
      <c r="W214" s="6" t="inlineStr">
        <is>
          <t>$0.95 (0.1%)</t>
        </is>
      </c>
    </row>
    <row r="218" ht="16" customHeight="1" s="64">
      <c r="Q218" s="65" t="inlineStr">
        <is>
          <t>Number / Product</t>
        </is>
      </c>
      <c r="Y218" s="65" t="inlineStr">
        <is>
          <t>How to Read This Graph</t>
        </is>
      </c>
    </row>
    <row r="219">
      <c r="Q219" s="30" t="n"/>
      <c r="R219" s="30" t="inlineStr">
        <is>
          <t>#</t>
        </is>
      </c>
      <c r="S219" s="30" t="inlineStr">
        <is>
          <t>Description</t>
        </is>
      </c>
      <c r="W219" s="30" t="inlineStr">
        <is>
          <t>Value</t>
        </is>
      </c>
    </row>
    <row r="220" ht="22" customHeight="1" s="64">
      <c r="Q220" s="31" t="n"/>
      <c r="R220" s="32" t="n">
        <v>1</v>
      </c>
      <c r="S220" s="63" t="inlineStr">
        <is>
          <t>Pampers Swaddlers Size 5 Diapers</t>
        </is>
      </c>
      <c r="W220" s="6" t="inlineStr">
        <is>
          <t>$79.54</t>
        </is>
      </c>
      <c r="Y220" s="66" t="inlineStr">
        <is>
          <t>What it represents</t>
        </is>
      </c>
    </row>
    <row r="221" ht="22" customHeight="1" s="64">
      <c r="Q221" s="33" t="n"/>
      <c r="R221" s="32" t="n">
        <v>2</v>
      </c>
      <c r="S221" s="63" t="inlineStr">
        <is>
          <t>Purina Tidy Cats Clumping Cat Litter</t>
        </is>
      </c>
      <c r="W221" s="6" t="inlineStr">
        <is>
          <t>$47.88</t>
        </is>
      </c>
      <c r="Y221" s="63" t="inlineStr">
        <is>
          <t>Ranks the ten individual product identities with the most accumulated spending across all recorded purchases.</t>
        </is>
      </c>
    </row>
    <row r="222" ht="22" customHeight="1" s="64">
      <c r="Q222" s="34" t="n"/>
      <c r="R222" s="32" t="n">
        <v>3</v>
      </c>
      <c r="S222" s="63" t="inlineStr">
        <is>
          <t>Driver Tip</t>
        </is>
      </c>
      <c r="W222" s="6" t="inlineStr">
        <is>
          <t>$46.78</t>
        </is>
      </c>
    </row>
    <row r="223" ht="22" customHeight="1" s="64">
      <c r="Q223" s="35" t="n"/>
      <c r="R223" s="32" t="n">
        <v>4</v>
      </c>
      <c r="S223" s="63" t="inlineStr">
        <is>
          <t>Command Heavy Duty Picture Hangers</t>
        </is>
      </c>
      <c r="W223" s="6" t="inlineStr">
        <is>
          <t>$28.54</t>
        </is>
      </c>
    </row>
    <row r="224" ht="22" customHeight="1" s="64">
      <c r="Q224" s="36" t="n"/>
      <c r="R224" s="32" t="n">
        <v>5</v>
      </c>
      <c r="S224" s="63" t="inlineStr">
        <is>
          <t>Tax</t>
        </is>
      </c>
      <c r="W224" s="6" t="inlineStr">
        <is>
          <t>$24.88</t>
        </is>
      </c>
    </row>
    <row r="225" ht="22" customHeight="1" s="64">
      <c r="Q225" s="37" t="n"/>
      <c r="R225" s="32" t="n">
        <v>6</v>
      </c>
      <c r="S225" s="63" t="inlineStr">
        <is>
          <t>CeraVe Baby Healing Ointment</t>
        </is>
      </c>
      <c r="W225" s="6" t="inlineStr">
        <is>
          <t>$19.96</t>
        </is>
      </c>
    </row>
    <row r="226" ht="22" customHeight="1" s="64">
      <c r="Q226" s="38" t="n"/>
      <c r="R226" s="32" t="n">
        <v>7</v>
      </c>
      <c r="S226" s="63" t="inlineStr">
        <is>
          <t>Mandarin Oranges</t>
        </is>
      </c>
      <c r="W226" s="6" t="inlineStr">
        <is>
          <t>$19.91</t>
        </is>
      </c>
      <c r="Y226" s="66" t="inlineStr">
        <is>
          <t>How to read it</t>
        </is>
      </c>
    </row>
    <row r="227" ht="22" customHeight="1" s="64">
      <c r="Q227" s="39" t="n"/>
      <c r="R227" s="32" t="n">
        <v>8</v>
      </c>
      <c r="S227" s="63" t="inlineStr">
        <is>
          <t>Dove Sensitive Skin Body Wash</t>
        </is>
      </c>
      <c r="W227" s="6" t="inlineStr">
        <is>
          <t>$19.88</t>
        </is>
      </c>
      <c r="Y227" s="63" t="inlineStr">
        <is>
          <t>Each product is represented by a numbered colored bar. Use the key to see the product name and its total spending. The longest bar is the largest individual spending driver.</t>
        </is>
      </c>
    </row>
    <row r="228" ht="22" customHeight="1" s="64">
      <c r="Q228" s="40" t="n"/>
      <c r="R228" s="32" t="n">
        <v>9</v>
      </c>
      <c r="S228" s="63" t="inlineStr">
        <is>
          <t>Chobani Protein Greek Yogurt Drink, Strawberries &amp; Cream</t>
        </is>
      </c>
      <c r="W228" s="6" t="inlineStr">
        <is>
          <t>$19.34</t>
        </is>
      </c>
    </row>
    <row r="229" ht="22" customHeight="1" s="64">
      <c r="Q229" s="41" t="n"/>
      <c r="R229" s="32" t="n">
        <v>10</v>
      </c>
      <c r="S229" s="63" t="inlineStr">
        <is>
          <t>Silk Organic Unsweet Soymilk, Half Gallon</t>
        </is>
      </c>
      <c r="W229" s="6" t="inlineStr">
        <is>
          <t>$18.57</t>
        </is>
      </c>
    </row>
    <row r="230"/>
    <row r="232">
      <c r="Y232" s="66" t="inlineStr">
        <is>
          <t>What it is useful for</t>
        </is>
      </c>
    </row>
    <row r="233">
      <c r="Y233" s="63" t="inlineStr">
        <is>
          <t>Use this to identify specific products that contribute the most to total spending and may be worth price-comparing or watching over time.</t>
        </is>
      </c>
    </row>
    <row r="234"/>
    <row r="235"/>
    <row r="236"/>
    <row r="238">
      <c r="Y238" s="66" t="inlineStr">
        <is>
          <t>Notes</t>
        </is>
      </c>
    </row>
    <row r="239">
      <c r="Y239" s="63" t="inlineStr">
        <is>
          <t>Product identity prefers Common Name and falls back to Product when Common Name is unavailable.</t>
        </is>
      </c>
    </row>
    <row r="240"/>
    <row r="241"/>
    <row r="242"/>
    <row r="254" ht="16" customHeight="1" s="64">
      <c r="Q254" s="65" t="inlineStr">
        <is>
          <t>Store Numbers + Month Numbers</t>
        </is>
      </c>
      <c r="Y254" s="65" t="inlineStr">
        <is>
          <t>How to Read This Graph</t>
        </is>
      </c>
    </row>
    <row r="255">
      <c r="Q255" s="30" t="n"/>
      <c r="R255" s="30" t="inlineStr">
        <is>
          <t>#</t>
        </is>
      </c>
      <c r="S255" s="30" t="inlineStr">
        <is>
          <t>Description</t>
        </is>
      </c>
      <c r="W255" s="30" t="inlineStr">
        <is>
          <t>Value</t>
        </is>
      </c>
    </row>
    <row r="256" ht="22" customHeight="1" s="64">
      <c r="Q256" s="31" t="n"/>
      <c r="R256" s="32" t="n">
        <v>1</v>
      </c>
      <c r="S256" s="63" t="inlineStr">
        <is>
          <t>Walmart</t>
        </is>
      </c>
      <c r="W256" s="6" t="inlineStr">
        <is>
          <t>$574.97</t>
        </is>
      </c>
      <c r="Y256" s="66" t="inlineStr">
        <is>
          <t>What it represents</t>
        </is>
      </c>
    </row>
    <row r="257" ht="22" customHeight="1" s="64">
      <c r="Q257" s="33" t="n"/>
      <c r="R257" s="32" t="n">
        <v>2</v>
      </c>
      <c r="S257" s="63" t="inlineStr">
        <is>
          <t>Aldi</t>
        </is>
      </c>
      <c r="W257" s="6" t="inlineStr">
        <is>
          <t>$180.89</t>
        </is>
      </c>
      <c r="Y257" s="63" t="inlineStr">
        <is>
          <t>Shows how monthly spending is divided among stores. Each column is one month; each colored section inside the column represents one store.</t>
        </is>
      </c>
    </row>
    <row r="258" ht="22" customHeight="1" s="64">
      <c r="Q258" s="34" t="n"/>
      <c r="R258" s="32" t="n">
        <v>3</v>
      </c>
      <c r="S258" s="63" t="inlineStr">
        <is>
          <t>Publix</t>
        </is>
      </c>
      <c r="W258" s="6" t="inlineStr">
        <is>
          <t>$145.58</t>
        </is>
      </c>
    </row>
    <row r="259" ht="22" customHeight="1" s="64">
      <c r="Q259" s="35" t="n"/>
      <c r="R259" s="32" t="n">
        <v>4</v>
      </c>
      <c r="S259" s="63" t="inlineStr">
        <is>
          <t>Honey Pineapple</t>
        </is>
      </c>
      <c r="W259" s="6" t="inlineStr">
        <is>
          <t>$48.12</t>
        </is>
      </c>
    </row>
    <row r="260" ht="22" customHeight="1" s="64">
      <c r="Q260" s="36" t="n"/>
      <c r="R260" s="32" t="n">
        <v>5</v>
      </c>
      <c r="S260" s="63" t="inlineStr">
        <is>
          <t>Trader Joe's</t>
        </is>
      </c>
      <c r="W260" s="6" t="inlineStr">
        <is>
          <t>$30.24</t>
        </is>
      </c>
    </row>
    <row r="261" ht="22" customHeight="1" s="64">
      <c r="Q261" s="44" t="n"/>
      <c r="R261" s="32" t="n">
        <v>1</v>
      </c>
      <c r="S261" s="63" t="inlineStr">
        <is>
          <t>Month August 2026</t>
        </is>
      </c>
      <c r="W261" s="6" t="inlineStr">
        <is>
          <t>$979.80</t>
        </is>
      </c>
    </row>
    <row r="262">
      <c r="Y262" s="66" t="inlineStr">
        <is>
          <t>How to read it</t>
        </is>
      </c>
    </row>
    <row r="263">
      <c r="Y263" s="63" t="inlineStr">
        <is>
          <t>Store series use the numbered color key. The x-axis uses month numbers. Match those month numbers to the month rows in the key. The total height of a column is total monthly spending; the colored portions show which stores made up that total.</t>
        </is>
      </c>
    </row>
    <row r="264"/>
    <row r="265"/>
    <row r="266"/>
    <row r="268">
      <c r="Y268" s="66" t="inlineStr">
        <is>
          <t>What it is useful for</t>
        </is>
      </c>
    </row>
    <row r="269">
      <c r="Y269" s="63" t="inlineStr">
        <is>
          <t>Use this to see whether changes in monthly spending are connected to a particular store and how your retailer mix changes over time.</t>
        </is>
      </c>
    </row>
    <row r="270"/>
    <row r="271"/>
    <row r="272"/>
    <row r="274">
      <c r="Y274" s="66" t="inlineStr">
        <is>
          <t>Notes</t>
        </is>
      </c>
    </row>
    <row r="275">
      <c r="Y275" s="63" t="inlineStr">
        <is>
          <t>All stores are retained. There is no catch-all 'Other' store series.</t>
        </is>
      </c>
    </row>
    <row r="276"/>
    <row r="277"/>
    <row r="278"/>
    <row r="290" ht="16" customHeight="1" s="64">
      <c r="Q290" s="65" t="inlineStr">
        <is>
          <t>Number / Sub-Category</t>
        </is>
      </c>
      <c r="Y290" s="65" t="inlineStr">
        <is>
          <t>How to Read This Graph</t>
        </is>
      </c>
    </row>
    <row r="291">
      <c r="Q291" s="30" t="n"/>
      <c r="R291" s="30" t="inlineStr">
        <is>
          <t>#</t>
        </is>
      </c>
      <c r="S291" s="30" t="inlineStr">
        <is>
          <t>Description</t>
        </is>
      </c>
      <c r="W291" s="30" t="inlineStr">
        <is>
          <t>Value</t>
        </is>
      </c>
    </row>
    <row r="292" ht="22" customHeight="1" s="64">
      <c r="Q292" s="31" t="n"/>
      <c r="R292" s="32" t="n">
        <v>1</v>
      </c>
      <c r="S292" s="63" t="inlineStr">
        <is>
          <t>Fresh Vegetables</t>
        </is>
      </c>
      <c r="W292" s="6" t="inlineStr">
        <is>
          <t>24</t>
        </is>
      </c>
      <c r="Y292" s="66" t="inlineStr">
        <is>
          <t>What it represents</t>
        </is>
      </c>
    </row>
    <row r="293" ht="22" customHeight="1" s="64">
      <c r="Q293" s="33" t="n"/>
      <c r="R293" s="32" t="n">
        <v>2</v>
      </c>
      <c r="S293" s="63" t="inlineStr">
        <is>
          <t>Fresh Fruit</t>
        </is>
      </c>
      <c r="W293" s="6" t="inlineStr">
        <is>
          <t>23</t>
        </is>
      </c>
      <c r="Y293" s="63" t="inlineStr">
        <is>
          <t>Counts how many valid purchase observations occurred in each sub-category. This measures frequency, not dollars.</t>
        </is>
      </c>
    </row>
    <row r="294" ht="22" customHeight="1" s="64">
      <c r="Q294" s="34" t="n"/>
      <c r="R294" s="32" t="n">
        <v>3</v>
      </c>
      <c r="S294" s="63" t="inlineStr">
        <is>
          <t>Fees &amp; Charges</t>
        </is>
      </c>
      <c r="W294" s="6" t="inlineStr">
        <is>
          <t>14</t>
        </is>
      </c>
    </row>
    <row r="295" ht="22" customHeight="1" s="64">
      <c r="Q295" s="35" t="n"/>
      <c r="R295" s="32" t="n">
        <v>4</v>
      </c>
      <c r="S295" s="63" t="inlineStr">
        <is>
          <t>Baby Care</t>
        </is>
      </c>
      <c r="W295" s="6" t="inlineStr">
        <is>
          <t>10</t>
        </is>
      </c>
    </row>
    <row r="296" ht="22" customHeight="1" s="64">
      <c r="Q296" s="36" t="n"/>
      <c r="R296" s="32" t="n">
        <v>5</v>
      </c>
      <c r="S296" s="63" t="inlineStr">
        <is>
          <t>Baking Ingredients</t>
        </is>
      </c>
      <c r="W296" s="6" t="inlineStr">
        <is>
          <t>6</t>
        </is>
      </c>
    </row>
    <row r="297" ht="22" customHeight="1" s="64">
      <c r="Q297" s="37" t="n"/>
      <c r="R297" s="32" t="n">
        <v>6</v>
      </c>
      <c r="S297" s="63" t="inlineStr">
        <is>
          <t>Canned Beans &amp; Legumes</t>
        </is>
      </c>
      <c r="W297" s="6" t="inlineStr">
        <is>
          <t>6</t>
        </is>
      </c>
    </row>
    <row r="298" ht="22" customHeight="1" s="64">
      <c r="Q298" s="38" t="n"/>
      <c r="R298" s="32" t="n">
        <v>7</v>
      </c>
      <c r="S298" s="63" t="inlineStr">
        <is>
          <t>Yogurt</t>
        </is>
      </c>
      <c r="W298" s="6" t="inlineStr">
        <is>
          <t>6</t>
        </is>
      </c>
      <c r="Y298" s="66" t="inlineStr">
        <is>
          <t>How to read it</t>
        </is>
      </c>
    </row>
    <row r="299" ht="22" customHeight="1" s="64">
      <c r="Q299" s="39" t="n"/>
      <c r="R299" s="32" t="n">
        <v>8</v>
      </c>
      <c r="S299" s="63" t="inlineStr">
        <is>
          <t>Plant-Based Milk</t>
        </is>
      </c>
      <c r="W299" s="6" t="inlineStr">
        <is>
          <t>5</t>
        </is>
      </c>
      <c r="Y299" s="63" t="inlineStr">
        <is>
          <t>Each sub-category is a numbered colored bar. Match the number and color to the key. A longer bar means the sub-category was purchased more frequently.</t>
        </is>
      </c>
    </row>
    <row r="300" ht="22" customHeight="1" s="64">
      <c r="Q300" s="40" t="n"/>
      <c r="R300" s="32" t="n">
        <v>9</v>
      </c>
      <c r="S300" s="63" t="inlineStr">
        <is>
          <t>Seasonings &amp; Spices</t>
        </is>
      </c>
      <c r="W300" s="6" t="inlineStr">
        <is>
          <t>5</t>
        </is>
      </c>
    </row>
    <row r="301" ht="22" customHeight="1" s="64">
      <c r="Q301" s="41" t="n"/>
      <c r="R301" s="32" t="n">
        <v>10</v>
      </c>
      <c r="S301" s="63" t="inlineStr">
        <is>
          <t>Body Wash</t>
        </is>
      </c>
      <c r="W301" s="6" t="inlineStr">
        <is>
          <t>4</t>
        </is>
      </c>
    </row>
    <row r="302" ht="22" customHeight="1" s="64">
      <c r="Q302" s="42" t="n"/>
      <c r="R302" s="32" t="n">
        <v>11</v>
      </c>
      <c r="S302" s="63" t="inlineStr">
        <is>
          <t>Eggs</t>
        </is>
      </c>
      <c r="W302" s="6" t="inlineStr">
        <is>
          <t>4</t>
        </is>
      </c>
    </row>
    <row r="303" ht="22" customHeight="1" s="64">
      <c r="Q303" s="43" t="n"/>
      <c r="R303" s="32" t="n">
        <v>12</v>
      </c>
      <c r="S303" s="63" t="inlineStr">
        <is>
          <t>Macaroni &amp; Cheese</t>
        </is>
      </c>
      <c r="W303" s="6" t="inlineStr">
        <is>
          <t>4</t>
        </is>
      </c>
    </row>
    <row r="304" ht="22" customHeight="1" s="64">
      <c r="Q304" s="31" t="n"/>
      <c r="R304" s="32" t="n">
        <v>13</v>
      </c>
      <c r="S304" s="63" t="inlineStr">
        <is>
          <t>Baking Mixes</t>
        </is>
      </c>
      <c r="W304" s="6" t="inlineStr">
        <is>
          <t>3</t>
        </is>
      </c>
      <c r="Y304" s="66" t="inlineStr">
        <is>
          <t>What it is useful for</t>
        </is>
      </c>
    </row>
    <row r="305" ht="22" customHeight="1" s="64">
      <c r="Q305" s="33" t="n"/>
      <c r="R305" s="32" t="n">
        <v>14</v>
      </c>
      <c r="S305" s="63" t="inlineStr">
        <is>
          <t>Bread</t>
        </is>
      </c>
      <c r="W305" s="6" t="inlineStr">
        <is>
          <t>3</t>
        </is>
      </c>
      <c r="Y305" s="63" t="inlineStr">
        <is>
          <t>Use this alongside Spending by Sub-Category to distinguish frequent routine purchases from sub-categories that are bought less often but cost more.</t>
        </is>
      </c>
    </row>
    <row r="306" ht="22" customHeight="1" s="64">
      <c r="Q306" s="34" t="n"/>
      <c r="R306" s="32" t="n">
        <v>15</v>
      </c>
      <c r="S306" s="63" t="inlineStr">
        <is>
          <t>Salad Kits</t>
        </is>
      </c>
      <c r="W306" s="6" t="inlineStr">
        <is>
          <t>3</t>
        </is>
      </c>
    </row>
    <row r="307" ht="22" customHeight="1" s="64">
      <c r="Q307" s="35" t="n"/>
      <c r="R307" s="32" t="n">
        <v>16</v>
      </c>
      <c r="S307" s="63" t="inlineStr">
        <is>
          <t>Snack Bars</t>
        </is>
      </c>
      <c r="W307" s="6" t="inlineStr">
        <is>
          <t>3</t>
        </is>
      </c>
    </row>
    <row r="308" ht="22" customHeight="1" s="64">
      <c r="Q308" s="36" t="n"/>
      <c r="R308" s="32" t="n">
        <v>17</v>
      </c>
      <c r="S308" s="63" t="inlineStr">
        <is>
          <t>Cat Litter</t>
        </is>
      </c>
      <c r="W308" s="6" t="inlineStr">
        <is>
          <t>2</t>
        </is>
      </c>
    </row>
    <row r="309" ht="22" customHeight="1" s="64">
      <c r="Q309" s="37" t="n"/>
      <c r="R309" s="32" t="n">
        <v>18</v>
      </c>
      <c r="S309" s="63" t="inlineStr">
        <is>
          <t>Cheese</t>
        </is>
      </c>
      <c r="W309" s="6" t="inlineStr">
        <is>
          <t>2</t>
        </is>
      </c>
    </row>
    <row r="310" ht="22" customHeight="1" s="64">
      <c r="Q310" s="38" t="n"/>
      <c r="R310" s="32" t="n">
        <v>19</v>
      </c>
      <c r="S310" s="63" t="inlineStr">
        <is>
          <t>Cooking Oils &amp; Sprays</t>
        </is>
      </c>
      <c r="W310" s="6" t="inlineStr">
        <is>
          <t>2</t>
        </is>
      </c>
    </row>
    <row r="311" ht="22" customHeight="1" s="64">
      <c r="Q311" s="39" t="n"/>
      <c r="R311" s="32" t="n">
        <v>20</v>
      </c>
      <c r="S311" s="63" t="inlineStr">
        <is>
          <t>Food Storage</t>
        </is>
      </c>
      <c r="W311" s="6" t="inlineStr">
        <is>
          <t>2</t>
        </is>
      </c>
    </row>
    <row r="312" ht="22" customHeight="1" s="64">
      <c r="Q312" s="40" t="n"/>
      <c r="R312" s="32" t="n">
        <v>21</v>
      </c>
      <c r="S312" s="63" t="inlineStr">
        <is>
          <t>Fresh Herbs</t>
        </is>
      </c>
      <c r="W312" s="6" t="inlineStr">
        <is>
          <t>2</t>
        </is>
      </c>
    </row>
    <row r="313" ht="22" customHeight="1" s="64">
      <c r="Q313" s="41" t="n"/>
      <c r="R313" s="32" t="n">
        <v>22</v>
      </c>
      <c r="S313" s="63" t="inlineStr">
        <is>
          <t>Fresh Poultry</t>
        </is>
      </c>
      <c r="W313" s="6" t="inlineStr">
        <is>
          <t>2</t>
        </is>
      </c>
    </row>
    <row r="314" ht="22" customHeight="1" s="64">
      <c r="Q314" s="42" t="n"/>
      <c r="R314" s="32" t="n">
        <v>23</v>
      </c>
      <c r="S314" s="63" t="inlineStr">
        <is>
          <t>Frozen Breakfast</t>
        </is>
      </c>
      <c r="W314" s="6" t="inlineStr">
        <is>
          <t>2</t>
        </is>
      </c>
    </row>
    <row r="315" ht="22" customHeight="1" s="64">
      <c r="Q315" s="43" t="n"/>
      <c r="R315" s="32" t="n">
        <v>24</v>
      </c>
      <c r="S315" s="63" t="inlineStr">
        <is>
          <t>Frozen Pizza</t>
        </is>
      </c>
      <c r="W315" s="6" t="inlineStr">
        <is>
          <t>2</t>
        </is>
      </c>
    </row>
    <row r="316" ht="22" customHeight="1" s="64">
      <c r="Q316" s="31" t="n"/>
      <c r="R316" s="32" t="n">
        <v>25</v>
      </c>
      <c r="S316" s="63" t="inlineStr">
        <is>
          <t>Frozen Vegetables</t>
        </is>
      </c>
      <c r="W316" s="6" t="inlineStr">
        <is>
          <t>2</t>
        </is>
      </c>
    </row>
    <row r="317" ht="22" customHeight="1" s="64">
      <c r="Q317" s="33" t="n"/>
      <c r="R317" s="32" t="n">
        <v>26</v>
      </c>
      <c r="S317" s="63" t="inlineStr">
        <is>
          <t>Hair Care</t>
        </is>
      </c>
      <c r="W317" s="6" t="inlineStr">
        <is>
          <t>2</t>
        </is>
      </c>
    </row>
    <row r="318" ht="22" customHeight="1" s="64">
      <c r="Q318" s="34" t="n"/>
      <c r="R318" s="32" t="n">
        <v>27</v>
      </c>
      <c r="S318" s="63" t="inlineStr">
        <is>
          <t>Milk</t>
        </is>
      </c>
      <c r="W318" s="6" t="inlineStr">
        <is>
          <t>2</t>
        </is>
      </c>
    </row>
    <row r="319" ht="22" customHeight="1" s="64">
      <c r="Q319" s="35" t="n"/>
      <c r="R319" s="32" t="n">
        <v>28</v>
      </c>
      <c r="S319" s="63" t="inlineStr">
        <is>
          <t>Plant-Based Cheese</t>
        </is>
      </c>
      <c r="W319" s="6" t="inlineStr">
        <is>
          <t>2</t>
        </is>
      </c>
    </row>
    <row r="320" ht="22" customHeight="1" s="64">
      <c r="Q320" s="36" t="n"/>
      <c r="R320" s="32" t="n">
        <v>29</v>
      </c>
      <c r="S320" s="63" t="inlineStr">
        <is>
          <t>Prepared Coffee</t>
        </is>
      </c>
      <c r="W320" s="6" t="inlineStr">
        <is>
          <t>2</t>
        </is>
      </c>
    </row>
    <row r="321" ht="22" customHeight="1" s="64">
      <c r="Q321" s="37" t="n"/>
      <c r="R321" s="32" t="n">
        <v>30</v>
      </c>
      <c r="S321" s="63" t="inlineStr">
        <is>
          <t>Prepared Meals</t>
        </is>
      </c>
      <c r="W321" s="6" t="inlineStr">
        <is>
          <t>2</t>
        </is>
      </c>
    </row>
    <row r="322" ht="22" customHeight="1" s="64">
      <c r="Q322" s="38" t="n"/>
      <c r="R322" s="32" t="n">
        <v>31</v>
      </c>
      <c r="S322" s="63" t="inlineStr">
        <is>
          <t>Specialty Cheese</t>
        </is>
      </c>
      <c r="W322" s="6" t="inlineStr">
        <is>
          <t>2</t>
        </is>
      </c>
    </row>
    <row r="323" ht="22" customHeight="1" s="64">
      <c r="Q323" s="39" t="n"/>
      <c r="R323" s="32" t="n">
        <v>32</v>
      </c>
      <c r="S323" s="63" t="inlineStr">
        <is>
          <t>Tortillas</t>
        </is>
      </c>
      <c r="W323" s="6" t="inlineStr">
        <is>
          <t>2</t>
        </is>
      </c>
    </row>
    <row r="324" ht="22" customHeight="1" s="64">
      <c r="Q324" s="40" t="n"/>
      <c r="R324" s="32" t="n">
        <v>33</v>
      </c>
      <c r="S324" s="63" t="inlineStr">
        <is>
          <t>Baby &amp; Toddler Food</t>
        </is>
      </c>
      <c r="W324" s="6" t="inlineStr">
        <is>
          <t>1</t>
        </is>
      </c>
    </row>
    <row r="325" ht="22" customHeight="1" s="64">
      <c r="Q325" s="41" t="n"/>
      <c r="R325" s="32" t="n">
        <v>34</v>
      </c>
      <c r="S325" s="63" t="inlineStr">
        <is>
          <t>Canned Tomatoes</t>
        </is>
      </c>
      <c r="W325" s="6" t="inlineStr">
        <is>
          <t>1</t>
        </is>
      </c>
    </row>
    <row r="326" ht="22" customHeight="1" s="64">
      <c r="Q326" s="42" t="n"/>
      <c r="R326" s="32" t="n">
        <v>35</v>
      </c>
      <c r="S326" s="63" t="inlineStr">
        <is>
          <t>Crackers</t>
        </is>
      </c>
      <c r="W326" s="6" t="inlineStr">
        <is>
          <t>1</t>
        </is>
      </c>
    </row>
    <row r="327" ht="22" customHeight="1" s="64">
      <c r="Q327" s="43" t="n"/>
      <c r="R327" s="32" t="n">
        <v>36</v>
      </c>
      <c r="S327" s="63" t="inlineStr">
        <is>
          <t>Cream &amp; Half-and-Half</t>
        </is>
      </c>
      <c r="W327" s="6" t="inlineStr">
        <is>
          <t>1</t>
        </is>
      </c>
    </row>
    <row r="328" ht="22" customHeight="1" s="64">
      <c r="Q328" s="31" t="n"/>
      <c r="R328" s="32" t="n">
        <v>37</v>
      </c>
      <c r="S328" s="63" t="inlineStr">
        <is>
          <t>Cream Cheese</t>
        </is>
      </c>
      <c r="W328" s="6" t="inlineStr">
        <is>
          <t>1</t>
        </is>
      </c>
    </row>
    <row r="329" ht="22" customHeight="1" s="64">
      <c r="Q329" s="33" t="n"/>
      <c r="R329" s="32" t="n">
        <v>38</v>
      </c>
      <c r="S329" s="63" t="inlineStr">
        <is>
          <t>Croutons</t>
        </is>
      </c>
      <c r="W329" s="6" t="inlineStr">
        <is>
          <t>1</t>
        </is>
      </c>
    </row>
    <row r="330" ht="22" customHeight="1" s="64">
      <c r="Q330" s="34" t="n"/>
      <c r="R330" s="32" t="n">
        <v>39</v>
      </c>
      <c r="S330" s="63" t="inlineStr">
        <is>
          <t>Deli Meat</t>
        </is>
      </c>
      <c r="W330" s="6" t="inlineStr">
        <is>
          <t>1</t>
        </is>
      </c>
    </row>
    <row r="331" ht="22" customHeight="1" s="64">
      <c r="Q331" s="35" t="n"/>
      <c r="R331" s="32" t="n">
        <v>40</v>
      </c>
      <c r="S331" s="63" t="inlineStr">
        <is>
          <t>Dips &amp; Spreads</t>
        </is>
      </c>
      <c r="W331" s="6" t="inlineStr">
        <is>
          <t>1</t>
        </is>
      </c>
    </row>
    <row r="332" ht="22" customHeight="1" s="64">
      <c r="Q332" s="36" t="n"/>
      <c r="R332" s="32" t="n">
        <v>41</v>
      </c>
      <c r="S332" s="63" t="inlineStr">
        <is>
          <t>Dishwashing Supplies</t>
        </is>
      </c>
      <c r="W332" s="6" t="inlineStr">
        <is>
          <t>1</t>
        </is>
      </c>
    </row>
    <row r="333" ht="22" customHeight="1" s="64">
      <c r="Q333" s="37" t="n"/>
      <c r="R333" s="32" t="n">
        <v>42</v>
      </c>
      <c r="S333" s="63" t="inlineStr">
        <is>
          <t>Disposable Tableware</t>
        </is>
      </c>
      <c r="W333" s="6" t="inlineStr">
        <is>
          <t>1</t>
        </is>
      </c>
    </row>
    <row r="334" ht="22" customHeight="1" s="64">
      <c r="Q334" s="38" t="n"/>
      <c r="R334" s="32" t="n">
        <v>43</v>
      </c>
      <c r="S334" s="63" t="inlineStr">
        <is>
          <t>Fresh Seafood</t>
        </is>
      </c>
      <c r="W334" s="6" t="inlineStr">
        <is>
          <t>1</t>
        </is>
      </c>
    </row>
    <row r="335" ht="22" customHeight="1" s="64">
      <c r="Q335" s="39" t="n"/>
      <c r="R335" s="32" t="n">
        <v>44</v>
      </c>
      <c r="S335" s="63" t="inlineStr">
        <is>
          <t>Fresh-Cut Fruit</t>
        </is>
      </c>
      <c r="W335" s="6" t="inlineStr">
        <is>
          <t>1</t>
        </is>
      </c>
    </row>
    <row r="336" ht="22" customHeight="1" s="64">
      <c r="Q336" s="40" t="n"/>
      <c r="R336" s="32" t="n">
        <v>45</v>
      </c>
      <c r="S336" s="63" t="inlineStr">
        <is>
          <t>Frozen Meat</t>
        </is>
      </c>
      <c r="W336" s="6" t="inlineStr">
        <is>
          <t>1</t>
        </is>
      </c>
    </row>
    <row r="337" ht="22" customHeight="1" s="64">
      <c r="Q337" s="41" t="n"/>
      <c r="R337" s="32" t="n">
        <v>46</v>
      </c>
      <c r="S337" s="63" t="inlineStr">
        <is>
          <t>Frozen Plantains</t>
        </is>
      </c>
      <c r="W337" s="6" t="inlineStr">
        <is>
          <t>1</t>
        </is>
      </c>
    </row>
    <row r="338" ht="22" customHeight="1" s="64">
      <c r="Q338" s="42" t="n"/>
      <c r="R338" s="32" t="n">
        <v>47</v>
      </c>
      <c r="S338" s="63" t="inlineStr">
        <is>
          <t>Frozen Sandwiches</t>
        </is>
      </c>
      <c r="W338" s="6" t="inlineStr">
        <is>
          <t>1</t>
        </is>
      </c>
    </row>
    <row r="339" ht="22" customHeight="1" s="64">
      <c r="Q339" s="43" t="n"/>
      <c r="R339" s="32" t="n">
        <v>48</v>
      </c>
      <c r="S339" s="63" t="inlineStr">
        <is>
          <t>Home Improvement</t>
        </is>
      </c>
      <c r="W339" s="6" t="inlineStr">
        <is>
          <t>1</t>
        </is>
      </c>
    </row>
    <row r="340" ht="22" customHeight="1" s="64">
      <c r="Q340" s="31" t="n"/>
      <c r="R340" s="32" t="n">
        <v>49</v>
      </c>
      <c r="S340" s="63" t="inlineStr">
        <is>
          <t>Hot Dogs &amp; Sausages</t>
        </is>
      </c>
      <c r="W340" s="6" t="inlineStr">
        <is>
          <t>1</t>
        </is>
      </c>
    </row>
    <row r="341" ht="22" customHeight="1" s="64">
      <c r="Q341" s="33" t="n"/>
      <c r="R341" s="32" t="n">
        <v>50</v>
      </c>
      <c r="S341" s="63" t="inlineStr">
        <is>
          <t>Household Cleaners</t>
        </is>
      </c>
      <c r="W341" s="6" t="inlineStr">
        <is>
          <t>1</t>
        </is>
      </c>
    </row>
    <row r="342" ht="22" customHeight="1" s="64">
      <c r="Q342" s="34" t="n"/>
      <c r="R342" s="32" t="n">
        <v>51</v>
      </c>
      <c r="S342" s="63" t="inlineStr">
        <is>
          <t>Jarred Vegetables</t>
        </is>
      </c>
      <c r="W342" s="6" t="inlineStr">
        <is>
          <t>1</t>
        </is>
      </c>
    </row>
    <row r="343" ht="22" customHeight="1" s="64">
      <c r="Q343" s="35" t="n"/>
      <c r="R343" s="32" t="n">
        <v>52</v>
      </c>
      <c r="S343" s="63" t="inlineStr">
        <is>
          <t>Judaica</t>
        </is>
      </c>
      <c r="W343" s="6" t="inlineStr">
        <is>
          <t>1</t>
        </is>
      </c>
    </row>
    <row r="344" ht="22" customHeight="1" s="64">
      <c r="Q344" s="36" t="n"/>
      <c r="R344" s="32" t="n">
        <v>53</v>
      </c>
      <c r="S344" s="63" t="inlineStr">
        <is>
          <t>Muffins &amp; Pastries</t>
        </is>
      </c>
      <c r="W344" s="6" t="inlineStr">
        <is>
          <t>1</t>
        </is>
      </c>
    </row>
    <row r="345" ht="22" customHeight="1" s="64">
      <c r="Q345" s="37" t="n"/>
      <c r="R345" s="32" t="n">
        <v>54</v>
      </c>
      <c r="S345" s="63" t="inlineStr">
        <is>
          <t>Pasta</t>
        </is>
      </c>
      <c r="W345" s="6" t="inlineStr">
        <is>
          <t>1</t>
        </is>
      </c>
    </row>
    <row r="346" ht="22" customHeight="1" s="64">
      <c r="Q346" s="38" t="n"/>
      <c r="R346" s="32" t="n">
        <v>55</v>
      </c>
      <c r="S346" s="63" t="inlineStr">
        <is>
          <t>Peanut Butter</t>
        </is>
      </c>
      <c r="W346" s="6" t="inlineStr">
        <is>
          <t>1</t>
        </is>
      </c>
    </row>
    <row r="347" ht="22" customHeight="1" s="64">
      <c r="Q347" s="39" t="n"/>
      <c r="R347" s="32" t="n">
        <v>56</v>
      </c>
      <c r="S347" s="63" t="inlineStr">
        <is>
          <t>Popcorn</t>
        </is>
      </c>
      <c r="W347" s="6" t="inlineStr">
        <is>
          <t>1</t>
        </is>
      </c>
    </row>
    <row r="348" ht="22" customHeight="1" s="64">
      <c r="Q348" s="40" t="n"/>
      <c r="R348" s="32" t="n">
        <v>57</v>
      </c>
      <c r="S348" s="63" t="inlineStr">
        <is>
          <t>Refrigerated Dough</t>
        </is>
      </c>
      <c r="W348" s="6" t="inlineStr">
        <is>
          <t>1</t>
        </is>
      </c>
    </row>
    <row r="349" ht="22" customHeight="1" s="64">
      <c r="Q349" s="41" t="n"/>
      <c r="R349" s="32" t="n">
        <v>58</v>
      </c>
      <c r="S349" s="63" t="inlineStr">
        <is>
          <t>Rice &amp; Grains</t>
        </is>
      </c>
      <c r="W349" s="6" t="inlineStr">
        <is>
          <t>1</t>
        </is>
      </c>
    </row>
    <row r="350" ht="22" customHeight="1" s="64">
      <c r="Q350" s="42" t="n"/>
      <c r="R350" s="32" t="n">
        <v>59</v>
      </c>
      <c r="S350" s="63" t="inlineStr">
        <is>
          <t>Salad Dressing</t>
        </is>
      </c>
      <c r="W350" s="6" t="inlineStr">
        <is>
          <t>1</t>
        </is>
      </c>
    </row>
    <row r="351" ht="22" customHeight="1" s="64">
      <c r="Q351" s="43" t="n"/>
      <c r="R351" s="32" t="n">
        <v>60</v>
      </c>
      <c r="S351" s="63" t="inlineStr">
        <is>
          <t>Sauces &amp; Condiments</t>
        </is>
      </c>
      <c r="W351" s="6" t="inlineStr">
        <is>
          <t>1</t>
        </is>
      </c>
    </row>
    <row r="352" ht="22" customHeight="1" s="64">
      <c r="Q352" s="31" t="n"/>
      <c r="R352" s="32" t="n">
        <v>61</v>
      </c>
      <c r="S352" s="63" t="inlineStr">
        <is>
          <t>Snack Cakes</t>
        </is>
      </c>
      <c r="W352" s="6" t="inlineStr">
        <is>
          <t>1</t>
        </is>
      </c>
    </row>
    <row r="353" ht="22" customHeight="1" s="64">
      <c r="Q353" s="33" t="n"/>
      <c r="R353" s="32" t="n">
        <v>62</v>
      </c>
      <c r="S353" s="63" t="inlineStr">
        <is>
          <t>Storage &amp; Organization</t>
        </is>
      </c>
      <c r="W353" s="6" t="inlineStr">
        <is>
          <t>1</t>
        </is>
      </c>
    </row>
    <row r="354" ht="22" customHeight="1" s="64">
      <c r="Q354" s="34" t="n"/>
      <c r="R354" s="32" t="n">
        <v>63</v>
      </c>
      <c r="S354" s="63" t="inlineStr">
        <is>
          <t>Wine</t>
        </is>
      </c>
      <c r="W354" s="6" t="inlineStr">
        <is>
          <t>1</t>
        </is>
      </c>
    </row>
    <row r="355" ht="22" customHeight="1" s="64">
      <c r="Q355" s="35" t="n"/>
      <c r="R355" s="32" t="n">
        <v>64</v>
      </c>
      <c r="S355" s="63" t="inlineStr">
        <is>
          <t>Writing Supplies</t>
        </is>
      </c>
      <c r="W355" s="6" t="inlineStr">
        <is>
          <t>1</t>
        </is>
      </c>
    </row>
  </sheetData>
  <mergeCells count="281">
    <mergeCell ref="S118:V118"/>
    <mergeCell ref="Y113:AG113"/>
    <mergeCell ref="S207:V207"/>
    <mergeCell ref="S158:V158"/>
    <mergeCell ref="S329:V329"/>
    <mergeCell ref="S210:V210"/>
    <mergeCell ref="S343:V343"/>
    <mergeCell ref="Y233:AG236"/>
    <mergeCell ref="Y10:AG10"/>
    <mergeCell ref="S108:V108"/>
    <mergeCell ref="S95:V95"/>
    <mergeCell ref="S178:V178"/>
    <mergeCell ref="Y16:AG16"/>
    <mergeCell ref="S79:V79"/>
    <mergeCell ref="S193:V193"/>
    <mergeCell ref="S306:V306"/>
    <mergeCell ref="S321:V321"/>
    <mergeCell ref="Y292:AG292"/>
    <mergeCell ref="Y52:AG52"/>
    <mergeCell ref="S159:V159"/>
    <mergeCell ref="S202:V202"/>
    <mergeCell ref="S315:V315"/>
    <mergeCell ref="S153:V153"/>
    <mergeCell ref="S302:V302"/>
    <mergeCell ref="S72:V72"/>
    <mergeCell ref="S177:V177"/>
    <mergeCell ref="S192:V192"/>
    <mergeCell ref="S305:V305"/>
    <mergeCell ref="S81:V81"/>
    <mergeCell ref="S226:V226"/>
    <mergeCell ref="S323:V323"/>
    <mergeCell ref="S164:V164"/>
    <mergeCell ref="S292:V292"/>
    <mergeCell ref="S161:V161"/>
    <mergeCell ref="S173:V173"/>
    <mergeCell ref="S62:V62"/>
    <mergeCell ref="Y227:AG230"/>
    <mergeCell ref="S96:V96"/>
    <mergeCell ref="A1:AG2"/>
    <mergeCell ref="S71:V71"/>
    <mergeCell ref="Y151:AG151"/>
    <mergeCell ref="S347:V347"/>
    <mergeCell ref="S176:V176"/>
    <mergeCell ref="S58:V58"/>
    <mergeCell ref="S307:V307"/>
    <mergeCell ref="S228:V228"/>
    <mergeCell ref="S322:V322"/>
    <mergeCell ref="S98:V98"/>
    <mergeCell ref="S73:V73"/>
    <mergeCell ref="S191:V191"/>
    <mergeCell ref="Y304:AG304"/>
    <mergeCell ref="S107:V107"/>
    <mergeCell ref="Y164:AG167"/>
    <mergeCell ref="S349:V349"/>
    <mergeCell ref="Y275:AG278"/>
    <mergeCell ref="Y17:AG20"/>
    <mergeCell ref="S259:V259"/>
    <mergeCell ref="Y256:AG256"/>
    <mergeCell ref="Y11:AG14"/>
    <mergeCell ref="S57:V57"/>
    <mergeCell ref="S293:V293"/>
    <mergeCell ref="S220:V220"/>
    <mergeCell ref="S333:V333"/>
    <mergeCell ref="S342:V342"/>
    <mergeCell ref="S229:V229"/>
    <mergeCell ref="Y133:AG133"/>
    <mergeCell ref="Y59:AG62"/>
    <mergeCell ref="Y127:AG127"/>
    <mergeCell ref="S204:V204"/>
    <mergeCell ref="S317:V317"/>
    <mergeCell ref="S99:V99"/>
    <mergeCell ref="S335:V335"/>
    <mergeCell ref="S151:V151"/>
    <mergeCell ref="S344:V344"/>
    <mergeCell ref="Y239:AG242"/>
    <mergeCell ref="S83:V83"/>
    <mergeCell ref="Y169:AG169"/>
    <mergeCell ref="S154:V154"/>
    <mergeCell ref="S325:V325"/>
    <mergeCell ref="S92:V92"/>
    <mergeCell ref="S206:V206"/>
    <mergeCell ref="S334:V334"/>
    <mergeCell ref="S163:V163"/>
    <mergeCell ref="S319:V319"/>
    <mergeCell ref="Y158:AG161"/>
    <mergeCell ref="Y263:AG266"/>
    <mergeCell ref="S309:V309"/>
    <mergeCell ref="S76:V76"/>
    <mergeCell ref="S85:V85"/>
    <mergeCell ref="S256:V256"/>
    <mergeCell ref="S94:V94"/>
    <mergeCell ref="S183:V183"/>
    <mergeCell ref="S296:V296"/>
    <mergeCell ref="S75:V75"/>
    <mergeCell ref="S311:V311"/>
    <mergeCell ref="S109:V109"/>
    <mergeCell ref="S167:V167"/>
    <mergeCell ref="S351:V351"/>
    <mergeCell ref="S320:V320"/>
    <mergeCell ref="Q149:W149"/>
    <mergeCell ref="S345:V345"/>
    <mergeCell ref="S47:V47"/>
    <mergeCell ref="Y122:AG125"/>
    <mergeCell ref="S59:V59"/>
    <mergeCell ref="S119:V119"/>
    <mergeCell ref="S295:V295"/>
    <mergeCell ref="S46:V46"/>
    <mergeCell ref="Y163:AG163"/>
    <mergeCell ref="S169:V169"/>
    <mergeCell ref="S297:V297"/>
    <mergeCell ref="S165:V165"/>
    <mergeCell ref="S180:V180"/>
    <mergeCell ref="S61:V61"/>
    <mergeCell ref="S70:V70"/>
    <mergeCell ref="Q254:W254"/>
    <mergeCell ref="S48:V48"/>
    <mergeCell ref="S337:V337"/>
    <mergeCell ref="Y8:AG8"/>
    <mergeCell ref="S346:V346"/>
    <mergeCell ref="S200:V200"/>
    <mergeCell ref="S194:V194"/>
    <mergeCell ref="S209:V209"/>
    <mergeCell ref="S203:V203"/>
    <mergeCell ref="S181:V181"/>
    <mergeCell ref="S339:V339"/>
    <mergeCell ref="Q290:W290"/>
    <mergeCell ref="Y298:AG298"/>
    <mergeCell ref="S348:V348"/>
    <mergeCell ref="S160:V160"/>
    <mergeCell ref="S175:V175"/>
    <mergeCell ref="Y305:AG308"/>
    <mergeCell ref="S87:V87"/>
    <mergeCell ref="S258:V258"/>
    <mergeCell ref="S211:V211"/>
    <mergeCell ref="S49:V49"/>
    <mergeCell ref="S97:V97"/>
    <mergeCell ref="S10:V10"/>
    <mergeCell ref="S195:V195"/>
    <mergeCell ref="S308:V308"/>
    <mergeCell ref="S89:V89"/>
    <mergeCell ref="Y232:AG232"/>
    <mergeCell ref="S260:V260"/>
    <mergeCell ref="Y290:AG290"/>
    <mergeCell ref="S65:V65"/>
    <mergeCell ref="S74:V74"/>
    <mergeCell ref="S157:V157"/>
    <mergeCell ref="S201:V201"/>
    <mergeCell ref="S310:V310"/>
    <mergeCell ref="S222:V222"/>
    <mergeCell ref="Y22:AG22"/>
    <mergeCell ref="S212:V212"/>
    <mergeCell ref="S294:V294"/>
    <mergeCell ref="S50:V50"/>
    <mergeCell ref="S221:V221"/>
    <mergeCell ref="Y218:AG218"/>
    <mergeCell ref="Y116:AG119"/>
    <mergeCell ref="S168:V168"/>
    <mergeCell ref="S51:V51"/>
    <mergeCell ref="Y269:AG272"/>
    <mergeCell ref="S60:V60"/>
    <mergeCell ref="S91:V91"/>
    <mergeCell ref="Y134:AG137"/>
    <mergeCell ref="S184:V184"/>
    <mergeCell ref="S100:V100"/>
    <mergeCell ref="S214:V214"/>
    <mergeCell ref="S327:V327"/>
    <mergeCell ref="Y53:AG56"/>
    <mergeCell ref="S223:V223"/>
    <mergeCell ref="S336:V336"/>
    <mergeCell ref="Y47:AG50"/>
    <mergeCell ref="S350:V350"/>
    <mergeCell ref="S115:V115"/>
    <mergeCell ref="S155:V155"/>
    <mergeCell ref="S93:V93"/>
    <mergeCell ref="S213:V213"/>
    <mergeCell ref="S102:V102"/>
    <mergeCell ref="S170:V170"/>
    <mergeCell ref="S52:V52"/>
    <mergeCell ref="Q8:W8"/>
    <mergeCell ref="S77:V77"/>
    <mergeCell ref="S86:V86"/>
    <mergeCell ref="S179:V179"/>
    <mergeCell ref="S257:V257"/>
    <mergeCell ref="S328:V328"/>
    <mergeCell ref="S166:V166"/>
    <mergeCell ref="S67:V67"/>
    <mergeCell ref="S331:V331"/>
    <mergeCell ref="S101:V101"/>
    <mergeCell ref="S185:V185"/>
    <mergeCell ref="S303:V303"/>
    <mergeCell ref="S318:V318"/>
    <mergeCell ref="S199:V199"/>
    <mergeCell ref="S312:V312"/>
    <mergeCell ref="S326:V326"/>
    <mergeCell ref="S208:V208"/>
    <mergeCell ref="S186:V186"/>
    <mergeCell ref="S299:V299"/>
    <mergeCell ref="Y299:AG302"/>
    <mergeCell ref="Y121:AG121"/>
    <mergeCell ref="S69:V69"/>
    <mergeCell ref="Y115:AG115"/>
    <mergeCell ref="Q113:W113"/>
    <mergeCell ref="Y226:AG226"/>
    <mergeCell ref="S78:V78"/>
    <mergeCell ref="Y220:AG220"/>
    <mergeCell ref="S205:V205"/>
    <mergeCell ref="S354:V354"/>
    <mergeCell ref="S314:V314"/>
    <mergeCell ref="S53:V53"/>
    <mergeCell ref="Q44:W44"/>
    <mergeCell ref="Y157:AG157"/>
    <mergeCell ref="S298:V298"/>
    <mergeCell ref="S313:V313"/>
    <mergeCell ref="S80:V80"/>
    <mergeCell ref="Y44:AG44"/>
    <mergeCell ref="S225:V225"/>
    <mergeCell ref="S338:V338"/>
    <mergeCell ref="S172:V172"/>
    <mergeCell ref="S55:V55"/>
    <mergeCell ref="S353:V353"/>
    <mergeCell ref="S64:V64"/>
    <mergeCell ref="S104:V104"/>
    <mergeCell ref="S162:V162"/>
    <mergeCell ref="S227:V227"/>
    <mergeCell ref="S355:V355"/>
    <mergeCell ref="S340:V340"/>
    <mergeCell ref="Y170:AG173"/>
    <mergeCell ref="S54:V54"/>
    <mergeCell ref="Q218:W218"/>
    <mergeCell ref="Y293:AG296"/>
    <mergeCell ref="S88:V88"/>
    <mergeCell ref="S63:V63"/>
    <mergeCell ref="S197:V197"/>
    <mergeCell ref="Y149:AG149"/>
    <mergeCell ref="Y262:AG262"/>
    <mergeCell ref="S324:V324"/>
    <mergeCell ref="S330:V330"/>
    <mergeCell ref="Y23:AG26"/>
    <mergeCell ref="S106:V106"/>
    <mergeCell ref="Y46:AG46"/>
    <mergeCell ref="S187:V187"/>
    <mergeCell ref="Y28:AG28"/>
    <mergeCell ref="S56:V56"/>
    <mergeCell ref="Y221:AG224"/>
    <mergeCell ref="S90:V90"/>
    <mergeCell ref="S105:V105"/>
    <mergeCell ref="S174:V174"/>
    <mergeCell ref="S156:V156"/>
    <mergeCell ref="S188:V188"/>
    <mergeCell ref="S261:V261"/>
    <mergeCell ref="S301:V301"/>
    <mergeCell ref="S332:V332"/>
    <mergeCell ref="S341:V341"/>
    <mergeCell ref="Y254:AG254"/>
    <mergeCell ref="S316:V316"/>
    <mergeCell ref="S189:V189"/>
    <mergeCell ref="Y152:AG155"/>
    <mergeCell ref="S198:V198"/>
    <mergeCell ref="Y238:AG238"/>
    <mergeCell ref="Y29:AG32"/>
    <mergeCell ref="S300:V300"/>
    <mergeCell ref="S182:V182"/>
    <mergeCell ref="Y268:AG268"/>
    <mergeCell ref="S82:V82"/>
    <mergeCell ref="S117:V117"/>
    <mergeCell ref="Y257:AG260"/>
    <mergeCell ref="S66:V66"/>
    <mergeCell ref="S190:V190"/>
    <mergeCell ref="Y274:AG274"/>
    <mergeCell ref="S224:V224"/>
    <mergeCell ref="S304:V304"/>
    <mergeCell ref="S116:V116"/>
    <mergeCell ref="Y128:AG131"/>
    <mergeCell ref="Y58:AG58"/>
    <mergeCell ref="S352:V352"/>
    <mergeCell ref="S68:V68"/>
    <mergeCell ref="S103:V103"/>
    <mergeCell ref="S152:V152"/>
    <mergeCell ref="S196:V196"/>
    <mergeCell ref="S171:V171"/>
    <mergeCell ref="S84:V8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10" defaultColWidth="8.83203125" defaultRowHeight="15"/>
  <sheetData>
    <row r="1">
      <c r="A1" s="45" t="inlineStr">
        <is>
          <t>Monthly Spending</t>
        </is>
      </c>
      <c r="E1" s="45" t="inlineStr">
        <is>
          <t>Spending by Sub-Category</t>
        </is>
      </c>
      <c r="I1" s="45" t="inlineStr">
        <is>
          <t>Spending by Store</t>
        </is>
      </c>
      <c r="M1" s="45" t="inlineStr">
        <is>
          <t>Spending Share by Sub-Category</t>
        </is>
      </c>
      <c r="Q1" s="45" t="inlineStr">
        <is>
          <t>Top Products by Spending</t>
        </is>
      </c>
      <c r="U1" s="45" t="inlineStr">
        <is>
          <t>Purchase Frequency by Sub-Category</t>
        </is>
      </c>
      <c r="Y1" s="45" t="inlineStr">
        <is>
          <t>Monthly Spending by Store</t>
        </is>
      </c>
    </row>
    <row r="2">
      <c r="A2" s="45" t="inlineStr">
        <is>
          <t>Number</t>
        </is>
      </c>
      <c r="B2" s="45" t="inlineStr">
        <is>
          <t>Month</t>
        </is>
      </c>
      <c r="C2" s="45" t="inlineStr">
        <is>
          <t>Spending</t>
        </is>
      </c>
      <c r="E2" s="45" t="inlineStr">
        <is>
          <t>Number</t>
        </is>
      </c>
      <c r="F2" s="45" t="inlineStr">
        <is>
          <t>Sub-Category</t>
        </is>
      </c>
      <c r="G2" s="45" t="inlineStr">
        <is>
          <t>Spending</t>
        </is>
      </c>
      <c r="I2" s="45" t="inlineStr">
        <is>
          <t>Number</t>
        </is>
      </c>
      <c r="J2" s="45" t="inlineStr">
        <is>
          <t>Store</t>
        </is>
      </c>
      <c r="K2" s="45" t="inlineStr">
        <is>
          <t>Spending</t>
        </is>
      </c>
      <c r="M2" s="45" t="inlineStr">
        <is>
          <t>Number</t>
        </is>
      </c>
      <c r="N2" s="45" t="inlineStr">
        <is>
          <t>Sub-Category</t>
        </is>
      </c>
      <c r="O2" s="45" t="inlineStr">
        <is>
          <t>Spending</t>
        </is>
      </c>
      <c r="Q2" s="45" t="inlineStr">
        <is>
          <t>Number</t>
        </is>
      </c>
      <c r="R2" s="45" t="inlineStr">
        <is>
          <t>Product</t>
        </is>
      </c>
      <c r="S2" s="45" t="inlineStr">
        <is>
          <t>Spending</t>
        </is>
      </c>
      <c r="U2" s="45" t="inlineStr">
        <is>
          <t>Number</t>
        </is>
      </c>
      <c r="V2" s="45" t="inlineStr">
        <is>
          <t>Sub-Category</t>
        </is>
      </c>
      <c r="W2" s="45" t="inlineStr">
        <is>
          <t>Purchases</t>
        </is>
      </c>
      <c r="Y2" s="45" t="inlineStr">
        <is>
          <t>Month Number</t>
        </is>
      </c>
      <c r="Z2" s="45" t="inlineStr">
        <is>
          <t>1</t>
        </is>
      </c>
      <c r="AA2" s="45" t="inlineStr">
        <is>
          <t>2</t>
        </is>
      </c>
      <c r="AB2" s="45" t="inlineStr">
        <is>
          <t>3</t>
        </is>
      </c>
      <c r="AC2" s="45" t="inlineStr">
        <is>
          <t>4</t>
        </is>
      </c>
      <c r="AD2" s="45" t="inlineStr">
        <is>
          <t>5</t>
        </is>
      </c>
    </row>
    <row r="3">
      <c r="A3" t="n">
        <v>1</v>
      </c>
      <c r="B3" s="4" t="n">
        <v>46235</v>
      </c>
      <c r="C3" s="5" t="n">
        <v>979.8000000000004</v>
      </c>
      <c r="E3" t="n">
        <v>1</v>
      </c>
      <c r="F3" t="inlineStr">
        <is>
          <t>Baby Care</t>
        </is>
      </c>
      <c r="G3" s="5" t="n">
        <v>136.04</v>
      </c>
      <c r="I3" t="n">
        <v>1</v>
      </c>
      <c r="J3" t="inlineStr">
        <is>
          <t>Walmart</t>
        </is>
      </c>
      <c r="K3" s="5" t="n">
        <v>574.9700000000004</v>
      </c>
      <c r="M3" t="n">
        <v>1</v>
      </c>
      <c r="N3" t="inlineStr">
        <is>
          <t>Baby Care</t>
        </is>
      </c>
      <c r="O3" s="5" t="n">
        <v>136.04</v>
      </c>
      <c r="Q3" t="n">
        <v>1</v>
      </c>
      <c r="R3" t="inlineStr">
        <is>
          <t>Pampers Swaddlers Size 5 Diapers</t>
        </is>
      </c>
      <c r="S3" s="5" t="n">
        <v>79.54000000000001</v>
      </c>
      <c r="U3" t="n">
        <v>1</v>
      </c>
      <c r="V3" t="inlineStr">
        <is>
          <t>Fresh Vegetables</t>
        </is>
      </c>
      <c r="W3" t="n">
        <v>24</v>
      </c>
      <c r="Y3" t="n">
        <v>1</v>
      </c>
      <c r="Z3" s="5" t="n">
        <v>574.9700000000004</v>
      </c>
      <c r="AA3" s="5" t="n">
        <v>180.8899999999999</v>
      </c>
      <c r="AB3" s="5" t="n">
        <v>145.58</v>
      </c>
      <c r="AC3" s="5" t="n">
        <v>48.12</v>
      </c>
      <c r="AD3" s="5" t="n">
        <v>30.24</v>
      </c>
    </row>
    <row r="4">
      <c r="E4" t="n">
        <v>2</v>
      </c>
      <c r="F4" t="inlineStr">
        <is>
          <t>Fees &amp; Charges</t>
        </is>
      </c>
      <c r="G4" s="5" t="n">
        <v>87.39</v>
      </c>
      <c r="I4" t="n">
        <v>2</v>
      </c>
      <c r="J4" t="inlineStr">
        <is>
          <t>Aldi</t>
        </is>
      </c>
      <c r="K4" s="5" t="n">
        <v>180.8899999999999</v>
      </c>
      <c r="M4" t="n">
        <v>2</v>
      </c>
      <c r="N4" t="inlineStr">
        <is>
          <t>Fees &amp; Charges</t>
        </is>
      </c>
      <c r="O4" s="5" t="n">
        <v>87.39</v>
      </c>
      <c r="Q4" t="n">
        <v>2</v>
      </c>
      <c r="R4" t="inlineStr">
        <is>
          <t>Purina Tidy Cats Clumping Cat Litter</t>
        </is>
      </c>
      <c r="S4" s="5" t="n">
        <v>47.88</v>
      </c>
      <c r="U4" t="n">
        <v>2</v>
      </c>
      <c r="V4" t="inlineStr">
        <is>
          <t>Fresh Fruit</t>
        </is>
      </c>
      <c r="W4" t="n">
        <v>23</v>
      </c>
    </row>
    <row r="5">
      <c r="E5" t="n">
        <v>3</v>
      </c>
      <c r="F5" t="inlineStr">
        <is>
          <t>Fresh Fruit</t>
        </is>
      </c>
      <c r="G5" s="5" t="n">
        <v>69.72</v>
      </c>
      <c r="I5" t="n">
        <v>3</v>
      </c>
      <c r="J5" t="inlineStr">
        <is>
          <t>Publix</t>
        </is>
      </c>
      <c r="K5" s="5" t="n">
        <v>145.58</v>
      </c>
      <c r="M5" t="n">
        <v>3</v>
      </c>
      <c r="N5" t="inlineStr">
        <is>
          <t>Fresh Fruit</t>
        </is>
      </c>
      <c r="O5" s="5" t="n">
        <v>69.72</v>
      </c>
      <c r="Q5" t="n">
        <v>3</v>
      </c>
      <c r="R5" t="inlineStr">
        <is>
          <t>Driver Tip</t>
        </is>
      </c>
      <c r="S5" s="5" t="n">
        <v>46.78</v>
      </c>
      <c r="U5" t="n">
        <v>3</v>
      </c>
      <c r="V5" t="inlineStr">
        <is>
          <t>Fees &amp; Charges</t>
        </is>
      </c>
      <c r="W5" t="n">
        <v>14</v>
      </c>
    </row>
    <row r="6">
      <c r="E6" t="n">
        <v>4</v>
      </c>
      <c r="F6" t="inlineStr">
        <is>
          <t>Fresh Vegetables</t>
        </is>
      </c>
      <c r="G6" s="5" t="n">
        <v>53.99000000000001</v>
      </c>
      <c r="I6" t="n">
        <v>4</v>
      </c>
      <c r="J6" t="inlineStr">
        <is>
          <t>Honey Pineapple</t>
        </is>
      </c>
      <c r="K6" s="5" t="n">
        <v>48.12</v>
      </c>
      <c r="M6" t="n">
        <v>4</v>
      </c>
      <c r="N6" t="inlineStr">
        <is>
          <t>Fresh Vegetables</t>
        </is>
      </c>
      <c r="O6" s="5" t="n">
        <v>53.99000000000001</v>
      </c>
      <c r="Q6" t="n">
        <v>4</v>
      </c>
      <c r="R6" t="inlineStr">
        <is>
          <t>Command Heavy Duty Picture Hangers</t>
        </is>
      </c>
      <c r="S6" s="5" t="n">
        <v>28.54</v>
      </c>
      <c r="U6" t="n">
        <v>4</v>
      </c>
      <c r="V6" t="inlineStr">
        <is>
          <t>Baby Care</t>
        </is>
      </c>
      <c r="W6" t="n">
        <v>10</v>
      </c>
    </row>
    <row r="7">
      <c r="E7" t="n">
        <v>5</v>
      </c>
      <c r="F7" t="inlineStr">
        <is>
          <t>Cat Litter</t>
        </is>
      </c>
      <c r="G7" s="5" t="n">
        <v>47.88</v>
      </c>
      <c r="I7" t="n">
        <v>5</v>
      </c>
      <c r="J7" t="inlineStr">
        <is>
          <t>Trader Joe's</t>
        </is>
      </c>
      <c r="K7" s="5" t="n">
        <v>30.24</v>
      </c>
      <c r="M7" t="n">
        <v>5</v>
      </c>
      <c r="N7" t="inlineStr">
        <is>
          <t>Cat Litter</t>
        </is>
      </c>
      <c r="O7" s="5" t="n">
        <v>47.88</v>
      </c>
      <c r="Q7" t="n">
        <v>5</v>
      </c>
      <c r="R7" t="inlineStr">
        <is>
          <t>Tax</t>
        </is>
      </c>
      <c r="S7" s="5" t="n">
        <v>24.88</v>
      </c>
      <c r="U7" t="n">
        <v>5</v>
      </c>
      <c r="V7" t="inlineStr">
        <is>
          <t>Baking Ingredients</t>
        </is>
      </c>
      <c r="W7" t="n">
        <v>6</v>
      </c>
    </row>
    <row r="8">
      <c r="E8" t="n">
        <v>6</v>
      </c>
      <c r="F8" t="inlineStr">
        <is>
          <t>Yogurt</t>
        </is>
      </c>
      <c r="G8" s="5" t="n">
        <v>45.36000000000001</v>
      </c>
      <c r="M8" t="n">
        <v>6</v>
      </c>
      <c r="N8" t="inlineStr">
        <is>
          <t>Yogurt</t>
        </is>
      </c>
      <c r="O8" s="5" t="n">
        <v>45.36000000000001</v>
      </c>
      <c r="Q8" t="n">
        <v>6</v>
      </c>
      <c r="R8" t="inlineStr">
        <is>
          <t>CeraVe Baby Healing Ointment</t>
        </is>
      </c>
      <c r="S8" s="5" t="n">
        <v>19.96</v>
      </c>
      <c r="U8" t="n">
        <v>6</v>
      </c>
      <c r="V8" t="inlineStr">
        <is>
          <t>Canned Beans &amp; Legumes</t>
        </is>
      </c>
      <c r="W8" t="n">
        <v>6</v>
      </c>
    </row>
    <row r="9">
      <c r="E9" t="n">
        <v>7</v>
      </c>
      <c r="F9" t="inlineStr">
        <is>
          <t>Baking Ingredients</t>
        </is>
      </c>
      <c r="G9" s="5" t="n">
        <v>32.26000000000001</v>
      </c>
      <c r="M9" t="n">
        <v>7</v>
      </c>
      <c r="N9" t="inlineStr">
        <is>
          <t>Baking Ingredients</t>
        </is>
      </c>
      <c r="O9" s="5" t="n">
        <v>32.26000000000001</v>
      </c>
      <c r="Q9" t="n">
        <v>7</v>
      </c>
      <c r="R9" t="inlineStr">
        <is>
          <t>Mandarin Oranges</t>
        </is>
      </c>
      <c r="S9" s="5" t="n">
        <v>19.91</v>
      </c>
      <c r="U9" t="n">
        <v>7</v>
      </c>
      <c r="V9" t="inlineStr">
        <is>
          <t>Yogurt</t>
        </is>
      </c>
      <c r="W9" t="n">
        <v>6</v>
      </c>
    </row>
    <row r="10">
      <c r="E10" t="n">
        <v>8</v>
      </c>
      <c r="F10" t="inlineStr">
        <is>
          <t>Prepared Meals</t>
        </is>
      </c>
      <c r="G10" s="5" t="n">
        <v>31.2</v>
      </c>
      <c r="M10" t="n">
        <v>8</v>
      </c>
      <c r="N10" t="inlineStr">
        <is>
          <t>Prepared Meals</t>
        </is>
      </c>
      <c r="O10" s="5" t="n">
        <v>31.2</v>
      </c>
      <c r="Q10" t="n">
        <v>8</v>
      </c>
      <c r="R10" t="inlineStr">
        <is>
          <t>Dove Sensitive Skin Body Wash</t>
        </is>
      </c>
      <c r="S10" s="5" t="n">
        <v>19.88</v>
      </c>
      <c r="U10" t="n">
        <v>8</v>
      </c>
      <c r="V10" t="inlineStr">
        <is>
          <t>Plant-Based Milk</t>
        </is>
      </c>
      <c r="W10" t="n">
        <v>5</v>
      </c>
    </row>
    <row r="11">
      <c r="E11" t="n">
        <v>9</v>
      </c>
      <c r="F11" t="inlineStr">
        <is>
          <t>Home Improvement</t>
        </is>
      </c>
      <c r="G11" s="5" t="n">
        <v>28.54</v>
      </c>
      <c r="M11" t="n">
        <v>9</v>
      </c>
      <c r="N11" t="inlineStr">
        <is>
          <t>Home Improvement</t>
        </is>
      </c>
      <c r="O11" s="5" t="n">
        <v>28.54</v>
      </c>
      <c r="Q11" t="n">
        <v>9</v>
      </c>
      <c r="R11" t="inlineStr">
        <is>
          <t>Chobani Protein Greek Yogurt Drink, Strawberries &amp; Cream</t>
        </is>
      </c>
      <c r="S11" s="5" t="n">
        <v>19.34</v>
      </c>
      <c r="U11" t="n">
        <v>9</v>
      </c>
      <c r="V11" t="inlineStr">
        <is>
          <t>Seasonings &amp; Spices</t>
        </is>
      </c>
      <c r="W11" t="n">
        <v>5</v>
      </c>
    </row>
    <row r="12">
      <c r="E12" t="n">
        <v>10</v>
      </c>
      <c r="F12" t="inlineStr">
        <is>
          <t>Plant-Based Milk</t>
        </is>
      </c>
      <c r="G12" s="5" t="n">
        <v>26.91</v>
      </c>
      <c r="M12" t="n">
        <v>10</v>
      </c>
      <c r="N12" t="inlineStr">
        <is>
          <t>Plant-Based Milk</t>
        </is>
      </c>
      <c r="O12" s="5" t="n">
        <v>26.91</v>
      </c>
      <c r="Q12" t="n">
        <v>10</v>
      </c>
      <c r="R12" t="inlineStr">
        <is>
          <t>Silk Organic Unsweet Soymilk, Half Gallon</t>
        </is>
      </c>
      <c r="S12" s="5" t="n">
        <v>18.57</v>
      </c>
      <c r="U12" t="n">
        <v>10</v>
      </c>
      <c r="V12" t="inlineStr">
        <is>
          <t>Body Wash</t>
        </is>
      </c>
      <c r="W12" t="n">
        <v>4</v>
      </c>
    </row>
    <row r="13">
      <c r="E13" t="n">
        <v>11</v>
      </c>
      <c r="F13" t="inlineStr">
        <is>
          <t>Body Wash</t>
        </is>
      </c>
      <c r="G13" s="5" t="n">
        <v>19.88</v>
      </c>
      <c r="M13" t="n">
        <v>11</v>
      </c>
      <c r="N13" t="inlineStr">
        <is>
          <t>Body Wash</t>
        </is>
      </c>
      <c r="O13" s="5" t="n">
        <v>19.88</v>
      </c>
      <c r="U13" t="n">
        <v>11</v>
      </c>
      <c r="V13" t="inlineStr">
        <is>
          <t>Eggs</t>
        </is>
      </c>
      <c r="W13" t="n">
        <v>4</v>
      </c>
    </row>
    <row r="14">
      <c r="E14" t="n">
        <v>12</v>
      </c>
      <c r="F14" t="inlineStr">
        <is>
          <t>Macaroni &amp; Cheese</t>
        </is>
      </c>
      <c r="G14" s="5" t="n">
        <v>18.88</v>
      </c>
      <c r="M14" t="n">
        <v>12</v>
      </c>
      <c r="N14" t="inlineStr">
        <is>
          <t>Macaroni &amp; Cheese</t>
        </is>
      </c>
      <c r="O14" s="5" t="n">
        <v>18.88</v>
      </c>
      <c r="U14" t="n">
        <v>12</v>
      </c>
      <c r="V14" t="inlineStr">
        <is>
          <t>Macaroni &amp; Cheese</t>
        </is>
      </c>
      <c r="W14" t="n">
        <v>4</v>
      </c>
    </row>
    <row r="15">
      <c r="E15" t="n">
        <v>13</v>
      </c>
      <c r="F15" t="inlineStr">
        <is>
          <t>Baking Mixes</t>
        </is>
      </c>
      <c r="G15" s="5" t="n">
        <v>18.49</v>
      </c>
      <c r="M15" t="n">
        <v>13</v>
      </c>
      <c r="N15" t="inlineStr">
        <is>
          <t>Baking Mixes</t>
        </is>
      </c>
      <c r="O15" s="5" t="n">
        <v>18.49</v>
      </c>
      <c r="U15" t="n">
        <v>13</v>
      </c>
      <c r="V15" t="inlineStr">
        <is>
          <t>Baking Mixes</t>
        </is>
      </c>
      <c r="W15" t="n">
        <v>3</v>
      </c>
    </row>
    <row r="16">
      <c r="E16" t="n">
        <v>14</v>
      </c>
      <c r="F16" t="inlineStr">
        <is>
          <t>Seasonings &amp; Spices</t>
        </is>
      </c>
      <c r="G16" s="5" t="n">
        <v>18.19</v>
      </c>
      <c r="M16" t="n">
        <v>14</v>
      </c>
      <c r="N16" t="inlineStr">
        <is>
          <t>Seasonings &amp; Spices</t>
        </is>
      </c>
      <c r="O16" s="5" t="n">
        <v>18.19</v>
      </c>
      <c r="U16" t="n">
        <v>14</v>
      </c>
      <c r="V16" t="inlineStr">
        <is>
          <t>Bread</t>
        </is>
      </c>
      <c r="W16" t="n">
        <v>3</v>
      </c>
    </row>
    <row r="17">
      <c r="E17" t="n">
        <v>15</v>
      </c>
      <c r="F17" t="inlineStr">
        <is>
          <t>Frozen Pizza</t>
        </is>
      </c>
      <c r="G17" s="5" t="n">
        <v>16.58</v>
      </c>
      <c r="M17" t="n">
        <v>15</v>
      </c>
      <c r="N17" t="inlineStr">
        <is>
          <t>Frozen Pizza</t>
        </is>
      </c>
      <c r="O17" s="5" t="n">
        <v>16.58</v>
      </c>
      <c r="U17" t="n">
        <v>15</v>
      </c>
      <c r="V17" t="inlineStr">
        <is>
          <t>Salad Kits</t>
        </is>
      </c>
      <c r="W17" t="n">
        <v>3</v>
      </c>
    </row>
    <row r="18">
      <c r="E18" t="n">
        <v>16</v>
      </c>
      <c r="F18" t="inlineStr">
        <is>
          <t>Bread</t>
        </is>
      </c>
      <c r="G18" s="5" t="n">
        <v>16.14</v>
      </c>
      <c r="M18" t="n">
        <v>16</v>
      </c>
      <c r="N18" t="inlineStr">
        <is>
          <t>Bread</t>
        </is>
      </c>
      <c r="O18" s="5" t="n">
        <v>16.14</v>
      </c>
      <c r="U18" t="n">
        <v>16</v>
      </c>
      <c r="V18" t="inlineStr">
        <is>
          <t>Snack Bars</t>
        </is>
      </c>
      <c r="W18" t="n">
        <v>3</v>
      </c>
    </row>
    <row r="19">
      <c r="E19" t="n">
        <v>17</v>
      </c>
      <c r="F19" t="inlineStr">
        <is>
          <t>Food Storage</t>
        </is>
      </c>
      <c r="G19" s="5" t="n">
        <v>14.46</v>
      </c>
      <c r="M19" t="n">
        <v>17</v>
      </c>
      <c r="N19" t="inlineStr">
        <is>
          <t>Food Storage</t>
        </is>
      </c>
      <c r="O19" s="5" t="n">
        <v>14.46</v>
      </c>
      <c r="U19" t="n">
        <v>17</v>
      </c>
      <c r="V19" t="inlineStr">
        <is>
          <t>Cat Litter</t>
        </is>
      </c>
      <c r="W19" t="n">
        <v>2</v>
      </c>
    </row>
    <row r="20">
      <c r="E20" t="n">
        <v>18</v>
      </c>
      <c r="F20" t="inlineStr">
        <is>
          <t>Fresh Seafood</t>
        </is>
      </c>
      <c r="G20" s="5" t="n">
        <v>14.29</v>
      </c>
      <c r="M20" t="n">
        <v>18</v>
      </c>
      <c r="N20" t="inlineStr">
        <is>
          <t>Fresh Seafood</t>
        </is>
      </c>
      <c r="O20" s="5" t="n">
        <v>14.29</v>
      </c>
      <c r="U20" t="n">
        <v>18</v>
      </c>
      <c r="V20" t="inlineStr">
        <is>
          <t>Cheese</t>
        </is>
      </c>
      <c r="W20" t="n">
        <v>2</v>
      </c>
    </row>
    <row r="21">
      <c r="E21" t="n">
        <v>19</v>
      </c>
      <c r="F21" t="inlineStr">
        <is>
          <t>Fresh Poultry</t>
        </is>
      </c>
      <c r="G21" s="5" t="n">
        <v>13.98</v>
      </c>
      <c r="M21" t="n">
        <v>19</v>
      </c>
      <c r="N21" t="inlineStr">
        <is>
          <t>Fresh Poultry</t>
        </is>
      </c>
      <c r="O21" s="5" t="n">
        <v>13.98</v>
      </c>
      <c r="U21" t="n">
        <v>19</v>
      </c>
      <c r="V21" t="inlineStr">
        <is>
          <t>Cooking Oils &amp; Sprays</t>
        </is>
      </c>
      <c r="W21" t="n">
        <v>2</v>
      </c>
    </row>
    <row r="22">
      <c r="E22" t="n">
        <v>20</v>
      </c>
      <c r="F22" t="inlineStr">
        <is>
          <t>Hair Care</t>
        </is>
      </c>
      <c r="G22" s="5" t="n">
        <v>13.92</v>
      </c>
      <c r="M22" t="n">
        <v>20</v>
      </c>
      <c r="N22" t="inlineStr">
        <is>
          <t>Hair Care</t>
        </is>
      </c>
      <c r="O22" s="5" t="n">
        <v>13.92</v>
      </c>
      <c r="U22" t="n">
        <v>20</v>
      </c>
      <c r="V22" t="inlineStr">
        <is>
          <t>Food Storage</t>
        </is>
      </c>
      <c r="W22" t="n">
        <v>2</v>
      </c>
    </row>
    <row r="23">
      <c r="E23" t="n">
        <v>21</v>
      </c>
      <c r="F23" t="inlineStr">
        <is>
          <t>Cheese</t>
        </is>
      </c>
      <c r="G23" s="5" t="n">
        <v>13.42</v>
      </c>
      <c r="M23" t="n">
        <v>21</v>
      </c>
      <c r="N23" t="inlineStr">
        <is>
          <t>Cheese</t>
        </is>
      </c>
      <c r="O23" s="5" t="n">
        <v>13.42</v>
      </c>
      <c r="U23" t="n">
        <v>21</v>
      </c>
      <c r="V23" t="inlineStr">
        <is>
          <t>Fresh Herbs</t>
        </is>
      </c>
      <c r="W23" t="n">
        <v>2</v>
      </c>
    </row>
    <row r="24">
      <c r="E24" t="n">
        <v>22</v>
      </c>
      <c r="F24" t="inlineStr">
        <is>
          <t>Eggs</t>
        </is>
      </c>
      <c r="G24" s="5" t="n">
        <v>13.08</v>
      </c>
      <c r="M24" t="n">
        <v>22</v>
      </c>
      <c r="N24" t="inlineStr">
        <is>
          <t>Eggs</t>
        </is>
      </c>
      <c r="O24" s="5" t="n">
        <v>13.08</v>
      </c>
      <c r="U24" t="n">
        <v>22</v>
      </c>
      <c r="V24" t="inlineStr">
        <is>
          <t>Fresh Poultry</t>
        </is>
      </c>
      <c r="W24" t="n">
        <v>2</v>
      </c>
    </row>
    <row r="25">
      <c r="E25" t="n">
        <v>23</v>
      </c>
      <c r="F25" t="inlineStr">
        <is>
          <t>Frozen Meat</t>
        </is>
      </c>
      <c r="G25" s="5" t="n">
        <v>11.76</v>
      </c>
      <c r="M25" t="n">
        <v>23</v>
      </c>
      <c r="N25" t="inlineStr">
        <is>
          <t>Frozen Meat</t>
        </is>
      </c>
      <c r="O25" s="5" t="n">
        <v>11.76</v>
      </c>
      <c r="U25" t="n">
        <v>23</v>
      </c>
      <c r="V25" t="inlineStr">
        <is>
          <t>Frozen Breakfast</t>
        </is>
      </c>
      <c r="W25" t="n">
        <v>2</v>
      </c>
    </row>
    <row r="26">
      <c r="E26" t="n">
        <v>24</v>
      </c>
      <c r="F26" t="inlineStr">
        <is>
          <t>Prepared Coffee</t>
        </is>
      </c>
      <c r="G26" s="5" t="n">
        <v>11</v>
      </c>
      <c r="M26" t="n">
        <v>24</v>
      </c>
      <c r="N26" t="inlineStr">
        <is>
          <t>Prepared Coffee</t>
        </is>
      </c>
      <c r="O26" s="5" t="n">
        <v>11</v>
      </c>
      <c r="U26" t="n">
        <v>24</v>
      </c>
      <c r="V26" t="inlineStr">
        <is>
          <t>Frozen Pizza</t>
        </is>
      </c>
      <c r="W26" t="n">
        <v>2</v>
      </c>
    </row>
    <row r="27">
      <c r="E27" t="n">
        <v>25</v>
      </c>
      <c r="F27" t="inlineStr">
        <is>
          <t>Milk</t>
        </is>
      </c>
      <c r="G27" s="5" t="n">
        <v>10.64</v>
      </c>
      <c r="M27" t="n">
        <v>25</v>
      </c>
      <c r="N27" t="inlineStr">
        <is>
          <t>Milk</t>
        </is>
      </c>
      <c r="O27" s="5" t="n">
        <v>10.64</v>
      </c>
      <c r="U27" t="n">
        <v>25</v>
      </c>
      <c r="V27" t="inlineStr">
        <is>
          <t>Frozen Vegetables</t>
        </is>
      </c>
      <c r="W27" t="n">
        <v>2</v>
      </c>
    </row>
    <row r="28">
      <c r="E28" t="n">
        <v>26</v>
      </c>
      <c r="F28" t="inlineStr">
        <is>
          <t>Salad Kits</t>
        </is>
      </c>
      <c r="G28" s="5" t="n">
        <v>10</v>
      </c>
      <c r="M28" t="n">
        <v>26</v>
      </c>
      <c r="N28" t="inlineStr">
        <is>
          <t>Salad Kits</t>
        </is>
      </c>
      <c r="O28" s="5" t="n">
        <v>10</v>
      </c>
      <c r="U28" t="n">
        <v>26</v>
      </c>
      <c r="V28" t="inlineStr">
        <is>
          <t>Hair Care</t>
        </is>
      </c>
      <c r="W28" t="n">
        <v>2</v>
      </c>
    </row>
    <row r="29">
      <c r="E29" t="n">
        <v>27</v>
      </c>
      <c r="F29" t="inlineStr">
        <is>
          <t>Baby &amp; Toddler Food</t>
        </is>
      </c>
      <c r="G29" s="5" t="n">
        <v>9.98</v>
      </c>
      <c r="M29" t="n">
        <v>27</v>
      </c>
      <c r="N29" t="inlineStr">
        <is>
          <t>Baby &amp; Toddler Food</t>
        </is>
      </c>
      <c r="O29" s="5" t="n">
        <v>9.98</v>
      </c>
      <c r="U29" t="n">
        <v>27</v>
      </c>
      <c r="V29" t="inlineStr">
        <is>
          <t>Milk</t>
        </is>
      </c>
      <c r="W29" t="n">
        <v>2</v>
      </c>
    </row>
    <row r="30">
      <c r="E30" t="n">
        <v>28</v>
      </c>
      <c r="F30" t="inlineStr">
        <is>
          <t>Snack Bars</t>
        </is>
      </c>
      <c r="G30" s="5" t="n">
        <v>9.949999999999999</v>
      </c>
      <c r="M30" t="n">
        <v>28</v>
      </c>
      <c r="N30" t="inlineStr">
        <is>
          <t>Snack Bars</t>
        </is>
      </c>
      <c r="O30" s="5" t="n">
        <v>9.949999999999999</v>
      </c>
      <c r="U30" t="n">
        <v>28</v>
      </c>
      <c r="V30" t="inlineStr">
        <is>
          <t>Plant-Based Cheese</t>
        </is>
      </c>
      <c r="W30" t="n">
        <v>2</v>
      </c>
    </row>
    <row r="31">
      <c r="E31" t="n">
        <v>29</v>
      </c>
      <c r="F31" t="inlineStr">
        <is>
          <t>Cooking Oils &amp; Sprays</t>
        </is>
      </c>
      <c r="G31" s="5" t="n">
        <v>8.380000000000001</v>
      </c>
      <c r="M31" t="n">
        <v>29</v>
      </c>
      <c r="N31" t="inlineStr">
        <is>
          <t>Cooking Oils &amp; Sprays</t>
        </is>
      </c>
      <c r="O31" s="5" t="n">
        <v>8.380000000000001</v>
      </c>
      <c r="U31" t="n">
        <v>29</v>
      </c>
      <c r="V31" t="inlineStr">
        <is>
          <t>Prepared Coffee</t>
        </is>
      </c>
      <c r="W31" t="n">
        <v>2</v>
      </c>
    </row>
    <row r="32">
      <c r="E32" t="n">
        <v>30</v>
      </c>
      <c r="F32" t="inlineStr">
        <is>
          <t>Frozen Breakfast</t>
        </is>
      </c>
      <c r="G32" s="5" t="n">
        <v>7.78</v>
      </c>
      <c r="M32" t="n">
        <v>30</v>
      </c>
      <c r="N32" t="inlineStr">
        <is>
          <t>Frozen Breakfast</t>
        </is>
      </c>
      <c r="O32" s="5" t="n">
        <v>7.78</v>
      </c>
      <c r="U32" t="n">
        <v>30</v>
      </c>
      <c r="V32" t="inlineStr">
        <is>
          <t>Prepared Meals</t>
        </is>
      </c>
      <c r="W32" t="n">
        <v>2</v>
      </c>
    </row>
    <row r="33">
      <c r="E33" t="n">
        <v>31</v>
      </c>
      <c r="F33" t="inlineStr">
        <is>
          <t>Wine</t>
        </is>
      </c>
      <c r="G33" s="5" t="n">
        <v>7.19</v>
      </c>
      <c r="M33" t="n">
        <v>31</v>
      </c>
      <c r="N33" t="inlineStr">
        <is>
          <t>Wine</t>
        </is>
      </c>
      <c r="O33" s="5" t="n">
        <v>7.19</v>
      </c>
      <c r="U33" t="n">
        <v>31</v>
      </c>
      <c r="V33" t="inlineStr">
        <is>
          <t>Specialty Cheese</t>
        </is>
      </c>
      <c r="W33" t="n">
        <v>2</v>
      </c>
    </row>
    <row r="34">
      <c r="E34" t="n">
        <v>32</v>
      </c>
      <c r="F34" t="inlineStr">
        <is>
          <t>Tortillas</t>
        </is>
      </c>
      <c r="G34" s="5" t="n">
        <v>7.01</v>
      </c>
      <c r="M34" t="n">
        <v>32</v>
      </c>
      <c r="N34" t="inlineStr">
        <is>
          <t>Tortillas</t>
        </is>
      </c>
      <c r="O34" s="5" t="n">
        <v>7.01</v>
      </c>
      <c r="U34" t="n">
        <v>32</v>
      </c>
      <c r="V34" t="inlineStr">
        <is>
          <t>Tortillas</t>
        </is>
      </c>
      <c r="W34" t="n">
        <v>2</v>
      </c>
    </row>
    <row r="35">
      <c r="E35" t="n">
        <v>33</v>
      </c>
      <c r="F35" t="inlineStr">
        <is>
          <t>Refrigerated Dough</t>
        </is>
      </c>
      <c r="G35" s="5" t="n">
        <v>6.99</v>
      </c>
      <c r="M35" t="n">
        <v>33</v>
      </c>
      <c r="N35" t="inlineStr">
        <is>
          <t>Refrigerated Dough</t>
        </is>
      </c>
      <c r="O35" s="5" t="n">
        <v>6.99</v>
      </c>
      <c r="U35" t="n">
        <v>33</v>
      </c>
      <c r="V35" t="inlineStr">
        <is>
          <t>Baby &amp; Toddler Food</t>
        </is>
      </c>
      <c r="W35" t="n">
        <v>1</v>
      </c>
    </row>
    <row r="36">
      <c r="E36" t="n">
        <v>34</v>
      </c>
      <c r="F36" t="inlineStr">
        <is>
          <t>Rice &amp; Grains</t>
        </is>
      </c>
      <c r="G36" s="5" t="n">
        <v>6.88</v>
      </c>
      <c r="M36" t="n">
        <v>34</v>
      </c>
      <c r="N36" t="inlineStr">
        <is>
          <t>Rice &amp; Grains</t>
        </is>
      </c>
      <c r="O36" s="5" t="n">
        <v>6.88</v>
      </c>
      <c r="U36" t="n">
        <v>34</v>
      </c>
      <c r="V36" t="inlineStr">
        <is>
          <t>Canned Tomatoes</t>
        </is>
      </c>
      <c r="W36" t="n">
        <v>1</v>
      </c>
    </row>
    <row r="37">
      <c r="E37" t="n">
        <v>35</v>
      </c>
      <c r="F37" t="inlineStr">
        <is>
          <t>Deli Meat</t>
        </is>
      </c>
      <c r="G37" s="5" t="n">
        <v>6.48</v>
      </c>
      <c r="M37" t="n">
        <v>35</v>
      </c>
      <c r="N37" t="inlineStr">
        <is>
          <t>Deli Meat</t>
        </is>
      </c>
      <c r="O37" s="5" t="n">
        <v>6.48</v>
      </c>
      <c r="U37" t="n">
        <v>35</v>
      </c>
      <c r="V37" t="inlineStr">
        <is>
          <t>Crackers</t>
        </is>
      </c>
      <c r="W37" t="n">
        <v>1</v>
      </c>
    </row>
    <row r="38">
      <c r="E38" t="n">
        <v>36</v>
      </c>
      <c r="F38" t="inlineStr">
        <is>
          <t>Frozen Plantains</t>
        </is>
      </c>
      <c r="G38" s="5" t="n">
        <v>6.29</v>
      </c>
      <c r="M38" t="n">
        <v>36</v>
      </c>
      <c r="N38" t="inlineStr">
        <is>
          <t>Frozen Plantains</t>
        </is>
      </c>
      <c r="O38" s="5" t="n">
        <v>6.29</v>
      </c>
      <c r="U38" t="n">
        <v>36</v>
      </c>
      <c r="V38" t="inlineStr">
        <is>
          <t>Cream &amp; Half-and-Half</t>
        </is>
      </c>
      <c r="W38" t="n">
        <v>1</v>
      </c>
    </row>
    <row r="39">
      <c r="E39" t="n">
        <v>37</v>
      </c>
      <c r="F39" t="inlineStr">
        <is>
          <t>Household Cleaners</t>
        </is>
      </c>
      <c r="G39" s="5" t="n">
        <v>6.24</v>
      </c>
      <c r="M39" t="n">
        <v>37</v>
      </c>
      <c r="N39" t="inlineStr">
        <is>
          <t>Household Cleaners</t>
        </is>
      </c>
      <c r="O39" s="5" t="n">
        <v>6.24</v>
      </c>
      <c r="U39" t="n">
        <v>37</v>
      </c>
      <c r="V39" t="inlineStr">
        <is>
          <t>Cream Cheese</t>
        </is>
      </c>
      <c r="W39" t="n">
        <v>1</v>
      </c>
    </row>
    <row r="40">
      <c r="E40" t="n">
        <v>38</v>
      </c>
      <c r="F40" t="inlineStr">
        <is>
          <t>Muffins &amp; Pastries</t>
        </is>
      </c>
      <c r="G40" s="5" t="n">
        <v>5.99</v>
      </c>
      <c r="M40" t="n">
        <v>38</v>
      </c>
      <c r="N40" t="inlineStr">
        <is>
          <t>Muffins &amp; Pastries</t>
        </is>
      </c>
      <c r="O40" s="5" t="n">
        <v>5.99</v>
      </c>
      <c r="U40" t="n">
        <v>38</v>
      </c>
      <c r="V40" t="inlineStr">
        <is>
          <t>Croutons</t>
        </is>
      </c>
      <c r="W40" t="n">
        <v>1</v>
      </c>
    </row>
    <row r="41">
      <c r="E41" t="n">
        <v>39</v>
      </c>
      <c r="F41" t="inlineStr">
        <is>
          <t>Storage &amp; Organization</t>
        </is>
      </c>
      <c r="G41" s="5" t="n">
        <v>5.99</v>
      </c>
      <c r="M41" t="n">
        <v>39</v>
      </c>
      <c r="N41" t="inlineStr">
        <is>
          <t>Storage &amp; Organization</t>
        </is>
      </c>
      <c r="O41" s="5" t="n">
        <v>5.99</v>
      </c>
      <c r="U41" t="n">
        <v>39</v>
      </c>
      <c r="V41" t="inlineStr">
        <is>
          <t>Deli Meat</t>
        </is>
      </c>
      <c r="W41" t="n">
        <v>1</v>
      </c>
    </row>
    <row r="42">
      <c r="E42" t="n">
        <v>40</v>
      </c>
      <c r="F42" t="inlineStr">
        <is>
          <t>Writing Supplies</t>
        </is>
      </c>
      <c r="G42" s="5" t="n">
        <v>5.99</v>
      </c>
      <c r="M42" t="n">
        <v>40</v>
      </c>
      <c r="N42" t="inlineStr">
        <is>
          <t>Writing Supplies</t>
        </is>
      </c>
      <c r="O42" s="5" t="n">
        <v>5.99</v>
      </c>
      <c r="U42" t="n">
        <v>40</v>
      </c>
      <c r="V42" t="inlineStr">
        <is>
          <t>Dips &amp; Spreads</t>
        </is>
      </c>
      <c r="W42" t="n">
        <v>1</v>
      </c>
    </row>
    <row r="43">
      <c r="E43" t="n">
        <v>41</v>
      </c>
      <c r="F43" t="inlineStr">
        <is>
          <t>Cream &amp; Half-and-Half</t>
        </is>
      </c>
      <c r="G43" s="5" t="n">
        <v>5.89</v>
      </c>
      <c r="M43" t="n">
        <v>41</v>
      </c>
      <c r="N43" t="inlineStr">
        <is>
          <t>Cream &amp; Half-and-Half</t>
        </is>
      </c>
      <c r="O43" s="5" t="n">
        <v>5.89</v>
      </c>
      <c r="U43" t="n">
        <v>41</v>
      </c>
      <c r="V43" t="inlineStr">
        <is>
          <t>Dishwashing Supplies</t>
        </is>
      </c>
      <c r="W43" t="n">
        <v>1</v>
      </c>
    </row>
    <row r="44">
      <c r="E44" t="n">
        <v>42</v>
      </c>
      <c r="F44" t="inlineStr">
        <is>
          <t>Hot Dogs &amp; Sausages</t>
        </is>
      </c>
      <c r="G44" s="5" t="n">
        <v>5.74</v>
      </c>
      <c r="M44" t="n">
        <v>42</v>
      </c>
      <c r="N44" t="inlineStr">
        <is>
          <t>Hot Dogs &amp; Sausages</t>
        </is>
      </c>
      <c r="O44" s="5" t="n">
        <v>5.74</v>
      </c>
      <c r="U44" t="n">
        <v>42</v>
      </c>
      <c r="V44" t="inlineStr">
        <is>
          <t>Disposable Tableware</t>
        </is>
      </c>
      <c r="W44" t="n">
        <v>1</v>
      </c>
    </row>
    <row r="45">
      <c r="E45" t="n">
        <v>43</v>
      </c>
      <c r="F45" t="inlineStr">
        <is>
          <t>Plant-Based Cheese</t>
        </is>
      </c>
      <c r="G45" s="5" t="n">
        <v>5.65</v>
      </c>
      <c r="M45" t="n">
        <v>43</v>
      </c>
      <c r="N45" t="inlineStr">
        <is>
          <t>Plant-Based Cheese</t>
        </is>
      </c>
      <c r="O45" s="5" t="n">
        <v>5.65</v>
      </c>
      <c r="U45" t="n">
        <v>43</v>
      </c>
      <c r="V45" t="inlineStr">
        <is>
          <t>Fresh Seafood</t>
        </is>
      </c>
      <c r="W45" t="n">
        <v>1</v>
      </c>
    </row>
    <row r="46">
      <c r="E46" t="n">
        <v>44</v>
      </c>
      <c r="F46" t="inlineStr">
        <is>
          <t>Canned Beans &amp; Legumes</t>
        </is>
      </c>
      <c r="G46" s="5" t="n">
        <v>5.42</v>
      </c>
      <c r="M46" t="n">
        <v>44</v>
      </c>
      <c r="N46" t="inlineStr">
        <is>
          <t>Canned Beans &amp; Legumes</t>
        </is>
      </c>
      <c r="O46" s="5" t="n">
        <v>5.42</v>
      </c>
      <c r="U46" t="n">
        <v>44</v>
      </c>
      <c r="V46" t="inlineStr">
        <is>
          <t>Fresh-Cut Fruit</t>
        </is>
      </c>
      <c r="W46" t="n">
        <v>1</v>
      </c>
    </row>
    <row r="47">
      <c r="E47" t="n">
        <v>45</v>
      </c>
      <c r="F47" t="inlineStr">
        <is>
          <t>Disposable Tableware</t>
        </is>
      </c>
      <c r="G47" s="5" t="n">
        <v>5.25</v>
      </c>
      <c r="M47" t="n">
        <v>45</v>
      </c>
      <c r="N47" t="inlineStr">
        <is>
          <t>Disposable Tableware</t>
        </is>
      </c>
      <c r="O47" s="5" t="n">
        <v>5.25</v>
      </c>
      <c r="U47" t="n">
        <v>45</v>
      </c>
      <c r="V47" t="inlineStr">
        <is>
          <t>Frozen Meat</t>
        </is>
      </c>
      <c r="W47" t="n">
        <v>1</v>
      </c>
    </row>
    <row r="48">
      <c r="E48" t="n">
        <v>46</v>
      </c>
      <c r="F48" t="inlineStr">
        <is>
          <t>Specialty Cheese</t>
        </is>
      </c>
      <c r="G48" s="5" t="n">
        <v>4.88</v>
      </c>
      <c r="M48" t="n">
        <v>46</v>
      </c>
      <c r="N48" t="inlineStr">
        <is>
          <t>Specialty Cheese</t>
        </is>
      </c>
      <c r="O48" s="5" t="n">
        <v>4.88</v>
      </c>
      <c r="U48" t="n">
        <v>46</v>
      </c>
      <c r="V48" t="inlineStr">
        <is>
          <t>Frozen Plantains</t>
        </is>
      </c>
      <c r="W48" t="n">
        <v>1</v>
      </c>
    </row>
    <row r="49">
      <c r="E49" t="n">
        <v>47</v>
      </c>
      <c r="F49" t="inlineStr">
        <is>
          <t>Dishwashing Supplies</t>
        </is>
      </c>
      <c r="G49" s="5" t="n">
        <v>4.46</v>
      </c>
      <c r="M49" t="n">
        <v>47</v>
      </c>
      <c r="N49" t="inlineStr">
        <is>
          <t>Dishwashing Supplies</t>
        </is>
      </c>
      <c r="O49" s="5" t="n">
        <v>4.46</v>
      </c>
      <c r="U49" t="n">
        <v>47</v>
      </c>
      <c r="V49" t="inlineStr">
        <is>
          <t>Frozen Sandwiches</t>
        </is>
      </c>
      <c r="W49" t="n">
        <v>1</v>
      </c>
    </row>
    <row r="50">
      <c r="E50" t="n">
        <v>48</v>
      </c>
      <c r="F50" t="inlineStr">
        <is>
          <t>Fresh-Cut Fruit</t>
        </is>
      </c>
      <c r="G50" s="5" t="n">
        <v>3.89</v>
      </c>
      <c r="M50" t="n">
        <v>48</v>
      </c>
      <c r="N50" t="inlineStr">
        <is>
          <t>Fresh-Cut Fruit</t>
        </is>
      </c>
      <c r="O50" s="5" t="n">
        <v>3.89</v>
      </c>
      <c r="U50" t="n">
        <v>48</v>
      </c>
      <c r="V50" t="inlineStr">
        <is>
          <t>Home Improvement</t>
        </is>
      </c>
      <c r="W50" t="n">
        <v>1</v>
      </c>
    </row>
    <row r="51">
      <c r="E51" t="n">
        <v>49</v>
      </c>
      <c r="F51" t="inlineStr">
        <is>
          <t>Peanut Butter</t>
        </is>
      </c>
      <c r="G51" s="5" t="n">
        <v>3.69</v>
      </c>
      <c r="M51" t="n">
        <v>49</v>
      </c>
      <c r="N51" t="inlineStr">
        <is>
          <t>Peanut Butter</t>
        </is>
      </c>
      <c r="O51" s="5" t="n">
        <v>3.69</v>
      </c>
      <c r="U51" t="n">
        <v>49</v>
      </c>
      <c r="V51" t="inlineStr">
        <is>
          <t>Hot Dogs &amp; Sausages</t>
        </is>
      </c>
      <c r="W51" t="n">
        <v>1</v>
      </c>
    </row>
    <row r="52">
      <c r="E52" t="n">
        <v>50</v>
      </c>
      <c r="F52" t="inlineStr">
        <is>
          <t>Dips &amp; Spreads</t>
        </is>
      </c>
      <c r="G52" s="5" t="n">
        <v>3.45</v>
      </c>
      <c r="M52" t="n">
        <v>50</v>
      </c>
      <c r="N52" t="inlineStr">
        <is>
          <t>Dips &amp; Spreads</t>
        </is>
      </c>
      <c r="O52" s="5" t="n">
        <v>3.45</v>
      </c>
      <c r="U52" t="n">
        <v>50</v>
      </c>
      <c r="V52" t="inlineStr">
        <is>
          <t>Household Cleaners</t>
        </is>
      </c>
      <c r="W52" t="n">
        <v>1</v>
      </c>
    </row>
    <row r="53">
      <c r="E53" t="n">
        <v>51</v>
      </c>
      <c r="F53" t="inlineStr">
        <is>
          <t>Jarred Vegetables</t>
        </is>
      </c>
      <c r="G53" s="5" t="n">
        <v>3.29</v>
      </c>
      <c r="M53" t="n">
        <v>51</v>
      </c>
      <c r="N53" t="inlineStr">
        <is>
          <t>Jarred Vegetables</t>
        </is>
      </c>
      <c r="O53" s="5" t="n">
        <v>3.29</v>
      </c>
      <c r="U53" t="n">
        <v>51</v>
      </c>
      <c r="V53" t="inlineStr">
        <is>
          <t>Jarred Vegetables</t>
        </is>
      </c>
      <c r="W53" t="n">
        <v>1</v>
      </c>
    </row>
    <row r="54">
      <c r="E54" t="n">
        <v>52</v>
      </c>
      <c r="F54" t="inlineStr">
        <is>
          <t>Sauces &amp; Condiments</t>
        </is>
      </c>
      <c r="G54" s="5" t="n">
        <v>3.19</v>
      </c>
      <c r="M54" t="n">
        <v>52</v>
      </c>
      <c r="N54" t="inlineStr">
        <is>
          <t>Sauces &amp; Condiments</t>
        </is>
      </c>
      <c r="O54" s="5" t="n">
        <v>3.19</v>
      </c>
      <c r="U54" t="n">
        <v>52</v>
      </c>
      <c r="V54" t="inlineStr">
        <is>
          <t>Judaica</t>
        </is>
      </c>
      <c r="W54" t="n">
        <v>1</v>
      </c>
    </row>
    <row r="55">
      <c r="E55" t="n">
        <v>53</v>
      </c>
      <c r="F55" t="inlineStr">
        <is>
          <t>Judaica</t>
        </is>
      </c>
      <c r="G55" s="5" t="n">
        <v>3.16</v>
      </c>
      <c r="M55" t="n">
        <v>53</v>
      </c>
      <c r="N55" t="inlineStr">
        <is>
          <t>Judaica</t>
        </is>
      </c>
      <c r="O55" s="5" t="n">
        <v>3.16</v>
      </c>
      <c r="U55" t="n">
        <v>53</v>
      </c>
      <c r="V55" t="inlineStr">
        <is>
          <t>Muffins &amp; Pastries</t>
        </is>
      </c>
      <c r="W55" t="n">
        <v>1</v>
      </c>
    </row>
    <row r="56">
      <c r="E56" t="n">
        <v>54</v>
      </c>
      <c r="F56" t="inlineStr">
        <is>
          <t>Snack Cakes</t>
        </is>
      </c>
      <c r="G56" s="5" t="n">
        <v>3.12</v>
      </c>
      <c r="M56" t="n">
        <v>54</v>
      </c>
      <c r="N56" t="inlineStr">
        <is>
          <t>Snack Cakes</t>
        </is>
      </c>
      <c r="O56" s="5" t="n">
        <v>3.12</v>
      </c>
      <c r="U56" t="n">
        <v>54</v>
      </c>
      <c r="V56" t="inlineStr">
        <is>
          <t>Pasta</t>
        </is>
      </c>
      <c r="W56" t="n">
        <v>1</v>
      </c>
    </row>
    <row r="57">
      <c r="E57" t="n">
        <v>55</v>
      </c>
      <c r="F57" t="inlineStr">
        <is>
          <t>Frozen Sandwiches</t>
        </is>
      </c>
      <c r="G57" s="5" t="n">
        <v>2.99</v>
      </c>
      <c r="M57" t="n">
        <v>55</v>
      </c>
      <c r="N57" t="inlineStr">
        <is>
          <t>Frozen Sandwiches</t>
        </is>
      </c>
      <c r="O57" s="5" t="n">
        <v>2.99</v>
      </c>
      <c r="U57" t="n">
        <v>55</v>
      </c>
      <c r="V57" t="inlineStr">
        <is>
          <t>Peanut Butter</t>
        </is>
      </c>
      <c r="W57" t="n">
        <v>1</v>
      </c>
    </row>
    <row r="58">
      <c r="E58" t="n">
        <v>56</v>
      </c>
      <c r="F58" t="inlineStr">
        <is>
          <t>Pasta</t>
        </is>
      </c>
      <c r="G58" s="5" t="n">
        <v>2.99</v>
      </c>
      <c r="M58" t="n">
        <v>56</v>
      </c>
      <c r="N58" t="inlineStr">
        <is>
          <t>Pasta</t>
        </is>
      </c>
      <c r="O58" s="5" t="n">
        <v>2.99</v>
      </c>
      <c r="U58" t="n">
        <v>56</v>
      </c>
      <c r="V58" t="inlineStr">
        <is>
          <t>Popcorn</t>
        </is>
      </c>
      <c r="W58" t="n">
        <v>1</v>
      </c>
    </row>
    <row r="59">
      <c r="E59" t="n">
        <v>57</v>
      </c>
      <c r="F59" t="inlineStr">
        <is>
          <t>Salad Dressing</t>
        </is>
      </c>
      <c r="G59" s="5" t="n">
        <v>2.99</v>
      </c>
      <c r="M59" t="n">
        <v>57</v>
      </c>
      <c r="N59" t="inlineStr">
        <is>
          <t>Salad Dressing</t>
        </is>
      </c>
      <c r="O59" s="5" t="n">
        <v>2.99</v>
      </c>
      <c r="U59" t="n">
        <v>57</v>
      </c>
      <c r="V59" t="inlineStr">
        <is>
          <t>Refrigerated Dough</t>
        </is>
      </c>
      <c r="W59" t="n">
        <v>1</v>
      </c>
    </row>
    <row r="60">
      <c r="E60" t="n">
        <v>58</v>
      </c>
      <c r="F60" t="inlineStr">
        <is>
          <t>Frozen Vegetables</t>
        </is>
      </c>
      <c r="G60" s="5" t="n">
        <v>2.86</v>
      </c>
      <c r="M60" t="n">
        <v>58</v>
      </c>
      <c r="N60" t="inlineStr">
        <is>
          <t>Frozen Vegetables</t>
        </is>
      </c>
      <c r="O60" s="5" t="n">
        <v>2.86</v>
      </c>
      <c r="U60" t="n">
        <v>58</v>
      </c>
      <c r="V60" t="inlineStr">
        <is>
          <t>Rice &amp; Grains</t>
        </is>
      </c>
      <c r="W60" t="n">
        <v>1</v>
      </c>
    </row>
    <row r="61">
      <c r="E61" t="n">
        <v>59</v>
      </c>
      <c r="F61" t="inlineStr">
        <is>
          <t>Crackers</t>
        </is>
      </c>
      <c r="G61" s="5" t="n">
        <v>2.79</v>
      </c>
      <c r="M61" t="n">
        <v>59</v>
      </c>
      <c r="N61" t="inlineStr">
        <is>
          <t>Crackers</t>
        </is>
      </c>
      <c r="O61" s="5" t="n">
        <v>2.79</v>
      </c>
      <c r="U61" t="n">
        <v>59</v>
      </c>
      <c r="V61" t="inlineStr">
        <is>
          <t>Salad Dressing</t>
        </is>
      </c>
      <c r="W61" t="n">
        <v>1</v>
      </c>
    </row>
    <row r="62">
      <c r="E62" t="n">
        <v>60</v>
      </c>
      <c r="F62" t="inlineStr">
        <is>
          <t>Popcorn</t>
        </is>
      </c>
      <c r="G62" s="5" t="n">
        <v>2.39</v>
      </c>
      <c r="M62" t="n">
        <v>60</v>
      </c>
      <c r="N62" t="inlineStr">
        <is>
          <t>Popcorn</t>
        </is>
      </c>
      <c r="O62" s="5" t="n">
        <v>2.39</v>
      </c>
      <c r="U62" t="n">
        <v>60</v>
      </c>
      <c r="V62" t="inlineStr">
        <is>
          <t>Sauces &amp; Condiments</t>
        </is>
      </c>
      <c r="W62" t="n">
        <v>1</v>
      </c>
    </row>
    <row r="63">
      <c r="E63" t="n">
        <v>61</v>
      </c>
      <c r="F63" t="inlineStr">
        <is>
          <t>Croutons</t>
        </is>
      </c>
      <c r="G63" s="5" t="n">
        <v>1.99</v>
      </c>
      <c r="M63" t="n">
        <v>61</v>
      </c>
      <c r="N63" t="inlineStr">
        <is>
          <t>Croutons</t>
        </is>
      </c>
      <c r="O63" s="5" t="n">
        <v>1.99</v>
      </c>
      <c r="U63" t="n">
        <v>61</v>
      </c>
      <c r="V63" t="inlineStr">
        <is>
          <t>Snack Cakes</t>
        </is>
      </c>
      <c r="W63" t="n">
        <v>1</v>
      </c>
    </row>
    <row r="64">
      <c r="E64" t="n">
        <v>62</v>
      </c>
      <c r="F64" t="inlineStr">
        <is>
          <t>Fresh Herbs</t>
        </is>
      </c>
      <c r="G64" s="5" t="n">
        <v>1.84</v>
      </c>
      <c r="M64" t="n">
        <v>62</v>
      </c>
      <c r="N64" t="inlineStr">
        <is>
          <t>Fresh Herbs</t>
        </is>
      </c>
      <c r="O64" s="5" t="n">
        <v>1.84</v>
      </c>
      <c r="U64" t="n">
        <v>62</v>
      </c>
      <c r="V64" t="inlineStr">
        <is>
          <t>Storage &amp; Organization</t>
        </is>
      </c>
      <c r="W64" t="n">
        <v>1</v>
      </c>
    </row>
    <row r="65">
      <c r="E65" t="n">
        <v>63</v>
      </c>
      <c r="F65" t="inlineStr">
        <is>
          <t>Cream Cheese</t>
        </is>
      </c>
      <c r="G65" s="5" t="n">
        <v>1.79</v>
      </c>
      <c r="M65" t="n">
        <v>63</v>
      </c>
      <c r="N65" t="inlineStr">
        <is>
          <t>Cream Cheese</t>
        </is>
      </c>
      <c r="O65" s="5" t="n">
        <v>1.79</v>
      </c>
      <c r="U65" t="n">
        <v>63</v>
      </c>
      <c r="V65" t="inlineStr">
        <is>
          <t>Wine</t>
        </is>
      </c>
      <c r="W65" t="n">
        <v>1</v>
      </c>
    </row>
    <row r="66">
      <c r="E66" t="n">
        <v>64</v>
      </c>
      <c r="F66" t="inlineStr">
        <is>
          <t>Canned Tomatoes</t>
        </is>
      </c>
      <c r="G66" s="5" t="n">
        <v>0.95</v>
      </c>
      <c r="M66" t="n">
        <v>64</v>
      </c>
      <c r="N66" t="inlineStr">
        <is>
          <t>Canned Tomatoes</t>
        </is>
      </c>
      <c r="O66" s="5" t="n">
        <v>0.95</v>
      </c>
      <c r="U66" t="n">
        <v>64</v>
      </c>
      <c r="V66" t="inlineStr">
        <is>
          <t>Writing Supplies</t>
        </is>
      </c>
      <c r="W6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46"/>
  <sheetViews>
    <sheetView showGridLines="0" workbookViewId="0">
      <pane ySplit="6" topLeftCell="A7" activePane="bottomLeft" state="frozen"/>
      <selection pane="bottomLeft" activeCell="A1" sqref="A1:AG2"/>
    </sheetView>
  </sheetViews>
  <sheetFormatPr baseColWidth="10" defaultColWidth="8.83203125" defaultRowHeight="15"/>
  <cols>
    <col width="10" customWidth="1" style="64" min="1" max="15"/>
    <col width="2" customWidth="1" style="64" min="16" max="16"/>
    <col width="4" customWidth="1" style="64" min="17" max="17"/>
    <col width="5" customWidth="1" style="64" min="18" max="18"/>
    <col width="15" customWidth="1" style="64" min="19" max="22"/>
    <col width="14" customWidth="1" style="64" min="23" max="23"/>
    <col width="2" customWidth="1" style="64" min="24" max="24"/>
    <col width="13" customWidth="1" style="64" min="25" max="33"/>
  </cols>
  <sheetData>
    <row r="1" ht="28" customHeight="1" s="64">
      <c r="A1" s="70" t="inlineStr">
        <is>
          <t>ShopGraph Spending Analytics</t>
        </is>
      </c>
    </row>
    <row r="2" ht="28" customHeight="1" s="64"/>
    <row r="4">
      <c r="A4" s="7" t="inlineStr">
        <is>
          <t>Total Spending</t>
        </is>
      </c>
      <c r="G4" s="7" t="inlineStr">
        <is>
          <t>Purchase Observations</t>
        </is>
      </c>
      <c r="M4" s="7" t="inlineStr">
        <is>
          <t>Date Range</t>
        </is>
      </c>
      <c r="T4" s="7" t="inlineStr">
        <is>
          <t>Stores</t>
        </is>
      </c>
      <c r="Z4" s="7" t="inlineStr">
        <is>
          <t>Categories</t>
        </is>
      </c>
    </row>
    <row r="5" ht="16" customHeight="1" s="64">
      <c r="A5" s="8" t="n">
        <v>899.73</v>
      </c>
      <c r="G5" s="9" t="n">
        <v>158</v>
      </c>
      <c r="M5" s="9" t="inlineStr">
        <is>
          <t>08/06/2026 - 08/28/2026</t>
        </is>
      </c>
      <c r="T5" s="9" t="n">
        <v>5</v>
      </c>
      <c r="Z5" s="9" t="n">
        <v>21</v>
      </c>
    </row>
    <row r="8" ht="16" customHeight="1" s="64">
      <c r="Q8" s="69" t="inlineStr">
        <is>
          <t>Number / Month</t>
        </is>
      </c>
      <c r="Y8" s="69" t="inlineStr">
        <is>
          <t>How to Read This Graph</t>
        </is>
      </c>
    </row>
    <row r="9">
      <c r="Q9" s="10" t="n"/>
      <c r="R9" s="10" t="inlineStr">
        <is>
          <t>#</t>
        </is>
      </c>
      <c r="S9" s="10" t="inlineStr">
        <is>
          <t>Description</t>
        </is>
      </c>
      <c r="W9" s="10" t="inlineStr">
        <is>
          <t>Value</t>
        </is>
      </c>
    </row>
    <row r="10" ht="22" customHeight="1" s="64">
      <c r="Q10" s="11" t="n"/>
      <c r="R10" s="12" t="n">
        <v>1</v>
      </c>
      <c r="S10" s="63" t="inlineStr">
        <is>
          <t>August 2026</t>
        </is>
      </c>
      <c r="W10" s="6" t="inlineStr">
        <is>
          <t>$899.73</t>
        </is>
      </c>
      <c r="Y10" s="68" t="inlineStr">
        <is>
          <t>What it represents</t>
        </is>
      </c>
    </row>
    <row r="11">
      <c r="Y11" s="63" t="inlineStr">
        <is>
          <t>Shows total household spending for each calendar month. Every valid Date N / Price N purchase observation is added to its month.</t>
        </is>
      </c>
    </row>
    <row r="12"/>
    <row r="13"/>
    <row r="14"/>
    <row r="16">
      <c r="Y16" s="68" t="inlineStr">
        <is>
          <t>How to read it</t>
        </is>
      </c>
    </row>
    <row r="17">
      <c r="Y17" s="63" t="inlineStr">
        <is>
          <t>The x-axis uses month numbers instead of month names to keep the graph clear. Match each number to the month and dollar total in the key. A rising line means monthly spending increased; a falling line means it decreased.</t>
        </is>
      </c>
    </row>
    <row r="18"/>
    <row r="19"/>
    <row r="20"/>
    <row r="22">
      <c r="Y22" s="68" t="inlineStr">
        <is>
          <t>What it is useful for</t>
        </is>
      </c>
    </row>
    <row r="23">
      <c r="Y23" s="63" t="inlineStr">
        <is>
          <t>Use this to identify overall spending trends, unusually expensive months, and whether spending is gradually moving up or down over time.</t>
        </is>
      </c>
    </row>
    <row r="24"/>
    <row r="25"/>
    <row r="26"/>
    <row r="28">
      <c r="Y28" s="68" t="inlineStr">
        <is>
          <t>Notes</t>
        </is>
      </c>
    </row>
    <row r="29">
      <c r="Y29" s="63" t="inlineStr">
        <is>
          <t>Months with no spending between the earliest and latest purchase dates are included as zero-spend months.</t>
        </is>
      </c>
    </row>
    <row r="30"/>
    <row r="31"/>
    <row r="32"/>
    <row r="44" ht="16" customHeight="1" s="64">
      <c r="Q44" s="69" t="inlineStr">
        <is>
          <t>Number / Category</t>
        </is>
      </c>
      <c r="Y44" s="69" t="inlineStr">
        <is>
          <t>How to Read This Graph</t>
        </is>
      </c>
    </row>
    <row r="45">
      <c r="Q45" s="10" t="n"/>
      <c r="R45" s="10" t="inlineStr">
        <is>
          <t>#</t>
        </is>
      </c>
      <c r="S45" s="10" t="inlineStr">
        <is>
          <t>Description</t>
        </is>
      </c>
      <c r="W45" s="10" t="inlineStr">
        <is>
          <t>Value</t>
        </is>
      </c>
    </row>
    <row r="46" ht="22" customHeight="1" s="64">
      <c r="Q46" s="11" t="n"/>
      <c r="R46" s="12" t="n">
        <v>1</v>
      </c>
      <c r="S46" s="63" t="inlineStr">
        <is>
          <t>Baby Care</t>
        </is>
      </c>
      <c r="W46" s="6" t="inlineStr">
        <is>
          <t>$146.02</t>
        </is>
      </c>
      <c r="Y46" s="68" t="inlineStr">
        <is>
          <t>What it represents</t>
        </is>
      </c>
    </row>
    <row r="47" ht="22" customHeight="1" s="64">
      <c r="Q47" s="13" t="n"/>
      <c r="R47" s="12" t="n">
        <v>2</v>
      </c>
      <c r="S47" s="63" t="inlineStr">
        <is>
          <t>Produce</t>
        </is>
      </c>
      <c r="W47" s="6" t="inlineStr">
        <is>
          <t>$111.93</t>
        </is>
      </c>
      <c r="Y47" s="63" t="inlineStr">
        <is>
          <t>Compares total spending across every category in Purchase History. No categories are collapsed into an 'Other' group.</t>
        </is>
      </c>
    </row>
    <row r="48" ht="22" customHeight="1" s="64">
      <c r="Q48" s="14" t="n"/>
      <c r="R48" s="12" t="n">
        <v>3</v>
      </c>
      <c r="S48" s="63" t="inlineStr">
        <is>
          <t>Dairy</t>
        </is>
      </c>
      <c r="W48" s="6" t="inlineStr">
        <is>
          <t>$111.26</t>
        </is>
      </c>
    </row>
    <row r="49" ht="22" customHeight="1" s="64">
      <c r="Q49" s="15" t="n"/>
      <c r="R49" s="12" t="n">
        <v>4</v>
      </c>
      <c r="S49" s="63" t="inlineStr">
        <is>
          <t>Fees</t>
        </is>
      </c>
      <c r="W49" s="6" t="inlineStr">
        <is>
          <t>$87.39</t>
        </is>
      </c>
    </row>
    <row r="50" ht="22" customHeight="1" s="64">
      <c r="Q50" s="16" t="n"/>
      <c r="R50" s="12" t="n">
        <v>5</v>
      </c>
      <c r="S50" s="63" t="inlineStr">
        <is>
          <t>Pantry</t>
        </is>
      </c>
      <c r="W50" s="6" t="inlineStr">
        <is>
          <t>$86.18</t>
        </is>
      </c>
    </row>
    <row r="51" ht="22" customHeight="1" s="64">
      <c r="Q51" s="17" t="n"/>
      <c r="R51" s="12" t="n">
        <v>6</v>
      </c>
      <c r="S51" s="63" t="inlineStr">
        <is>
          <t>Toiletries, Cleaning and Disposables</t>
        </is>
      </c>
      <c r="W51" s="6" t="inlineStr">
        <is>
          <t>$56.28</t>
        </is>
      </c>
    </row>
    <row r="52" ht="22" customHeight="1" s="64">
      <c r="Q52" s="18" t="n"/>
      <c r="R52" s="12" t="n">
        <v>7</v>
      </c>
      <c r="S52" s="63" t="inlineStr">
        <is>
          <t>Pets</t>
        </is>
      </c>
      <c r="W52" s="6" t="inlineStr">
        <is>
          <t>$47.88</t>
        </is>
      </c>
      <c r="Y52" s="68" t="inlineStr">
        <is>
          <t>How to read it</t>
        </is>
      </c>
    </row>
    <row r="53" ht="22" customHeight="1" s="64">
      <c r="Q53" s="19" t="n"/>
      <c r="R53" s="12" t="n">
        <v>8</v>
      </c>
      <c r="S53" s="63" t="inlineStr">
        <is>
          <t>Prepared Eating</t>
        </is>
      </c>
      <c r="W53" s="6" t="inlineStr">
        <is>
          <t>$42.20</t>
        </is>
      </c>
      <c r="Y53" s="63" t="inlineStr">
        <is>
          <t>Each horizontal bar is identified by a number and color. Use the key to map that number/color to the category name and exact spending amount. Longer bars mean more money was spent in that category.</t>
        </is>
      </c>
    </row>
    <row r="54" ht="22" customHeight="1" s="64">
      <c r="Q54" s="20" t="n"/>
      <c r="R54" s="12" t="n">
        <v>9</v>
      </c>
      <c r="S54" s="63" t="inlineStr">
        <is>
          <t>Meat</t>
        </is>
      </c>
      <c r="W54" s="6" t="inlineStr">
        <is>
          <t>$37.96</t>
        </is>
      </c>
    </row>
    <row r="55" ht="22" customHeight="1" s="64">
      <c r="Q55" s="21" t="n"/>
      <c r="R55" s="12" t="n">
        <v>10</v>
      </c>
      <c r="S55" s="63" t="inlineStr">
        <is>
          <t>Home Improvement</t>
        </is>
      </c>
      <c r="W55" s="6" t="inlineStr">
        <is>
          <t>$28.54</t>
        </is>
      </c>
    </row>
    <row r="56" ht="22" customHeight="1" s="64">
      <c r="Q56" s="22" t="n"/>
      <c r="R56" s="12" t="n">
        <v>11</v>
      </c>
      <c r="S56" s="63" t="inlineStr">
        <is>
          <t>Dessert</t>
        </is>
      </c>
      <c r="W56" s="6" t="inlineStr">
        <is>
          <t>$25.48</t>
        </is>
      </c>
    </row>
    <row r="57" ht="22" customHeight="1" s="64">
      <c r="Q57" s="23" t="n"/>
      <c r="R57" s="12" t="n">
        <v>12</v>
      </c>
      <c r="S57" s="63" t="inlineStr">
        <is>
          <t>Condiments &amp; Seasonings</t>
        </is>
      </c>
      <c r="W57" s="6" t="inlineStr">
        <is>
          <t>$24.83</t>
        </is>
      </c>
    </row>
    <row r="58" ht="22" customHeight="1" s="64">
      <c r="Q58" s="11" t="n"/>
      <c r="R58" s="12" t="n">
        <v>13</v>
      </c>
      <c r="S58" s="63" t="inlineStr">
        <is>
          <t>Bakery</t>
        </is>
      </c>
      <c r="W58" s="6" t="inlineStr">
        <is>
          <t>$22.13</t>
        </is>
      </c>
      <c r="Y58" s="68" t="inlineStr">
        <is>
          <t>What it is useful for</t>
        </is>
      </c>
    </row>
    <row r="59" ht="22" customHeight="1" s="64">
      <c r="Q59" s="13" t="n"/>
      <c r="R59" s="12" t="n">
        <v>14</v>
      </c>
      <c r="S59" s="63" t="inlineStr">
        <is>
          <t>Fish</t>
        </is>
      </c>
      <c r="W59" s="6" t="inlineStr">
        <is>
          <t>$14.29</t>
        </is>
      </c>
      <c r="Y59" s="63" t="inlineStr">
        <is>
          <t>Use this to see which types of goods are the biggest drivers of household spending.</t>
        </is>
      </c>
    </row>
    <row r="60" ht="22" customHeight="1" s="64">
      <c r="Q60" s="14" t="n"/>
      <c r="R60" s="12" t="n">
        <v>15</v>
      </c>
      <c r="S60" s="63" t="inlineStr">
        <is>
          <t>Self Care</t>
        </is>
      </c>
      <c r="W60" s="6" t="inlineStr">
        <is>
          <t>$13.92</t>
        </is>
      </c>
    </row>
    <row r="61" ht="22" customHeight="1" s="64">
      <c r="Q61" s="15" t="n"/>
      <c r="R61" s="12" t="n">
        <v>16</v>
      </c>
      <c r="S61" s="63" t="inlineStr">
        <is>
          <t>Eggs</t>
        </is>
      </c>
      <c r="W61" s="6" t="inlineStr">
        <is>
          <t>$9.76</t>
        </is>
      </c>
    </row>
    <row r="62" ht="22" customHeight="1" s="64">
      <c r="Q62" s="16" t="n"/>
      <c r="R62" s="12" t="n">
        <v>17</v>
      </c>
      <c r="S62" s="63" t="inlineStr">
        <is>
          <t>Frozen Food</t>
        </is>
      </c>
      <c r="W62" s="6" t="inlineStr">
        <is>
          <t>$9.56</t>
        </is>
      </c>
    </row>
    <row r="63" ht="22" customHeight="1" s="64">
      <c r="Q63" s="17" t="n"/>
      <c r="R63" s="12" t="n">
        <v>18</v>
      </c>
      <c r="S63" s="63" t="inlineStr">
        <is>
          <t>Frozen</t>
        </is>
      </c>
      <c r="W63" s="6" t="inlineStr">
        <is>
          <t>$7.78</t>
        </is>
      </c>
    </row>
    <row r="64" ht="22" customHeight="1" s="64">
      <c r="Q64" s="18" t="n"/>
      <c r="R64" s="12" t="n">
        <v>19</v>
      </c>
      <c r="S64" s="63" t="inlineStr">
        <is>
          <t>Wine</t>
        </is>
      </c>
      <c r="W64" s="6" t="inlineStr">
        <is>
          <t>$7.19</t>
        </is>
      </c>
    </row>
    <row r="65" ht="22" customHeight="1" s="64">
      <c r="Q65" s="19" t="n"/>
      <c r="R65" s="12" t="n">
        <v>20</v>
      </c>
      <c r="S65" s="63" t="inlineStr">
        <is>
          <t>Office Supplies</t>
        </is>
      </c>
      <c r="W65" s="6" t="inlineStr">
        <is>
          <t>$5.99</t>
        </is>
      </c>
    </row>
    <row r="66" ht="22" customHeight="1" s="64">
      <c r="Q66" s="20" t="n"/>
      <c r="R66" s="12" t="n">
        <v>21</v>
      </c>
      <c r="S66" s="63" t="inlineStr">
        <is>
          <t>Torah</t>
        </is>
      </c>
      <c r="W66" s="6" t="inlineStr">
        <is>
          <t>$3.16</t>
        </is>
      </c>
    </row>
    <row r="80" ht="16" customHeight="1" s="64">
      <c r="Q80" s="69" t="inlineStr">
        <is>
          <t>Number / Store</t>
        </is>
      </c>
      <c r="Y80" s="69" t="inlineStr">
        <is>
          <t>How to Read This Graph</t>
        </is>
      </c>
    </row>
    <row r="81">
      <c r="Q81" s="10" t="n"/>
      <c r="R81" s="10" t="inlineStr">
        <is>
          <t>#</t>
        </is>
      </c>
      <c r="S81" s="10" t="inlineStr">
        <is>
          <t>Description</t>
        </is>
      </c>
      <c r="W81" s="10" t="inlineStr">
        <is>
          <t>Value</t>
        </is>
      </c>
    </row>
    <row r="82" ht="22" customHeight="1" s="64">
      <c r="Q82" s="11" t="n"/>
      <c r="R82" s="12" t="n">
        <v>1</v>
      </c>
      <c r="S82" s="63" t="inlineStr">
        <is>
          <t>Walmart</t>
        </is>
      </c>
      <c r="W82" s="6" t="inlineStr">
        <is>
          <t>$574.97</t>
        </is>
      </c>
      <c r="Y82" s="68" t="inlineStr">
        <is>
          <t>What it represents</t>
        </is>
      </c>
    </row>
    <row r="83" ht="22" customHeight="1" s="64">
      <c r="Q83" s="13" t="n"/>
      <c r="R83" s="12" t="n">
        <v>2</v>
      </c>
      <c r="S83" s="63" t="inlineStr">
        <is>
          <t>Publix</t>
        </is>
      </c>
      <c r="W83" s="6" t="inlineStr">
        <is>
          <t>$145.58</t>
        </is>
      </c>
      <c r="Y83" s="63" t="inlineStr">
        <is>
          <t>Compares how much money was spent at each retailer across the entire Purchase History.</t>
        </is>
      </c>
    </row>
    <row r="84" ht="22" customHeight="1" s="64">
      <c r="Q84" s="14" t="n"/>
      <c r="R84" s="12" t="n">
        <v>3</v>
      </c>
      <c r="S84" s="63" t="inlineStr">
        <is>
          <t>Aldi</t>
        </is>
      </c>
      <c r="W84" s="6" t="inlineStr">
        <is>
          <t>$100.82</t>
        </is>
      </c>
    </row>
    <row r="85" ht="22" customHeight="1" s="64">
      <c r="Q85" s="15" t="n"/>
      <c r="R85" s="12" t="n">
        <v>4</v>
      </c>
      <c r="S85" s="63" t="inlineStr">
        <is>
          <t>Honey Pineapple</t>
        </is>
      </c>
      <c r="W85" s="6" t="inlineStr">
        <is>
          <t>$48.12</t>
        </is>
      </c>
    </row>
    <row r="86" ht="22" customHeight="1" s="64">
      <c r="Q86" s="16" t="n"/>
      <c r="R86" s="12" t="n">
        <v>5</v>
      </c>
      <c r="S86" s="63" t="inlineStr">
        <is>
          <t>Trader Joe's</t>
        </is>
      </c>
      <c r="W86" s="6" t="inlineStr">
        <is>
          <t>$30.24</t>
        </is>
      </c>
    </row>
    <row r="88">
      <c r="Y88" s="68" t="inlineStr">
        <is>
          <t>How to read it</t>
        </is>
      </c>
    </row>
    <row r="89">
      <c r="Y89" s="63" t="inlineStr">
        <is>
          <t>Each store is represented by a numbered colored bar. Match the number/color to the key. Longer bars indicate more total spending at that store.</t>
        </is>
      </c>
    </row>
    <row r="90"/>
    <row r="91"/>
    <row r="92"/>
    <row r="94">
      <c r="Y94" s="68" t="inlineStr">
        <is>
          <t>What it is useful for</t>
        </is>
      </c>
    </row>
    <row r="95">
      <c r="Y95" s="63" t="inlineStr">
        <is>
          <t>Use this to understand which retailers receive the largest share of your household shopping budget.</t>
        </is>
      </c>
    </row>
    <row r="96"/>
    <row r="97"/>
    <row r="98"/>
    <row r="100">
      <c r="Y100" s="68" t="inlineStr">
        <is>
          <t>Notes</t>
        </is>
      </c>
    </row>
    <row r="101">
      <c r="Y101" s="63" t="inlineStr">
        <is>
          <t>Store Number is intentionally ignored here; purchases are grouped by the Store name.</t>
        </is>
      </c>
    </row>
    <row r="102"/>
    <row r="103"/>
    <row r="104"/>
    <row r="116" ht="16" customHeight="1" s="64">
      <c r="Q116" s="69" t="inlineStr">
        <is>
          <t>Number / Category</t>
        </is>
      </c>
      <c r="Y116" s="69" t="inlineStr">
        <is>
          <t>How to Read This Graph</t>
        </is>
      </c>
    </row>
    <row r="117">
      <c r="Q117" s="10" t="n"/>
      <c r="R117" s="10" t="inlineStr">
        <is>
          <t>#</t>
        </is>
      </c>
      <c r="S117" s="10" t="inlineStr">
        <is>
          <t>Description</t>
        </is>
      </c>
      <c r="W117" s="10" t="inlineStr">
        <is>
          <t>Value</t>
        </is>
      </c>
    </row>
    <row r="118" ht="22" customHeight="1" s="64">
      <c r="Q118" s="11" t="n"/>
      <c r="R118" s="12" t="n">
        <v>1</v>
      </c>
      <c r="S118" s="63" t="inlineStr">
        <is>
          <t>Baby Care</t>
        </is>
      </c>
      <c r="W118" s="6" t="inlineStr">
        <is>
          <t>$146.02 (16.2%)</t>
        </is>
      </c>
      <c r="Y118" s="68" t="inlineStr">
        <is>
          <t>What it represents</t>
        </is>
      </c>
    </row>
    <row r="119" ht="22" customHeight="1" s="64">
      <c r="Q119" s="13" t="n"/>
      <c r="R119" s="12" t="n">
        <v>2</v>
      </c>
      <c r="S119" s="63" t="inlineStr">
        <is>
          <t>Produce</t>
        </is>
      </c>
      <c r="W119" s="6" t="inlineStr">
        <is>
          <t>$111.93 (12.4%)</t>
        </is>
      </c>
      <c r="Y119" s="63" t="inlineStr">
        <is>
          <t>Shows each category's share of total spending as part of the whole shopping budget.</t>
        </is>
      </c>
    </row>
    <row r="120" ht="22" customHeight="1" s="64">
      <c r="Q120" s="14" t="n"/>
      <c r="R120" s="12" t="n">
        <v>3</v>
      </c>
      <c r="S120" s="63" t="inlineStr">
        <is>
          <t>Dairy</t>
        </is>
      </c>
      <c r="W120" s="6" t="inlineStr">
        <is>
          <t>$111.26 (12.4%)</t>
        </is>
      </c>
    </row>
    <row r="121" ht="22" customHeight="1" s="64">
      <c r="Q121" s="15" t="n"/>
      <c r="R121" s="12" t="n">
        <v>4</v>
      </c>
      <c r="S121" s="63" t="inlineStr">
        <is>
          <t>Fees</t>
        </is>
      </c>
      <c r="W121" s="6" t="inlineStr">
        <is>
          <t>$87.39 (9.7%)</t>
        </is>
      </c>
    </row>
    <row r="122" ht="22" customHeight="1" s="64">
      <c r="Q122" s="16" t="n"/>
      <c r="R122" s="12" t="n">
        <v>5</v>
      </c>
      <c r="S122" s="63" t="inlineStr">
        <is>
          <t>Pantry</t>
        </is>
      </c>
      <c r="W122" s="6" t="inlineStr">
        <is>
          <t>$86.18 (9.6%)</t>
        </is>
      </c>
    </row>
    <row r="123" ht="22" customHeight="1" s="64">
      <c r="Q123" s="17" t="n"/>
      <c r="R123" s="12" t="n">
        <v>6</v>
      </c>
      <c r="S123" s="63" t="inlineStr">
        <is>
          <t>Toiletries, Cleaning and Disposables</t>
        </is>
      </c>
      <c r="W123" s="6" t="inlineStr">
        <is>
          <t>$56.28 (6.3%)</t>
        </is>
      </c>
    </row>
    <row r="124" ht="22" customHeight="1" s="64">
      <c r="Q124" s="18" t="n"/>
      <c r="R124" s="12" t="n">
        <v>7</v>
      </c>
      <c r="S124" s="63" t="inlineStr">
        <is>
          <t>Pets</t>
        </is>
      </c>
      <c r="W124" s="6" t="inlineStr">
        <is>
          <t>$47.88 (5.3%)</t>
        </is>
      </c>
      <c r="Y124" s="68" t="inlineStr">
        <is>
          <t>How to read it</t>
        </is>
      </c>
    </row>
    <row r="125" ht="22" customHeight="1" s="64">
      <c r="Q125" s="19" t="n"/>
      <c r="R125" s="12" t="n">
        <v>8</v>
      </c>
      <c r="S125" s="63" t="inlineStr">
        <is>
          <t>Prepared Eating</t>
        </is>
      </c>
      <c r="W125" s="6" t="inlineStr">
        <is>
          <t>$42.20 (4.7%)</t>
        </is>
      </c>
      <c r="Y125" s="63" t="inlineStr">
        <is>
          <t>The doughnut itself displays only numeric category codes. Match each number/color to the key for the category name, dollar amount, and percentage of total spending.</t>
        </is>
      </c>
    </row>
    <row r="126" ht="22" customHeight="1" s="64">
      <c r="Q126" s="20" t="n"/>
      <c r="R126" s="12" t="n">
        <v>9</v>
      </c>
      <c r="S126" s="63" t="inlineStr">
        <is>
          <t>Meat</t>
        </is>
      </c>
      <c r="W126" s="6" t="inlineStr">
        <is>
          <t>$37.96 (4.2%)</t>
        </is>
      </c>
    </row>
    <row r="127" ht="22" customHeight="1" s="64">
      <c r="Q127" s="21" t="n"/>
      <c r="R127" s="12" t="n">
        <v>10</v>
      </c>
      <c r="S127" s="63" t="inlineStr">
        <is>
          <t>Home Improvement</t>
        </is>
      </c>
      <c r="W127" s="6" t="inlineStr">
        <is>
          <t>$28.54 (3.2%)</t>
        </is>
      </c>
    </row>
    <row r="128" ht="22" customHeight="1" s="64">
      <c r="Q128" s="22" t="n"/>
      <c r="R128" s="12" t="n">
        <v>11</v>
      </c>
      <c r="S128" s="63" t="inlineStr">
        <is>
          <t>Dessert</t>
        </is>
      </c>
      <c r="W128" s="6" t="inlineStr">
        <is>
          <t>$25.48 (2.8%)</t>
        </is>
      </c>
    </row>
    <row r="129" ht="22" customHeight="1" s="64">
      <c r="Q129" s="23" t="n"/>
      <c r="R129" s="12" t="n">
        <v>12</v>
      </c>
      <c r="S129" s="63" t="inlineStr">
        <is>
          <t>Condiments &amp; Seasonings</t>
        </is>
      </c>
      <c r="W129" s="6" t="inlineStr">
        <is>
          <t>$24.83 (2.8%)</t>
        </is>
      </c>
    </row>
    <row r="130" ht="22" customHeight="1" s="64">
      <c r="Q130" s="11" t="n"/>
      <c r="R130" s="12" t="n">
        <v>13</v>
      </c>
      <c r="S130" s="63" t="inlineStr">
        <is>
          <t>Bakery</t>
        </is>
      </c>
      <c r="W130" s="6" t="inlineStr">
        <is>
          <t>$22.13 (2.5%)</t>
        </is>
      </c>
      <c r="Y130" s="68" t="inlineStr">
        <is>
          <t>What it is useful for</t>
        </is>
      </c>
    </row>
    <row r="131" ht="22" customHeight="1" s="64">
      <c r="Q131" s="13" t="n"/>
      <c r="R131" s="12" t="n">
        <v>14</v>
      </c>
      <c r="S131" s="63" t="inlineStr">
        <is>
          <t>Fish</t>
        </is>
      </c>
      <c r="W131" s="6" t="inlineStr">
        <is>
          <t>$14.29 (1.6%)</t>
        </is>
      </c>
      <c r="Y131" s="63" t="inlineStr">
        <is>
          <t>Use this for a fast visual picture of the household spending mix—especially which categories take the largest portion of the budget.</t>
        </is>
      </c>
    </row>
    <row r="132" ht="22" customHeight="1" s="64">
      <c r="Q132" s="14" t="n"/>
      <c r="R132" s="12" t="n">
        <v>15</v>
      </c>
      <c r="S132" s="63" t="inlineStr">
        <is>
          <t>Self Care</t>
        </is>
      </c>
      <c r="W132" s="6" t="inlineStr">
        <is>
          <t>$13.92 (1.5%)</t>
        </is>
      </c>
    </row>
    <row r="133" ht="22" customHeight="1" s="64">
      <c r="Q133" s="15" t="n"/>
      <c r="R133" s="12" t="n">
        <v>16</v>
      </c>
      <c r="S133" s="63" t="inlineStr">
        <is>
          <t>Eggs</t>
        </is>
      </c>
      <c r="W133" s="6" t="inlineStr">
        <is>
          <t>$9.76 (1.1%)</t>
        </is>
      </c>
    </row>
    <row r="134" ht="22" customHeight="1" s="64">
      <c r="Q134" s="16" t="n"/>
      <c r="R134" s="12" t="n">
        <v>17</v>
      </c>
      <c r="S134" s="63" t="inlineStr">
        <is>
          <t>Frozen Food</t>
        </is>
      </c>
      <c r="W134" s="6" t="inlineStr">
        <is>
          <t>$9.56 (1.1%)</t>
        </is>
      </c>
    </row>
    <row r="135" ht="22" customHeight="1" s="64">
      <c r="Q135" s="17" t="n"/>
      <c r="R135" s="12" t="n">
        <v>18</v>
      </c>
      <c r="S135" s="63" t="inlineStr">
        <is>
          <t>Frozen</t>
        </is>
      </c>
      <c r="W135" s="6" t="inlineStr">
        <is>
          <t>$7.78 (0.9%)</t>
        </is>
      </c>
    </row>
    <row r="136" ht="22" customHeight="1" s="64">
      <c r="Q136" s="18" t="n"/>
      <c r="R136" s="12" t="n">
        <v>19</v>
      </c>
      <c r="S136" s="63" t="inlineStr">
        <is>
          <t>Wine</t>
        </is>
      </c>
      <c r="W136" s="6" t="inlineStr">
        <is>
          <t>$7.19 (0.8%)</t>
        </is>
      </c>
      <c r="Y136" s="68" t="inlineStr">
        <is>
          <t>Notes</t>
        </is>
      </c>
    </row>
    <row r="137" ht="22" customHeight="1" s="64">
      <c r="Q137" s="19" t="n"/>
      <c r="R137" s="12" t="n">
        <v>20</v>
      </c>
      <c r="S137" s="63" t="inlineStr">
        <is>
          <t>Office Supplies</t>
        </is>
      </c>
      <c r="W137" s="6" t="inlineStr">
        <is>
          <t>$5.99 (0.7%)</t>
        </is>
      </c>
      <c r="Y137" s="63" t="inlineStr">
        <is>
          <t>Unlike the older dashboard, this graph does not create a large 'Other' slice. Every category receives its own numbered segment.</t>
        </is>
      </c>
    </row>
    <row r="138" ht="22" customHeight="1" s="64">
      <c r="Q138" s="20" t="n"/>
      <c r="R138" s="12" t="n">
        <v>21</v>
      </c>
      <c r="S138" s="63" t="inlineStr">
        <is>
          <t>Torah</t>
        </is>
      </c>
      <c r="W138" s="6" t="inlineStr">
        <is>
          <t>$3.16 (0.4%)</t>
        </is>
      </c>
    </row>
    <row r="139"/>
    <row r="140"/>
    <row r="152" ht="16" customHeight="1" s="64">
      <c r="Q152" s="69" t="inlineStr">
        <is>
          <t>Number / Product</t>
        </is>
      </c>
      <c r="Y152" s="69" t="inlineStr">
        <is>
          <t>How to Read This Graph</t>
        </is>
      </c>
    </row>
    <row r="153">
      <c r="Q153" s="10" t="n"/>
      <c r="R153" s="10" t="inlineStr">
        <is>
          <t>#</t>
        </is>
      </c>
      <c r="S153" s="10" t="inlineStr">
        <is>
          <t>Description</t>
        </is>
      </c>
      <c r="W153" s="10" t="inlineStr">
        <is>
          <t>Value</t>
        </is>
      </c>
    </row>
    <row r="154" ht="22" customHeight="1" s="64">
      <c r="Q154" s="11" t="n"/>
      <c r="R154" s="12" t="n">
        <v>1</v>
      </c>
      <c r="S154" s="63" t="inlineStr">
        <is>
          <t>Pampers Swaddlers Size 5 Diapers</t>
        </is>
      </c>
      <c r="W154" s="6" t="inlineStr">
        <is>
          <t>$79.54</t>
        </is>
      </c>
      <c r="Y154" s="68" t="inlineStr">
        <is>
          <t>What it represents</t>
        </is>
      </c>
    </row>
    <row r="155" ht="22" customHeight="1" s="64">
      <c r="Q155" s="13" t="n"/>
      <c r="R155" s="12" t="n">
        <v>2</v>
      </c>
      <c r="S155" s="63" t="inlineStr">
        <is>
          <t>Purina Tidy Cats Clumping Cat Litter</t>
        </is>
      </c>
      <c r="W155" s="6" t="inlineStr">
        <is>
          <t>$47.88</t>
        </is>
      </c>
      <c r="Y155" s="63" t="inlineStr">
        <is>
          <t>Ranks the ten individual product identities with the most accumulated spending across all recorded purchases.</t>
        </is>
      </c>
    </row>
    <row r="156" ht="22" customHeight="1" s="64">
      <c r="Q156" s="14" t="n"/>
      <c r="R156" s="12" t="n">
        <v>3</v>
      </c>
      <c r="S156" s="63" t="inlineStr">
        <is>
          <t>Driver Tip</t>
        </is>
      </c>
      <c r="W156" s="6" t="inlineStr">
        <is>
          <t>$46.78</t>
        </is>
      </c>
    </row>
    <row r="157" ht="22" customHeight="1" s="64">
      <c r="Q157" s="15" t="n"/>
      <c r="R157" s="12" t="n">
        <v>4</v>
      </c>
      <c r="S157" s="63" t="inlineStr">
        <is>
          <t>Command Heavy Duty Picture Hangers</t>
        </is>
      </c>
      <c r="W157" s="6" t="inlineStr">
        <is>
          <t>$28.54</t>
        </is>
      </c>
    </row>
    <row r="158" ht="22" customHeight="1" s="64">
      <c r="Q158" s="16" t="n"/>
      <c r="R158" s="12" t="n">
        <v>5</v>
      </c>
      <c r="S158" s="63" t="inlineStr">
        <is>
          <t>Tax</t>
        </is>
      </c>
      <c r="W158" s="6" t="inlineStr">
        <is>
          <t>$24.88</t>
        </is>
      </c>
    </row>
    <row r="159" ht="22" customHeight="1" s="64">
      <c r="Q159" s="17" t="n"/>
      <c r="R159" s="12" t="n">
        <v>6</v>
      </c>
      <c r="S159" s="63" t="inlineStr">
        <is>
          <t>CeraVe Baby Healing Ointment</t>
        </is>
      </c>
      <c r="W159" s="6" t="inlineStr">
        <is>
          <t>$19.96</t>
        </is>
      </c>
    </row>
    <row r="160" ht="22" customHeight="1" s="64">
      <c r="Q160" s="18" t="n"/>
      <c r="R160" s="12" t="n">
        <v>7</v>
      </c>
      <c r="S160" s="63" t="inlineStr">
        <is>
          <t>Dove Sensitive Skin Body Wash</t>
        </is>
      </c>
      <c r="W160" s="6" t="inlineStr">
        <is>
          <t>$19.88</t>
        </is>
      </c>
      <c r="Y160" s="68" t="inlineStr">
        <is>
          <t>How to read it</t>
        </is>
      </c>
    </row>
    <row r="161" ht="22" customHeight="1" s="64">
      <c r="Q161" s="19" t="n"/>
      <c r="R161" s="12" t="n">
        <v>8</v>
      </c>
      <c r="S161" s="63" t="inlineStr">
        <is>
          <t>Chobani Protein Greek Yogurt Drink, Strawberries &amp; Cream</t>
        </is>
      </c>
      <c r="W161" s="6" t="inlineStr">
        <is>
          <t>$19.34</t>
        </is>
      </c>
      <c r="Y161" s="63" t="inlineStr">
        <is>
          <t>Each product is represented by a numbered colored bar. Use the key to see the product name and its total spending. The longest bar is the largest individual spending driver.</t>
        </is>
      </c>
    </row>
    <row r="162" ht="22" customHeight="1" s="64">
      <c r="Q162" s="20" t="n"/>
      <c r="R162" s="12" t="n">
        <v>9</v>
      </c>
      <c r="S162" s="63" t="inlineStr">
        <is>
          <t>Silk Organic Unsweet Soymilk, Half Gallon</t>
        </is>
      </c>
      <c r="W162" s="6" t="inlineStr">
        <is>
          <t>$18.57</t>
        </is>
      </c>
    </row>
    <row r="163" ht="22" customHeight="1" s="64">
      <c r="Q163" s="21" t="n"/>
      <c r="R163" s="12" t="n">
        <v>10</v>
      </c>
      <c r="S163" s="63" t="inlineStr">
        <is>
          <t>Nestle Toll House Allergen-Free Dark Chocolate Baking Chips</t>
        </is>
      </c>
      <c r="W163" s="6" t="inlineStr">
        <is>
          <t>$16.74</t>
        </is>
      </c>
    </row>
    <row r="164"/>
    <row r="166">
      <c r="Y166" s="68" t="inlineStr">
        <is>
          <t>What it is useful for</t>
        </is>
      </c>
    </row>
    <row r="167">
      <c r="Y167" s="63" t="inlineStr">
        <is>
          <t>Use this to identify specific products that contribute the most to total spending and may be worth price-comparing or watching over time.</t>
        </is>
      </c>
    </row>
    <row r="168"/>
    <row r="169"/>
    <row r="170"/>
    <row r="172">
      <c r="Y172" s="68" t="inlineStr">
        <is>
          <t>Notes</t>
        </is>
      </c>
    </row>
    <row r="173">
      <c r="Y173" s="63" t="inlineStr">
        <is>
          <t>Product identity prefers Common Name and falls back to Product when Common Name is unavailable.</t>
        </is>
      </c>
    </row>
    <row r="174"/>
    <row r="175"/>
    <row r="176"/>
    <row r="188" ht="16" customHeight="1" s="64">
      <c r="Q188" s="69" t="inlineStr">
        <is>
          <t>Store Numbers + Month Numbers</t>
        </is>
      </c>
      <c r="Y188" s="69" t="inlineStr">
        <is>
          <t>How to Read This Graph</t>
        </is>
      </c>
    </row>
    <row r="189">
      <c r="Q189" s="10" t="n"/>
      <c r="R189" s="10" t="inlineStr">
        <is>
          <t>#</t>
        </is>
      </c>
      <c r="S189" s="10" t="inlineStr">
        <is>
          <t>Description</t>
        </is>
      </c>
      <c r="W189" s="10" t="inlineStr">
        <is>
          <t>Value</t>
        </is>
      </c>
    </row>
    <row r="190" ht="22" customHeight="1" s="64">
      <c r="Q190" s="11" t="n"/>
      <c r="R190" s="12" t="n">
        <v>1</v>
      </c>
      <c r="S190" s="63" t="inlineStr">
        <is>
          <t>Walmart</t>
        </is>
      </c>
      <c r="W190" s="6" t="inlineStr">
        <is>
          <t>$574.97</t>
        </is>
      </c>
      <c r="Y190" s="68" t="inlineStr">
        <is>
          <t>What it represents</t>
        </is>
      </c>
    </row>
    <row r="191" ht="22" customHeight="1" s="64">
      <c r="Q191" s="13" t="n"/>
      <c r="R191" s="12" t="n">
        <v>2</v>
      </c>
      <c r="S191" s="63" t="inlineStr">
        <is>
          <t>Publix</t>
        </is>
      </c>
      <c r="W191" s="6" t="inlineStr">
        <is>
          <t>$145.58</t>
        </is>
      </c>
      <c r="Y191" s="63" t="inlineStr">
        <is>
          <t>Shows how monthly spending is divided among stores. Each column is one month; each colored section inside the column represents one store.</t>
        </is>
      </c>
    </row>
    <row r="192" ht="22" customHeight="1" s="64">
      <c r="Q192" s="14" t="n"/>
      <c r="R192" s="12" t="n">
        <v>3</v>
      </c>
      <c r="S192" s="63" t="inlineStr">
        <is>
          <t>Aldi</t>
        </is>
      </c>
      <c r="W192" s="6" t="inlineStr">
        <is>
          <t>$100.82</t>
        </is>
      </c>
    </row>
    <row r="193" ht="22" customHeight="1" s="64">
      <c r="Q193" s="15" t="n"/>
      <c r="R193" s="12" t="n">
        <v>4</v>
      </c>
      <c r="S193" s="63" t="inlineStr">
        <is>
          <t>Honey Pineapple</t>
        </is>
      </c>
      <c r="W193" s="6" t="inlineStr">
        <is>
          <t>$48.12</t>
        </is>
      </c>
    </row>
    <row r="194" ht="22" customHeight="1" s="64">
      <c r="Q194" s="16" t="n"/>
      <c r="R194" s="12" t="n">
        <v>5</v>
      </c>
      <c r="S194" s="63" t="inlineStr">
        <is>
          <t>Trader Joe's</t>
        </is>
      </c>
      <c r="W194" s="6" t="inlineStr">
        <is>
          <t>$30.24</t>
        </is>
      </c>
    </row>
    <row r="195" ht="22" customHeight="1" s="64">
      <c r="Q195" s="24" t="n"/>
      <c r="R195" s="12" t="n">
        <v>1</v>
      </c>
      <c r="S195" s="63" t="inlineStr">
        <is>
          <t>Month August 2026</t>
        </is>
      </c>
      <c r="W195" s="6" t="inlineStr">
        <is>
          <t>$899.73</t>
        </is>
      </c>
    </row>
    <row r="196">
      <c r="Y196" s="68" t="inlineStr">
        <is>
          <t>How to read it</t>
        </is>
      </c>
    </row>
    <row r="197">
      <c r="Y197" s="63" t="inlineStr">
        <is>
          <t>Store series use the numbered color key. The x-axis uses month numbers. Match those month numbers to the month rows in the key. The total height of a column is total monthly spending; the colored portions show which stores made up that total.</t>
        </is>
      </c>
    </row>
    <row r="198"/>
    <row r="199"/>
    <row r="200"/>
    <row r="202">
      <c r="Y202" s="68" t="inlineStr">
        <is>
          <t>What it is useful for</t>
        </is>
      </c>
    </row>
    <row r="203">
      <c r="Y203" s="63" t="inlineStr">
        <is>
          <t>Use this to see whether changes in monthly spending are connected to a particular store and how your retailer mix changes over time.</t>
        </is>
      </c>
    </row>
    <row r="204"/>
    <row r="205"/>
    <row r="206"/>
    <row r="208">
      <c r="Y208" s="68" t="inlineStr">
        <is>
          <t>Notes</t>
        </is>
      </c>
    </row>
    <row r="209">
      <c r="Y209" s="63" t="inlineStr">
        <is>
          <t>All stores are retained. There is no catch-all 'Other' store series.</t>
        </is>
      </c>
    </row>
    <row r="210"/>
    <row r="211"/>
    <row r="212"/>
    <row r="224" ht="16" customHeight="1" s="64">
      <c r="Q224" s="69" t="inlineStr">
        <is>
          <t>Number / Category</t>
        </is>
      </c>
      <c r="Y224" s="69" t="inlineStr">
        <is>
          <t>How to Read This Graph</t>
        </is>
      </c>
    </row>
    <row r="225">
      <c r="Q225" s="10" t="n"/>
      <c r="R225" s="10" t="inlineStr">
        <is>
          <t>#</t>
        </is>
      </c>
      <c r="S225" s="10" t="inlineStr">
        <is>
          <t>Description</t>
        </is>
      </c>
      <c r="W225" s="10" t="inlineStr">
        <is>
          <t>Value</t>
        </is>
      </c>
    </row>
    <row r="226" ht="22" customHeight="1" s="64">
      <c r="Q226" s="11" t="n"/>
      <c r="R226" s="12" t="n">
        <v>1</v>
      </c>
      <c r="S226" s="63" t="inlineStr">
        <is>
          <t>Produce</t>
        </is>
      </c>
      <c r="W226" s="6" t="inlineStr">
        <is>
          <t>42</t>
        </is>
      </c>
      <c r="Y226" s="68" t="inlineStr">
        <is>
          <t>What it represents</t>
        </is>
      </c>
    </row>
    <row r="227" ht="22" customHeight="1" s="64">
      <c r="Q227" s="13" t="n"/>
      <c r="R227" s="12" t="n">
        <v>2</v>
      </c>
      <c r="S227" s="63" t="inlineStr">
        <is>
          <t>Pantry</t>
        </is>
      </c>
      <c r="W227" s="6" t="inlineStr">
        <is>
          <t>23</t>
        </is>
      </c>
      <c r="Y227" s="63" t="inlineStr">
        <is>
          <t>Counts how many valid purchase observations occurred in each category. This measures frequency, not dollars.</t>
        </is>
      </c>
    </row>
    <row r="228" ht="22" customHeight="1" s="64">
      <c r="Q228" s="14" t="n"/>
      <c r="R228" s="12" t="n">
        <v>3</v>
      </c>
      <c r="S228" s="63" t="inlineStr">
        <is>
          <t>Dairy</t>
        </is>
      </c>
      <c r="W228" s="6" t="inlineStr">
        <is>
          <t>19</t>
        </is>
      </c>
    </row>
    <row r="229" ht="22" customHeight="1" s="64">
      <c r="Q229" s="15" t="n"/>
      <c r="R229" s="12" t="n">
        <v>4</v>
      </c>
      <c r="S229" s="63" t="inlineStr">
        <is>
          <t>Fees</t>
        </is>
      </c>
      <c r="W229" s="6" t="inlineStr">
        <is>
          <t>14</t>
        </is>
      </c>
    </row>
    <row r="230" ht="22" customHeight="1" s="64">
      <c r="Q230" s="16" t="n"/>
      <c r="R230" s="12" t="n">
        <v>5</v>
      </c>
      <c r="S230" s="63" t="inlineStr">
        <is>
          <t>Baby Care</t>
        </is>
      </c>
      <c r="W230" s="6" t="inlineStr">
        <is>
          <t>11</t>
        </is>
      </c>
    </row>
    <row r="231" ht="22" customHeight="1" s="64">
      <c r="Q231" s="17" t="n"/>
      <c r="R231" s="12" t="n">
        <v>6</v>
      </c>
      <c r="S231" s="63" t="inlineStr">
        <is>
          <t>Toiletries, Cleaning and Disposables</t>
        </is>
      </c>
      <c r="W231" s="6" t="inlineStr">
        <is>
          <t>10</t>
        </is>
      </c>
    </row>
    <row r="232" ht="22" customHeight="1" s="64">
      <c r="Q232" s="18" t="n"/>
      <c r="R232" s="12" t="n">
        <v>7</v>
      </c>
      <c r="S232" s="63" t="inlineStr">
        <is>
          <t>Condiments &amp; Seasonings</t>
        </is>
      </c>
      <c r="W232" s="6" t="inlineStr">
        <is>
          <t>7</t>
        </is>
      </c>
      <c r="Y232" s="68" t="inlineStr">
        <is>
          <t>How to read it</t>
        </is>
      </c>
    </row>
    <row r="233" ht="22" customHeight="1" s="64">
      <c r="Q233" s="19" t="n"/>
      <c r="R233" s="12" t="n">
        <v>8</v>
      </c>
      <c r="S233" s="63" t="inlineStr">
        <is>
          <t>Meat</t>
        </is>
      </c>
      <c r="W233" s="6" t="inlineStr">
        <is>
          <t>5</t>
        </is>
      </c>
      <c r="Y233" s="63" t="inlineStr">
        <is>
          <t>Each category is a numbered colored bar. Match the number and color to the key. A longer bar means the category was purchased more frequently.</t>
        </is>
      </c>
    </row>
    <row r="234" ht="22" customHeight="1" s="64">
      <c r="Q234" s="20" t="n"/>
      <c r="R234" s="12" t="n">
        <v>9</v>
      </c>
      <c r="S234" s="63" t="inlineStr">
        <is>
          <t>Bakery</t>
        </is>
      </c>
      <c r="W234" s="6" t="inlineStr">
        <is>
          <t>4</t>
        </is>
      </c>
    </row>
    <row r="235" ht="22" customHeight="1" s="64">
      <c r="Q235" s="21" t="n"/>
      <c r="R235" s="12" t="n">
        <v>10</v>
      </c>
      <c r="S235" s="63" t="inlineStr">
        <is>
          <t>Dessert</t>
        </is>
      </c>
      <c r="W235" s="6" t="inlineStr">
        <is>
          <t>4</t>
        </is>
      </c>
    </row>
    <row r="236" ht="22" customHeight="1" s="64">
      <c r="Q236" s="22" t="n"/>
      <c r="R236" s="12" t="n">
        <v>11</v>
      </c>
      <c r="S236" s="63" t="inlineStr">
        <is>
          <t>Prepared Eating</t>
        </is>
      </c>
      <c r="W236" s="6" t="inlineStr">
        <is>
          <t>4</t>
        </is>
      </c>
    </row>
    <row r="237" ht="22" customHeight="1" s="64">
      <c r="Q237" s="23" t="n"/>
      <c r="R237" s="12" t="n">
        <v>12</v>
      </c>
      <c r="S237" s="63" t="inlineStr">
        <is>
          <t>Eggs</t>
        </is>
      </c>
      <c r="W237" s="6" t="inlineStr">
        <is>
          <t>2</t>
        </is>
      </c>
    </row>
    <row r="238" ht="22" customHeight="1" s="64">
      <c r="Q238" s="11" t="n"/>
      <c r="R238" s="12" t="n">
        <v>13</v>
      </c>
      <c r="S238" s="63" t="inlineStr">
        <is>
          <t>Frozen</t>
        </is>
      </c>
      <c r="W238" s="6" t="inlineStr">
        <is>
          <t>2</t>
        </is>
      </c>
      <c r="Y238" s="68" t="inlineStr">
        <is>
          <t>What it is useful for</t>
        </is>
      </c>
    </row>
    <row r="239" ht="22" customHeight="1" s="64">
      <c r="Q239" s="13" t="n"/>
      <c r="R239" s="12" t="n">
        <v>14</v>
      </c>
      <c r="S239" s="63" t="inlineStr">
        <is>
          <t>Frozen Food</t>
        </is>
      </c>
      <c r="W239" s="6" t="inlineStr">
        <is>
          <t>2</t>
        </is>
      </c>
      <c r="Y239" s="63" t="inlineStr">
        <is>
          <t>Use this alongside Spending by Category to distinguish frequent routine purchases from categories that are bought less often but cost more.</t>
        </is>
      </c>
    </row>
    <row r="240" ht="22" customHeight="1" s="64">
      <c r="Q240" s="14" t="n"/>
      <c r="R240" s="12" t="n">
        <v>15</v>
      </c>
      <c r="S240" s="63" t="inlineStr">
        <is>
          <t>Pets</t>
        </is>
      </c>
      <c r="W240" s="6" t="inlineStr">
        <is>
          <t>2</t>
        </is>
      </c>
    </row>
    <row r="241" ht="22" customHeight="1" s="64">
      <c r="Q241" s="15" t="n"/>
      <c r="R241" s="12" t="n">
        <v>16</v>
      </c>
      <c r="S241" s="63" t="inlineStr">
        <is>
          <t>Self Care</t>
        </is>
      </c>
      <c r="W241" s="6" t="inlineStr">
        <is>
          <t>2</t>
        </is>
      </c>
    </row>
    <row r="242" ht="22" customHeight="1" s="64">
      <c r="Q242" s="16" t="n"/>
      <c r="R242" s="12" t="n">
        <v>17</v>
      </c>
      <c r="S242" s="63" t="inlineStr">
        <is>
          <t>Fish</t>
        </is>
      </c>
      <c r="W242" s="6" t="inlineStr">
        <is>
          <t>1</t>
        </is>
      </c>
    </row>
    <row r="243" ht="22" customHeight="1" s="64">
      <c r="Q243" s="17" t="n"/>
      <c r="R243" s="12" t="n">
        <v>18</v>
      </c>
      <c r="S243" s="63" t="inlineStr">
        <is>
          <t>Home Improvement</t>
        </is>
      </c>
      <c r="W243" s="6" t="inlineStr">
        <is>
          <t>1</t>
        </is>
      </c>
    </row>
    <row r="244" ht="22" customHeight="1" s="64">
      <c r="Q244" s="18" t="n"/>
      <c r="R244" s="12" t="n">
        <v>19</v>
      </c>
      <c r="S244" s="63" t="inlineStr">
        <is>
          <t>Office Supplies</t>
        </is>
      </c>
      <c r="W244" s="6" t="inlineStr">
        <is>
          <t>1</t>
        </is>
      </c>
    </row>
    <row r="245" ht="22" customHeight="1" s="64">
      <c r="Q245" s="19" t="n"/>
      <c r="R245" s="12" t="n">
        <v>20</v>
      </c>
      <c r="S245" s="63" t="inlineStr">
        <is>
          <t>Torah</t>
        </is>
      </c>
      <c r="W245" s="6" t="inlineStr">
        <is>
          <t>1</t>
        </is>
      </c>
    </row>
    <row r="246" ht="22" customHeight="1" s="64">
      <c r="Q246" s="20" t="n"/>
      <c r="R246" s="12" t="n">
        <v>21</v>
      </c>
      <c r="S246" s="63" t="inlineStr">
        <is>
          <t>Wine</t>
        </is>
      </c>
      <c r="W246" s="6" t="inlineStr">
        <is>
          <t>1</t>
        </is>
      </c>
    </row>
  </sheetData>
  <mergeCells count="152">
    <mergeCell ref="S136:V136"/>
    <mergeCell ref="S118:V118"/>
    <mergeCell ref="Y82:AG82"/>
    <mergeCell ref="S158:V158"/>
    <mergeCell ref="Y233:AG236"/>
    <mergeCell ref="Y10:AG10"/>
    <mergeCell ref="Y16:AG16"/>
    <mergeCell ref="S135:V135"/>
    <mergeCell ref="S193:V193"/>
    <mergeCell ref="Y52:AG52"/>
    <mergeCell ref="S159:V159"/>
    <mergeCell ref="S242:V242"/>
    <mergeCell ref="S125:V125"/>
    <mergeCell ref="Q116:W116"/>
    <mergeCell ref="S134:V134"/>
    <mergeCell ref="S192:V192"/>
    <mergeCell ref="S226:V226"/>
    <mergeCell ref="S161:V161"/>
    <mergeCell ref="S62:V62"/>
    <mergeCell ref="Y227:AG230"/>
    <mergeCell ref="A1:AG2"/>
    <mergeCell ref="Y83:AG86"/>
    <mergeCell ref="Y100:AG100"/>
    <mergeCell ref="S241:V241"/>
    <mergeCell ref="S58:V58"/>
    <mergeCell ref="Y160:AG160"/>
    <mergeCell ref="S228:V228"/>
    <mergeCell ref="Q224:W224"/>
    <mergeCell ref="S120:V120"/>
    <mergeCell ref="S191:V191"/>
    <mergeCell ref="S243:V243"/>
    <mergeCell ref="Y173:AG176"/>
    <mergeCell ref="Y17:AG20"/>
    <mergeCell ref="Y196:AG196"/>
    <mergeCell ref="Y11:AG14"/>
    <mergeCell ref="S57:V57"/>
    <mergeCell ref="Y152:AG152"/>
    <mergeCell ref="S229:V229"/>
    <mergeCell ref="Y59:AG62"/>
    <mergeCell ref="Y239:AG242"/>
    <mergeCell ref="S83:V83"/>
    <mergeCell ref="Y95:AG98"/>
    <mergeCell ref="S154:V154"/>
    <mergeCell ref="S163:V163"/>
    <mergeCell ref="S124:V124"/>
    <mergeCell ref="Y88:AG88"/>
    <mergeCell ref="S85:V85"/>
    <mergeCell ref="S246:V246"/>
    <mergeCell ref="Y209:AG212"/>
    <mergeCell ref="S47:V47"/>
    <mergeCell ref="S233:V233"/>
    <mergeCell ref="S59:V59"/>
    <mergeCell ref="S119:V119"/>
    <mergeCell ref="Y131:AG134"/>
    <mergeCell ref="Y154:AG154"/>
    <mergeCell ref="S46:V46"/>
    <mergeCell ref="S61:V61"/>
    <mergeCell ref="Y116:AG116"/>
    <mergeCell ref="S48:V48"/>
    <mergeCell ref="Y8:AG8"/>
    <mergeCell ref="S194:V194"/>
    <mergeCell ref="Y130:AG130"/>
    <mergeCell ref="S160:V160"/>
    <mergeCell ref="S131:V131"/>
    <mergeCell ref="S245:V245"/>
    <mergeCell ref="S49:V49"/>
    <mergeCell ref="S128:V128"/>
    <mergeCell ref="S10:V10"/>
    <mergeCell ref="Y118:AG118"/>
    <mergeCell ref="Y155:AG158"/>
    <mergeCell ref="S137:V137"/>
    <mergeCell ref="S195:V195"/>
    <mergeCell ref="Y232:AG232"/>
    <mergeCell ref="Q80:W80"/>
    <mergeCell ref="S65:V65"/>
    <mergeCell ref="Y94:AG94"/>
    <mergeCell ref="S157:V157"/>
    <mergeCell ref="S237:V237"/>
    <mergeCell ref="Y22:AG22"/>
    <mergeCell ref="Y101:AG104"/>
    <mergeCell ref="S129:V129"/>
    <mergeCell ref="S123:V123"/>
    <mergeCell ref="S138:V138"/>
    <mergeCell ref="S50:V50"/>
    <mergeCell ref="S230:V230"/>
    <mergeCell ref="S51:V51"/>
    <mergeCell ref="Y125:AG128"/>
    <mergeCell ref="S60:V60"/>
    <mergeCell ref="Y80:AG80"/>
    <mergeCell ref="Y208:AG208"/>
    <mergeCell ref="S236:V236"/>
    <mergeCell ref="Y53:AG56"/>
    <mergeCell ref="Y47:AG50"/>
    <mergeCell ref="S232:V232"/>
    <mergeCell ref="Y136:AG136"/>
    <mergeCell ref="S155:V155"/>
    <mergeCell ref="Y167:AG170"/>
    <mergeCell ref="S52:V52"/>
    <mergeCell ref="Q8:W8"/>
    <mergeCell ref="S86:V86"/>
    <mergeCell ref="Y89:AG92"/>
    <mergeCell ref="Y191:AG194"/>
    <mergeCell ref="S122:V122"/>
    <mergeCell ref="Y161:AG164"/>
    <mergeCell ref="Y137:AG140"/>
    <mergeCell ref="Y226:AG226"/>
    <mergeCell ref="Y203:AG206"/>
    <mergeCell ref="Q152:W152"/>
    <mergeCell ref="S53:V53"/>
    <mergeCell ref="S133:V133"/>
    <mergeCell ref="Q44:W44"/>
    <mergeCell ref="S127:V127"/>
    <mergeCell ref="Y44:AG44"/>
    <mergeCell ref="S234:V234"/>
    <mergeCell ref="S55:V55"/>
    <mergeCell ref="Y172:AG172"/>
    <mergeCell ref="S64:V64"/>
    <mergeCell ref="S235:V235"/>
    <mergeCell ref="S162:V162"/>
    <mergeCell ref="Y188:AG188"/>
    <mergeCell ref="S227:V227"/>
    <mergeCell ref="S54:V54"/>
    <mergeCell ref="S63:V63"/>
    <mergeCell ref="Y197:AG200"/>
    <mergeCell ref="Y23:AG26"/>
    <mergeCell ref="Y124:AG124"/>
    <mergeCell ref="Y190:AG190"/>
    <mergeCell ref="Y46:AG46"/>
    <mergeCell ref="Y28:AG28"/>
    <mergeCell ref="S56:V56"/>
    <mergeCell ref="S156:V156"/>
    <mergeCell ref="S126:V126"/>
    <mergeCell ref="Y166:AG166"/>
    <mergeCell ref="S238:V238"/>
    <mergeCell ref="Y238:AG238"/>
    <mergeCell ref="S121:V121"/>
    <mergeCell ref="Y29:AG32"/>
    <mergeCell ref="S244:V244"/>
    <mergeCell ref="S130:V130"/>
    <mergeCell ref="S82:V82"/>
    <mergeCell ref="S231:V231"/>
    <mergeCell ref="S240:V240"/>
    <mergeCell ref="S66:V66"/>
    <mergeCell ref="S132:V132"/>
    <mergeCell ref="S190:V190"/>
    <mergeCell ref="Y119:AG122"/>
    <mergeCell ref="Y224:AG224"/>
    <mergeCell ref="Y202:AG202"/>
    <mergeCell ref="Y58:AG58"/>
    <mergeCell ref="S239:V239"/>
    <mergeCell ref="Q188:W188"/>
    <mergeCell ref="S84:V8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10" defaultColWidth="8.83203125" defaultRowHeight="15"/>
  <sheetData>
    <row r="1">
      <c r="A1" s="25" t="inlineStr">
        <is>
          <t>Monthly Spending</t>
        </is>
      </c>
      <c r="E1" s="25" t="inlineStr">
        <is>
          <t>Spending by Category</t>
        </is>
      </c>
      <c r="I1" s="25" t="inlineStr">
        <is>
          <t>Spending by Store</t>
        </is>
      </c>
      <c r="M1" s="25" t="inlineStr">
        <is>
          <t>Spending Share by Category</t>
        </is>
      </c>
      <c r="Q1" s="25" t="inlineStr">
        <is>
          <t>Top Products by Spending</t>
        </is>
      </c>
      <c r="U1" s="25" t="inlineStr">
        <is>
          <t>Purchase Frequency by Category</t>
        </is>
      </c>
      <c r="Y1" s="25" t="inlineStr">
        <is>
          <t>Monthly Spending by Store</t>
        </is>
      </c>
    </row>
    <row r="2">
      <c r="A2" s="25" t="inlineStr">
        <is>
          <t>Number</t>
        </is>
      </c>
      <c r="B2" s="25" t="inlineStr">
        <is>
          <t>Month</t>
        </is>
      </c>
      <c r="C2" s="25" t="inlineStr">
        <is>
          <t>Spending</t>
        </is>
      </c>
      <c r="E2" s="25" t="inlineStr">
        <is>
          <t>Number</t>
        </is>
      </c>
      <c r="F2" s="25" t="inlineStr">
        <is>
          <t>Category</t>
        </is>
      </c>
      <c r="G2" s="25" t="inlineStr">
        <is>
          <t>Spending</t>
        </is>
      </c>
      <c r="I2" s="25" t="inlineStr">
        <is>
          <t>Number</t>
        </is>
      </c>
      <c r="J2" s="25" t="inlineStr">
        <is>
          <t>Store</t>
        </is>
      </c>
      <c r="K2" s="25" t="inlineStr">
        <is>
          <t>Spending</t>
        </is>
      </c>
      <c r="M2" s="25" t="inlineStr">
        <is>
          <t>Number</t>
        </is>
      </c>
      <c r="N2" s="25" t="inlineStr">
        <is>
          <t>Category</t>
        </is>
      </c>
      <c r="O2" s="25" t="inlineStr">
        <is>
          <t>Spending</t>
        </is>
      </c>
      <c r="Q2" s="25" t="inlineStr">
        <is>
          <t>Number</t>
        </is>
      </c>
      <c r="R2" s="25" t="inlineStr">
        <is>
          <t>Product</t>
        </is>
      </c>
      <c r="S2" s="25" t="inlineStr">
        <is>
          <t>Spending</t>
        </is>
      </c>
      <c r="U2" s="25" t="inlineStr">
        <is>
          <t>Number</t>
        </is>
      </c>
      <c r="V2" s="25" t="inlineStr">
        <is>
          <t>Category</t>
        </is>
      </c>
      <c r="W2" s="25" t="inlineStr">
        <is>
          <t>Purchases</t>
        </is>
      </c>
      <c r="Y2" s="25" t="inlineStr">
        <is>
          <t>Month Number</t>
        </is>
      </c>
      <c r="Z2" s="25" t="inlineStr">
        <is>
          <t>1</t>
        </is>
      </c>
      <c r="AA2" s="25" t="inlineStr">
        <is>
          <t>2</t>
        </is>
      </c>
      <c r="AB2" s="25" t="inlineStr">
        <is>
          <t>3</t>
        </is>
      </c>
      <c r="AC2" s="25" t="inlineStr">
        <is>
          <t>4</t>
        </is>
      </c>
      <c r="AD2" s="25" t="inlineStr">
        <is>
          <t>5</t>
        </is>
      </c>
    </row>
    <row r="3">
      <c r="A3" t="n">
        <v>1</v>
      </c>
      <c r="B3" s="4" t="n">
        <v>46235</v>
      </c>
      <c r="C3" s="5" t="n">
        <v>899.7300000000005</v>
      </c>
      <c r="E3" t="n">
        <v>1</v>
      </c>
      <c r="F3" t="inlineStr">
        <is>
          <t>Baby Care</t>
        </is>
      </c>
      <c r="G3" s="5" t="n">
        <v>146.02</v>
      </c>
      <c r="I3" t="n">
        <v>1</v>
      </c>
      <c r="J3" t="inlineStr">
        <is>
          <t>Walmart</t>
        </is>
      </c>
      <c r="K3" s="5" t="n">
        <v>574.9700000000004</v>
      </c>
      <c r="M3" t="n">
        <v>1</v>
      </c>
      <c r="N3" t="inlineStr">
        <is>
          <t>Baby Care</t>
        </is>
      </c>
      <c r="O3" s="5" t="n">
        <v>146.02</v>
      </c>
      <c r="Q3" t="n">
        <v>1</v>
      </c>
      <c r="R3" t="inlineStr">
        <is>
          <t>Pampers Swaddlers Size 5 Diapers</t>
        </is>
      </c>
      <c r="S3" s="5" t="n">
        <v>79.54000000000001</v>
      </c>
      <c r="U3" t="n">
        <v>1</v>
      </c>
      <c r="V3" t="inlineStr">
        <is>
          <t>Produce</t>
        </is>
      </c>
      <c r="W3" t="n">
        <v>42</v>
      </c>
      <c r="Y3" t="n">
        <v>1</v>
      </c>
      <c r="Z3" s="5" t="n">
        <v>574.9700000000004</v>
      </c>
      <c r="AA3" s="5" t="n">
        <v>145.58</v>
      </c>
      <c r="AB3" s="5" t="n">
        <v>100.82</v>
      </c>
      <c r="AC3" s="5" t="n">
        <v>48.12</v>
      </c>
      <c r="AD3" s="5" t="n">
        <v>30.24</v>
      </c>
    </row>
    <row r="4">
      <c r="E4" t="n">
        <v>2</v>
      </c>
      <c r="F4" t="inlineStr">
        <is>
          <t>Produce</t>
        </is>
      </c>
      <c r="G4" s="5" t="n">
        <v>111.93</v>
      </c>
      <c r="I4" t="n">
        <v>2</v>
      </c>
      <c r="J4" t="inlineStr">
        <is>
          <t>Publix</t>
        </is>
      </c>
      <c r="K4" s="5" t="n">
        <v>145.58</v>
      </c>
      <c r="M4" t="n">
        <v>2</v>
      </c>
      <c r="N4" t="inlineStr">
        <is>
          <t>Produce</t>
        </is>
      </c>
      <c r="O4" s="5" t="n">
        <v>111.93</v>
      </c>
      <c r="Q4" t="n">
        <v>2</v>
      </c>
      <c r="R4" t="inlineStr">
        <is>
          <t>Purina Tidy Cats Clumping Cat Litter</t>
        </is>
      </c>
      <c r="S4" s="5" t="n">
        <v>47.88</v>
      </c>
      <c r="U4" t="n">
        <v>2</v>
      </c>
      <c r="V4" t="inlineStr">
        <is>
          <t>Pantry</t>
        </is>
      </c>
      <c r="W4" t="n">
        <v>23</v>
      </c>
    </row>
    <row r="5">
      <c r="E5" t="n">
        <v>3</v>
      </c>
      <c r="F5" t="inlineStr">
        <is>
          <t>Dairy</t>
        </is>
      </c>
      <c r="G5" s="5" t="n">
        <v>111.26</v>
      </c>
      <c r="I5" t="n">
        <v>3</v>
      </c>
      <c r="J5" t="inlineStr">
        <is>
          <t>Aldi</t>
        </is>
      </c>
      <c r="K5" s="5" t="n">
        <v>100.82</v>
      </c>
      <c r="M5" t="n">
        <v>3</v>
      </c>
      <c r="N5" t="inlineStr">
        <is>
          <t>Dairy</t>
        </is>
      </c>
      <c r="O5" s="5" t="n">
        <v>111.26</v>
      </c>
      <c r="Q5" t="n">
        <v>3</v>
      </c>
      <c r="R5" t="inlineStr">
        <is>
          <t>Driver Tip</t>
        </is>
      </c>
      <c r="S5" s="5" t="n">
        <v>46.78</v>
      </c>
      <c r="U5" t="n">
        <v>3</v>
      </c>
      <c r="V5" t="inlineStr">
        <is>
          <t>Dairy</t>
        </is>
      </c>
      <c r="W5" t="n">
        <v>19</v>
      </c>
    </row>
    <row r="6">
      <c r="E6" t="n">
        <v>4</v>
      </c>
      <c r="F6" t="inlineStr">
        <is>
          <t>Fees</t>
        </is>
      </c>
      <c r="G6" s="5" t="n">
        <v>87.39</v>
      </c>
      <c r="I6" t="n">
        <v>4</v>
      </c>
      <c r="J6" t="inlineStr">
        <is>
          <t>Honey Pineapple</t>
        </is>
      </c>
      <c r="K6" s="5" t="n">
        <v>48.12</v>
      </c>
      <c r="M6" t="n">
        <v>4</v>
      </c>
      <c r="N6" t="inlineStr">
        <is>
          <t>Fees</t>
        </is>
      </c>
      <c r="O6" s="5" t="n">
        <v>87.39</v>
      </c>
      <c r="Q6" t="n">
        <v>4</v>
      </c>
      <c r="R6" t="inlineStr">
        <is>
          <t>Command Heavy Duty Picture Hangers</t>
        </is>
      </c>
      <c r="S6" s="5" t="n">
        <v>28.54</v>
      </c>
      <c r="U6" t="n">
        <v>4</v>
      </c>
      <c r="V6" t="inlineStr">
        <is>
          <t>Fees</t>
        </is>
      </c>
      <c r="W6" t="n">
        <v>14</v>
      </c>
    </row>
    <row r="7">
      <c r="E7" t="n">
        <v>5</v>
      </c>
      <c r="F7" t="inlineStr">
        <is>
          <t>Pantry</t>
        </is>
      </c>
      <c r="G7" s="5" t="n">
        <v>86.17999999999999</v>
      </c>
      <c r="I7" t="n">
        <v>5</v>
      </c>
      <c r="J7" t="inlineStr">
        <is>
          <t>Trader Joe's</t>
        </is>
      </c>
      <c r="K7" s="5" t="n">
        <v>30.24</v>
      </c>
      <c r="M7" t="n">
        <v>5</v>
      </c>
      <c r="N7" t="inlineStr">
        <is>
          <t>Pantry</t>
        </is>
      </c>
      <c r="O7" s="5" t="n">
        <v>86.17999999999999</v>
      </c>
      <c r="Q7" t="n">
        <v>5</v>
      </c>
      <c r="R7" t="inlineStr">
        <is>
          <t>Tax</t>
        </is>
      </c>
      <c r="S7" s="5" t="n">
        <v>24.88</v>
      </c>
      <c r="U7" t="n">
        <v>5</v>
      </c>
      <c r="V7" t="inlineStr">
        <is>
          <t>Baby Care</t>
        </is>
      </c>
      <c r="W7" t="n">
        <v>11</v>
      </c>
    </row>
    <row r="8">
      <c r="E8" t="n">
        <v>6</v>
      </c>
      <c r="F8" t="inlineStr">
        <is>
          <t>Toiletries, Cleaning and Disposables</t>
        </is>
      </c>
      <c r="G8" s="5" t="n">
        <v>56.28</v>
      </c>
      <c r="M8" t="n">
        <v>6</v>
      </c>
      <c r="N8" t="inlineStr">
        <is>
          <t>Toiletries, Cleaning and Disposables</t>
        </is>
      </c>
      <c r="O8" s="5" t="n">
        <v>56.28</v>
      </c>
      <c r="Q8" t="n">
        <v>6</v>
      </c>
      <c r="R8" t="inlineStr">
        <is>
          <t>CeraVe Baby Healing Ointment</t>
        </is>
      </c>
      <c r="S8" s="5" t="n">
        <v>19.96</v>
      </c>
      <c r="U8" t="n">
        <v>6</v>
      </c>
      <c r="V8" t="inlineStr">
        <is>
          <t>Toiletries, Cleaning and Disposables</t>
        </is>
      </c>
      <c r="W8" t="n">
        <v>10</v>
      </c>
    </row>
    <row r="9">
      <c r="E9" t="n">
        <v>7</v>
      </c>
      <c r="F9" t="inlineStr">
        <is>
          <t>Pets</t>
        </is>
      </c>
      <c r="G9" s="5" t="n">
        <v>47.88</v>
      </c>
      <c r="M9" t="n">
        <v>7</v>
      </c>
      <c r="N9" t="inlineStr">
        <is>
          <t>Pets</t>
        </is>
      </c>
      <c r="O9" s="5" t="n">
        <v>47.88</v>
      </c>
      <c r="Q9" t="n">
        <v>7</v>
      </c>
      <c r="R9" t="inlineStr">
        <is>
          <t>Dove Sensitive Skin Body Wash</t>
        </is>
      </c>
      <c r="S9" s="5" t="n">
        <v>19.88</v>
      </c>
      <c r="U9" t="n">
        <v>7</v>
      </c>
      <c r="V9" t="inlineStr">
        <is>
          <t>Condiments &amp; Seasonings</t>
        </is>
      </c>
      <c r="W9" t="n">
        <v>7</v>
      </c>
    </row>
    <row r="10">
      <c r="E10" t="n">
        <v>8</v>
      </c>
      <c r="F10" t="inlineStr">
        <is>
          <t>Prepared Eating</t>
        </is>
      </c>
      <c r="G10" s="5" t="n">
        <v>42.2</v>
      </c>
      <c r="M10" t="n">
        <v>8</v>
      </c>
      <c r="N10" t="inlineStr">
        <is>
          <t>Prepared Eating</t>
        </is>
      </c>
      <c r="O10" s="5" t="n">
        <v>42.2</v>
      </c>
      <c r="Q10" t="n">
        <v>8</v>
      </c>
      <c r="R10" t="inlineStr">
        <is>
          <t>Chobani Protein Greek Yogurt Drink, Strawberries &amp; Cream</t>
        </is>
      </c>
      <c r="S10" s="5" t="n">
        <v>19.34</v>
      </c>
      <c r="U10" t="n">
        <v>8</v>
      </c>
      <c r="V10" t="inlineStr">
        <is>
          <t>Meat</t>
        </is>
      </c>
      <c r="W10" t="n">
        <v>5</v>
      </c>
    </row>
    <row r="11">
      <c r="E11" t="n">
        <v>9</v>
      </c>
      <c r="F11" t="inlineStr">
        <is>
          <t>Meat</t>
        </is>
      </c>
      <c r="G11" s="5" t="n">
        <v>37.96</v>
      </c>
      <c r="M11" t="n">
        <v>9</v>
      </c>
      <c r="N11" t="inlineStr">
        <is>
          <t>Meat</t>
        </is>
      </c>
      <c r="O11" s="5" t="n">
        <v>37.96</v>
      </c>
      <c r="Q11" t="n">
        <v>9</v>
      </c>
      <c r="R11" t="inlineStr">
        <is>
          <t>Silk Organic Unsweet Soymilk, Half Gallon</t>
        </is>
      </c>
      <c r="S11" s="5" t="n">
        <v>18.57</v>
      </c>
      <c r="U11" t="n">
        <v>9</v>
      </c>
      <c r="V11" t="inlineStr">
        <is>
          <t>Bakery</t>
        </is>
      </c>
      <c r="W11" t="n">
        <v>4</v>
      </c>
    </row>
    <row r="12">
      <c r="E12" t="n">
        <v>10</v>
      </c>
      <c r="F12" t="inlineStr">
        <is>
          <t>Home Improvement</t>
        </is>
      </c>
      <c r="G12" s="5" t="n">
        <v>28.54</v>
      </c>
      <c r="M12" t="n">
        <v>10</v>
      </c>
      <c r="N12" t="inlineStr">
        <is>
          <t>Home Improvement</t>
        </is>
      </c>
      <c r="O12" s="5" t="n">
        <v>28.54</v>
      </c>
      <c r="Q12" t="n">
        <v>10</v>
      </c>
      <c r="R12" t="inlineStr">
        <is>
          <t>Nestle Toll House Allergen-Free Dark Chocolate Baking Chips</t>
        </is>
      </c>
      <c r="S12" s="5" t="n">
        <v>16.74</v>
      </c>
      <c r="U12" t="n">
        <v>10</v>
      </c>
      <c r="V12" t="inlineStr">
        <is>
          <t>Dessert</t>
        </is>
      </c>
      <c r="W12" t="n">
        <v>4</v>
      </c>
    </row>
    <row r="13">
      <c r="E13" t="n">
        <v>11</v>
      </c>
      <c r="F13" t="inlineStr">
        <is>
          <t>Dessert</t>
        </is>
      </c>
      <c r="G13" s="5" t="n">
        <v>25.48</v>
      </c>
      <c r="M13" t="n">
        <v>11</v>
      </c>
      <c r="N13" t="inlineStr">
        <is>
          <t>Dessert</t>
        </is>
      </c>
      <c r="O13" s="5" t="n">
        <v>25.48</v>
      </c>
      <c r="U13" t="n">
        <v>11</v>
      </c>
      <c r="V13" t="inlineStr">
        <is>
          <t>Prepared Eating</t>
        </is>
      </c>
      <c r="W13" t="n">
        <v>4</v>
      </c>
    </row>
    <row r="14">
      <c r="E14" t="n">
        <v>12</v>
      </c>
      <c r="F14" t="inlineStr">
        <is>
          <t>Condiments &amp; Seasonings</t>
        </is>
      </c>
      <c r="G14" s="5" t="n">
        <v>24.83</v>
      </c>
      <c r="M14" t="n">
        <v>12</v>
      </c>
      <c r="N14" t="inlineStr">
        <is>
          <t>Condiments &amp; Seasonings</t>
        </is>
      </c>
      <c r="O14" s="5" t="n">
        <v>24.83</v>
      </c>
      <c r="U14" t="n">
        <v>12</v>
      </c>
      <c r="V14" t="inlineStr">
        <is>
          <t>Eggs</t>
        </is>
      </c>
      <c r="W14" t="n">
        <v>2</v>
      </c>
    </row>
    <row r="15">
      <c r="E15" t="n">
        <v>13</v>
      </c>
      <c r="F15" t="inlineStr">
        <is>
          <t>Bakery</t>
        </is>
      </c>
      <c r="G15" s="5" t="n">
        <v>22.13</v>
      </c>
      <c r="M15" t="n">
        <v>13</v>
      </c>
      <c r="N15" t="inlineStr">
        <is>
          <t>Bakery</t>
        </is>
      </c>
      <c r="O15" s="5" t="n">
        <v>22.13</v>
      </c>
      <c r="U15" t="n">
        <v>13</v>
      </c>
      <c r="V15" t="inlineStr">
        <is>
          <t>Frozen</t>
        </is>
      </c>
      <c r="W15" t="n">
        <v>2</v>
      </c>
    </row>
    <row r="16">
      <c r="E16" t="n">
        <v>14</v>
      </c>
      <c r="F16" t="inlineStr">
        <is>
          <t>Fish</t>
        </is>
      </c>
      <c r="G16" s="5" t="n">
        <v>14.29</v>
      </c>
      <c r="M16" t="n">
        <v>14</v>
      </c>
      <c r="N16" t="inlineStr">
        <is>
          <t>Fish</t>
        </is>
      </c>
      <c r="O16" s="5" t="n">
        <v>14.29</v>
      </c>
      <c r="U16" t="n">
        <v>14</v>
      </c>
      <c r="V16" t="inlineStr">
        <is>
          <t>Frozen Food</t>
        </is>
      </c>
      <c r="W16" t="n">
        <v>2</v>
      </c>
    </row>
    <row r="17">
      <c r="E17" t="n">
        <v>15</v>
      </c>
      <c r="F17" t="inlineStr">
        <is>
          <t>Self Care</t>
        </is>
      </c>
      <c r="G17" s="5" t="n">
        <v>13.92</v>
      </c>
      <c r="M17" t="n">
        <v>15</v>
      </c>
      <c r="N17" t="inlineStr">
        <is>
          <t>Self Care</t>
        </is>
      </c>
      <c r="O17" s="5" t="n">
        <v>13.92</v>
      </c>
      <c r="U17" t="n">
        <v>15</v>
      </c>
      <c r="V17" t="inlineStr">
        <is>
          <t>Pets</t>
        </is>
      </c>
      <c r="W17" t="n">
        <v>2</v>
      </c>
    </row>
    <row r="18">
      <c r="E18" t="n">
        <v>16</v>
      </c>
      <c r="F18" t="inlineStr">
        <is>
          <t>Eggs</t>
        </is>
      </c>
      <c r="G18" s="5" t="n">
        <v>9.76</v>
      </c>
      <c r="M18" t="n">
        <v>16</v>
      </c>
      <c r="N18" t="inlineStr">
        <is>
          <t>Eggs</t>
        </is>
      </c>
      <c r="O18" s="5" t="n">
        <v>9.76</v>
      </c>
      <c r="U18" t="n">
        <v>16</v>
      </c>
      <c r="V18" t="inlineStr">
        <is>
          <t>Self Care</t>
        </is>
      </c>
      <c r="W18" t="n">
        <v>2</v>
      </c>
    </row>
    <row r="19">
      <c r="E19" t="n">
        <v>17</v>
      </c>
      <c r="F19" t="inlineStr">
        <is>
          <t>Frozen Food</t>
        </is>
      </c>
      <c r="G19" s="5" t="n">
        <v>9.559999999999999</v>
      </c>
      <c r="M19" t="n">
        <v>17</v>
      </c>
      <c r="N19" t="inlineStr">
        <is>
          <t>Frozen Food</t>
        </is>
      </c>
      <c r="O19" s="5" t="n">
        <v>9.559999999999999</v>
      </c>
      <c r="U19" t="n">
        <v>17</v>
      </c>
      <c r="V19" t="inlineStr">
        <is>
          <t>Fish</t>
        </is>
      </c>
      <c r="W19" t="n">
        <v>1</v>
      </c>
    </row>
    <row r="20">
      <c r="E20" t="n">
        <v>18</v>
      </c>
      <c r="F20" t="inlineStr">
        <is>
          <t>Frozen</t>
        </is>
      </c>
      <c r="G20" s="5" t="n">
        <v>7.78</v>
      </c>
      <c r="M20" t="n">
        <v>18</v>
      </c>
      <c r="N20" t="inlineStr">
        <is>
          <t>Frozen</t>
        </is>
      </c>
      <c r="O20" s="5" t="n">
        <v>7.78</v>
      </c>
      <c r="U20" t="n">
        <v>18</v>
      </c>
      <c r="V20" t="inlineStr">
        <is>
          <t>Home Improvement</t>
        </is>
      </c>
      <c r="W20" t="n">
        <v>1</v>
      </c>
    </row>
    <row r="21">
      <c r="E21" t="n">
        <v>19</v>
      </c>
      <c r="F21" t="inlineStr">
        <is>
          <t>Wine</t>
        </is>
      </c>
      <c r="G21" s="5" t="n">
        <v>7.19</v>
      </c>
      <c r="M21" t="n">
        <v>19</v>
      </c>
      <c r="N21" t="inlineStr">
        <is>
          <t>Wine</t>
        </is>
      </c>
      <c r="O21" s="5" t="n">
        <v>7.19</v>
      </c>
      <c r="U21" t="n">
        <v>19</v>
      </c>
      <c r="V21" t="inlineStr">
        <is>
          <t>Office Supplies</t>
        </is>
      </c>
      <c r="W21" t="n">
        <v>1</v>
      </c>
    </row>
    <row r="22">
      <c r="E22" t="n">
        <v>20</v>
      </c>
      <c r="F22" t="inlineStr">
        <is>
          <t>Office Supplies</t>
        </is>
      </c>
      <c r="G22" s="5" t="n">
        <v>5.99</v>
      </c>
      <c r="M22" t="n">
        <v>20</v>
      </c>
      <c r="N22" t="inlineStr">
        <is>
          <t>Office Supplies</t>
        </is>
      </c>
      <c r="O22" s="5" t="n">
        <v>5.99</v>
      </c>
      <c r="U22" t="n">
        <v>20</v>
      </c>
      <c r="V22" t="inlineStr">
        <is>
          <t>Torah</t>
        </is>
      </c>
      <c r="W22" t="n">
        <v>1</v>
      </c>
    </row>
    <row r="23">
      <c r="E23" t="n">
        <v>21</v>
      </c>
      <c r="F23" t="inlineStr">
        <is>
          <t>Torah</t>
        </is>
      </c>
      <c r="G23" s="5" t="n">
        <v>3.16</v>
      </c>
      <c r="M23" t="n">
        <v>21</v>
      </c>
      <c r="N23" t="inlineStr">
        <is>
          <t>Torah</t>
        </is>
      </c>
      <c r="O23" s="5" t="n">
        <v>3.16</v>
      </c>
      <c r="U23" t="n">
        <v>21</v>
      </c>
      <c r="V23" t="inlineStr">
        <is>
          <t>Wine</t>
        </is>
      </c>
      <c r="W2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2" customWidth="1" style="64" min="1" max="1"/>
    <col width="16" customWidth="1" style="64" min="2" max="3"/>
    <col width="22" customWidth="1" style="64" min="4" max="4"/>
  </cols>
  <sheetData>
    <row r="1">
      <c r="A1" s="25" t="inlineStr">
        <is>
          <t>Source OCR JSON</t>
        </is>
      </c>
      <c r="B1" s="25" t="inlineStr">
        <is>
          <t>Store Number</t>
        </is>
      </c>
      <c r="C1" s="25" t="inlineStr">
        <is>
          <t>Receipt Date</t>
        </is>
      </c>
      <c r="D1" s="25" t="inlineStr">
        <is>
          <t>Imported Timestamp</t>
        </is>
      </c>
    </row>
    <row r="2">
      <c r="A2" t="inlineStr">
        <is>
          <t>IMG_0250_raw_ocr.json</t>
        </is>
      </c>
      <c r="B2" t="inlineStr">
        <is>
          <t>1058</t>
        </is>
      </c>
      <c r="C2" s="2" t="n">
        <v>46259</v>
      </c>
      <c r="D2" s="3" t="n">
        <v>46260.7532078588</v>
      </c>
    </row>
    <row r="3">
      <c r="A3" t="inlineStr">
        <is>
          <t>IMG_0251_raw_ocr.json</t>
        </is>
      </c>
      <c r="B3" t="inlineStr">
        <is>
          <t>160</t>
        </is>
      </c>
      <c r="C3" s="2" t="n">
        <v>46257</v>
      </c>
      <c r="D3" s="3" t="n">
        <v>46260.87320475694</v>
      </c>
    </row>
    <row r="4">
      <c r="A4" t="inlineStr">
        <is>
          <t>IMG_0255_raw_ocr.json</t>
        </is>
      </c>
      <c r="B4" t="inlineStr">
        <is>
          <t>0848</t>
        </is>
      </c>
      <c r="C4" s="2" t="n">
        <v>46258</v>
      </c>
      <c r="D4" s="3" t="n">
        <v>46261.50935446759</v>
      </c>
    </row>
    <row r="5">
      <c r="A5" t="inlineStr">
        <is>
          <t>IMG_0257_raw_ocr.json</t>
        </is>
      </c>
      <c r="B5" t="inlineStr">
        <is>
          <t>NA</t>
        </is>
      </c>
      <c r="C5" s="2" t="n">
        <v>46261</v>
      </c>
      <c r="D5" s="3" t="n">
        <v>46261.69623483796</v>
      </c>
    </row>
    <row r="6">
      <c r="A6" t="inlineStr">
        <is>
          <t>walmart_aug_6_raw_ocr.json</t>
        </is>
      </c>
      <c r="B6" t="inlineStr">
        <is>
          <t>0</t>
        </is>
      </c>
      <c r="C6" s="2" t="n">
        <v>46240</v>
      </c>
      <c r="D6" s="3" t="n">
        <v>46261.87458537037</v>
      </c>
    </row>
    <row r="7">
      <c r="A7" t="inlineStr">
        <is>
          <t>080726_Walmart_0_raw_ocr.json</t>
        </is>
      </c>
      <c r="B7" t="inlineStr">
        <is>
          <t>0</t>
        </is>
      </c>
      <c r="C7" s="2" t="n">
        <v>46241</v>
      </c>
      <c r="D7" s="3" t="n">
        <v>46262.59873947917</v>
      </c>
    </row>
    <row r="8">
      <c r="A8" t="inlineStr">
        <is>
          <t>081326_Walmart_0_raw_ocr.json</t>
        </is>
      </c>
      <c r="B8" t="inlineStr">
        <is>
          <t>0</t>
        </is>
      </c>
      <c r="C8" s="2" t="n">
        <v>46247</v>
      </c>
      <c r="D8" s="3" t="n">
        <v>46262.65887388889</v>
      </c>
    </row>
    <row r="9">
      <c r="A9" t="inlineStr">
        <is>
          <t>081326_Walmart_0_B_raw_ocr.json</t>
        </is>
      </c>
      <c r="B9" t="inlineStr">
        <is>
          <t>0</t>
        </is>
      </c>
      <c r="C9" s="2" t="n">
        <v>46247</v>
      </c>
      <c r="D9" s="3" t="n">
        <v>46262.66004274305</v>
      </c>
    </row>
    <row r="10">
      <c r="A10" t="inlineStr">
        <is>
          <t>082626_Walmart_0_raw_ocr.json</t>
        </is>
      </c>
      <c r="B10" t="inlineStr">
        <is>
          <t>0</t>
        </is>
      </c>
      <c r="C10" s="2" t="n">
        <v>46260</v>
      </c>
      <c r="D10" s="3" t="n">
        <v>46262.676458125</v>
      </c>
    </row>
    <row r="11">
      <c r="A11" t="inlineStr">
        <is>
          <t>082826_Publix_120_raw_ocr.json</t>
        </is>
      </c>
      <c r="B11" t="inlineStr">
        <is>
          <t>120</t>
        </is>
      </c>
      <c r="C11" s="2" t="n">
        <v>46262</v>
      </c>
      <c r="D11" s="3" t="n">
        <v>46262.70075863426</v>
      </c>
    </row>
    <row r="12">
      <c r="A12" t="inlineStr">
        <is>
          <t>083026_ALDI_238_raw_ocr.json</t>
        </is>
      </c>
      <c r="B12" t="inlineStr">
        <is>
          <t>238</t>
        </is>
      </c>
      <c r="C12" s="2" t="n">
        <v>46264</v>
      </c>
      <c r="D12" s="3" t="n">
        <v>46264.69158432871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:F33"/>
  <sheetViews>
    <sheetView tabSelected="1" workbookViewId="0">
      <selection activeCell="F44" sqref="F44"/>
    </sheetView>
  </sheetViews>
  <sheetFormatPr baseColWidth="10" defaultRowHeight="15"/>
  <cols>
    <col width="19.33203125" bestFit="1" customWidth="1" style="64" min="3" max="3"/>
    <col width="45.33203125" customWidth="1" style="64" min="4" max="4"/>
    <col width="38.5" customWidth="1" style="64" min="5" max="5"/>
    <col width="34.83203125" customWidth="1" style="64" min="6" max="6"/>
    <col width="54.1640625" customWidth="1" style="64" min="7" max="7"/>
  </cols>
  <sheetData>
    <row r="5">
      <c r="A5" s="26" t="inlineStr">
        <is>
          <t>Excel Row</t>
        </is>
      </c>
      <c r="B5" s="26" t="inlineStr">
        <is>
          <t>Store</t>
        </is>
      </c>
      <c r="C5" s="26" t="inlineStr">
        <is>
          <t>Product</t>
        </is>
      </c>
      <c r="D5" s="26" t="inlineStr">
        <is>
          <t>New Common Name</t>
        </is>
      </c>
      <c r="E5" s="26" t="inlineStr">
        <is>
          <t>New Sub-Category</t>
        </is>
      </c>
      <c r="F5" s="26" t="inlineStr">
        <is>
          <t>Reason</t>
        </is>
      </c>
    </row>
    <row r="6" ht="16" customHeight="1" s="64">
      <c r="A6" t="n">
        <v>125</v>
      </c>
      <c r="B6" t="inlineStr">
        <is>
          <t>Aldi</t>
        </is>
      </c>
      <c r="C6" t="inlineStr">
        <is>
          <t>Sweet Potatoes</t>
        </is>
      </c>
      <c r="D6" t="inlineStr">
        <is>
          <t>Sweet Potatoes</t>
        </is>
      </c>
      <c r="E6" t="inlineStr">
        <is>
          <t>Fresh Vegetables</t>
        </is>
      </c>
      <c r="F6" t="inlineStr">
        <is>
          <t>Aligns with ShopGraph's established granular treatment of fresh vegetables rather than broad Produce.</t>
        </is>
      </c>
    </row>
    <row r="7">
      <c r="A7" t="n">
        <v>126</v>
      </c>
      <c r="B7" t="inlineStr">
        <is>
          <t>Aldi</t>
        </is>
      </c>
      <c r="C7" t="inlineStr">
        <is>
          <t>Grape Tomatoes</t>
        </is>
      </c>
      <c r="D7" t="inlineStr">
        <is>
          <t>Grape Tomatoes</t>
        </is>
      </c>
      <c r="E7" t="inlineStr">
        <is>
          <t>Fresh Vegetables</t>
        </is>
      </c>
      <c r="F7" t="inlineStr">
        <is>
          <t>Tomatoes elsewhere are treated as Fresh Vegetables.</t>
        </is>
      </c>
    </row>
    <row r="8">
      <c r="A8" t="n">
        <v>127</v>
      </c>
      <c r="B8" t="inlineStr">
        <is>
          <t>Aldi</t>
        </is>
      </c>
      <c r="C8" t="inlineStr">
        <is>
          <t>Assort beans</t>
        </is>
      </c>
      <c r="D8" t="inlineStr">
        <is>
          <t>Assorted Beans</t>
        </is>
      </c>
      <c r="E8" t="inlineStr">
        <is>
          <t>Canned Beans &amp; Legumes</t>
        </is>
      </c>
      <c r="F8" t="inlineStr">
        <is>
          <t>Aldi's existing chickpeas and kidney beans establish this category for canned beans.</t>
        </is>
      </c>
    </row>
    <row r="9">
      <c r="A9" t="n">
        <v>128</v>
      </c>
      <c r="B9" t="inlineStr">
        <is>
          <t>Aldi</t>
        </is>
      </c>
      <c r="C9" t="inlineStr">
        <is>
          <t>Dark Red Kidney</t>
        </is>
      </c>
      <c r="D9" t="inlineStr">
        <is>
          <t>Dark Red Kidney Beans</t>
        </is>
      </c>
      <c r="E9" t="inlineStr">
        <is>
          <t>Canned Beans &amp; Legumes</t>
        </is>
      </c>
      <c r="F9" t="inlineStr">
        <is>
          <t>Existing classification is already specific and appropriate.</t>
        </is>
      </c>
    </row>
    <row r="10">
      <c r="A10" t="n">
        <v>129</v>
      </c>
      <c r="B10" t="inlineStr">
        <is>
          <t>Aldi</t>
        </is>
      </c>
      <c r="C10" t="inlineStr">
        <is>
          <t>Dice Tom w/GrnChl</t>
        </is>
      </c>
      <c r="D10" t="inlineStr">
        <is>
          <t>Diced Tomatoes with Green Chiles</t>
        </is>
      </c>
      <c r="E10" t="inlineStr">
        <is>
          <t>Canned Tomatoes</t>
        </is>
      </c>
      <c r="F10" t="inlineStr">
        <is>
          <t>A distinct canned tomato product; merits a reusable canned-tomato Sub-Category.</t>
        </is>
      </c>
    </row>
    <row r="11">
      <c r="A11" t="n">
        <v>130</v>
      </c>
      <c r="B11" t="inlineStr">
        <is>
          <t>Aldi</t>
        </is>
      </c>
      <c r="C11" t="inlineStr">
        <is>
          <t>Mandarins</t>
        </is>
      </c>
      <c r="D11" t="inlineStr">
        <is>
          <t>Mandarin Oranges</t>
        </is>
      </c>
      <c r="E11" t="inlineStr">
        <is>
          <t>Fresh Fruit</t>
        </is>
      </c>
      <c r="F11" t="inlineStr">
        <is>
          <t>Matches existing treatment of mandarins as Fresh Fruit.</t>
        </is>
      </c>
    </row>
    <row r="12">
      <c r="A12" t="n">
        <v>131</v>
      </c>
      <c r="B12" t="inlineStr">
        <is>
          <t>Aldi</t>
        </is>
      </c>
      <c r="C12" t="inlineStr">
        <is>
          <t>Olive Oil Spray</t>
        </is>
      </c>
      <c r="D12" t="inlineStr">
        <is>
          <t>Olive Oil Cooking Spray</t>
        </is>
      </c>
      <c r="E12" t="inlineStr">
        <is>
          <t>Cooking Oils &amp; Sprays</t>
        </is>
      </c>
      <c r="F12" t="inlineStr">
        <is>
          <t>Creates an analytically useful category shared with cooking oils/sprays.</t>
        </is>
      </c>
    </row>
    <row r="13" ht="16" customHeight="1" s="64">
      <c r="A13" t="n">
        <v>132</v>
      </c>
      <c r="B13" t="inlineStr">
        <is>
          <t>Aldi</t>
        </is>
      </c>
      <c r="C13" t="inlineStr">
        <is>
          <t>Flat Leaf Spinach</t>
        </is>
      </c>
      <c r="D13" t="inlineStr">
        <is>
          <t>Flat Leaf Spinach</t>
        </is>
      </c>
      <c r="E13" t="inlineStr">
        <is>
          <t>Fresh Vegetables</t>
        </is>
      </c>
      <c r="F13" t="inlineStr">
        <is>
          <t>Fresh spinach fits the established Fresh Vegetables taxonomy better than Produce.</t>
        </is>
      </c>
    </row>
    <row r="14">
      <c r="A14" t="n">
        <v>133</v>
      </c>
      <c r="B14" t="inlineStr">
        <is>
          <t>Aldi</t>
        </is>
      </c>
      <c r="C14" t="inlineStr">
        <is>
          <t>Chiquita Maduros</t>
        </is>
      </c>
      <c r="D14" t="inlineStr">
        <is>
          <t>Chiquita Maduros Sweet Plantains</t>
        </is>
      </c>
      <c r="E14" t="inlineStr">
        <is>
          <t>Frozen Plantains</t>
        </is>
      </c>
      <c r="F14" t="inlineStr">
        <is>
          <t>Identifies the prepared plantain product distinctly.</t>
        </is>
      </c>
    </row>
    <row r="15">
      <c r="A15" t="n">
        <v>134</v>
      </c>
      <c r="B15" t="inlineStr">
        <is>
          <t>Aldi</t>
        </is>
      </c>
      <c r="C15" t="inlineStr">
        <is>
          <t>Organic Peas/Corn</t>
        </is>
      </c>
      <c r="D15" t="inlineStr">
        <is>
          <t>Organic Peas &amp; Corn</t>
        </is>
      </c>
      <c r="E15" t="inlineStr">
        <is>
          <t>Frozen Vegetables</t>
        </is>
      </c>
      <c r="F15" t="inlineStr">
        <is>
          <t>Matches the existing Frozen Vegetables taxonomy.</t>
        </is>
      </c>
    </row>
    <row r="16">
      <c r="A16" t="n">
        <v>135</v>
      </c>
      <c r="B16" t="inlineStr">
        <is>
          <t>Aldi</t>
        </is>
      </c>
      <c r="C16" t="inlineStr">
        <is>
          <t>Red Potatoes</t>
        </is>
      </c>
      <c r="D16" t="inlineStr">
        <is>
          <t>Red Potatoes</t>
        </is>
      </c>
      <c r="E16" t="inlineStr">
        <is>
          <t>Fresh Vegetables</t>
        </is>
      </c>
      <c r="F16" t="inlineStr">
        <is>
          <t>Existing potato products are treated as Fresh Vegetables.</t>
        </is>
      </c>
    </row>
    <row r="17" ht="16" customHeight="1" s="64">
      <c r="A17" t="n">
        <v>136</v>
      </c>
      <c r="B17" t="inlineStr">
        <is>
          <t>Aldi</t>
        </is>
      </c>
      <c r="C17" t="inlineStr">
        <is>
          <t>Whipped Crm Cheese</t>
        </is>
      </c>
      <c r="D17" t="inlineStr">
        <is>
          <t>Whipped Cream Cheese</t>
        </is>
      </c>
      <c r="E17" t="inlineStr">
        <is>
          <t>Cream Cheese</t>
        </is>
      </c>
      <c r="F17" t="inlineStr">
        <is>
          <t>More analytically useful than the broad Dairy; establishes a reusable product-type category.</t>
        </is>
      </c>
    </row>
    <row r="18" ht="16" customHeight="1" s="64">
      <c r="A18" t="n">
        <v>137</v>
      </c>
      <c r="B18" t="inlineStr">
        <is>
          <t>Aldi</t>
        </is>
      </c>
      <c r="C18" t="inlineStr">
        <is>
          <t>Deli Sliced Cheese</t>
        </is>
      </c>
      <c r="D18" t="inlineStr">
        <is>
          <t>Deli Sliced Cheese</t>
        </is>
      </c>
      <c r="E18" t="inlineStr">
        <is>
          <t>Cheese</t>
        </is>
      </c>
      <c r="F18" t="inlineStr">
        <is>
          <t>Matches the existing general Cheese category better than broad Dairy.</t>
        </is>
      </c>
    </row>
    <row r="19" ht="16" customHeight="1" s="64">
      <c r="A19" t="n">
        <v>138</v>
      </c>
      <c r="B19" t="inlineStr">
        <is>
          <t>Aldi</t>
        </is>
      </c>
      <c r="C19" t="inlineStr">
        <is>
          <t>HiFiber Tortilla</t>
        </is>
      </c>
      <c r="D19" t="inlineStr">
        <is>
          <t>High-Fiber Tortillas</t>
        </is>
      </c>
      <c r="E19" t="inlineStr">
        <is>
          <t>Tortillas</t>
        </is>
      </c>
      <c r="F19" t="inlineStr">
        <is>
          <t>More specific and reusable than broad Bakery.</t>
        </is>
      </c>
    </row>
    <row r="20">
      <c r="A20" t="n">
        <v>139</v>
      </c>
      <c r="B20" t="inlineStr">
        <is>
          <t>Aldi</t>
        </is>
      </c>
      <c r="C20" t="inlineStr">
        <is>
          <t>Strawberries</t>
        </is>
      </c>
      <c r="D20" t="inlineStr">
        <is>
          <t>Strawberries</t>
        </is>
      </c>
      <c r="E20" t="inlineStr">
        <is>
          <t>Fresh Fruit</t>
        </is>
      </c>
      <c r="F20" t="inlineStr">
        <is>
          <t>Existing strawberries are Fresh Fruit.</t>
        </is>
      </c>
    </row>
    <row r="21">
      <c r="A21" t="n">
        <v>140</v>
      </c>
      <c r="B21" t="inlineStr">
        <is>
          <t>Aldi</t>
        </is>
      </c>
      <c r="C21" t="inlineStr">
        <is>
          <t>Mini Cucumbers</t>
        </is>
      </c>
      <c r="D21" t="inlineStr">
        <is>
          <t>Mini Cucumbers</t>
        </is>
      </c>
      <c r="E21" t="inlineStr">
        <is>
          <t>Fresh Vegetables</t>
        </is>
      </c>
      <c r="F21" t="inlineStr">
        <is>
          <t>Exact Common Name/Sub-Category precedent already exists.</t>
        </is>
      </c>
    </row>
    <row r="22">
      <c r="A22" t="n">
        <v>141</v>
      </c>
      <c r="B22" t="inlineStr">
        <is>
          <t>Aldi</t>
        </is>
      </c>
      <c r="C22" t="inlineStr">
        <is>
          <t>Canola Oil</t>
        </is>
      </c>
      <c r="D22" t="inlineStr">
        <is>
          <t>Canola Oil</t>
        </is>
      </c>
      <c r="E22" t="inlineStr">
        <is>
          <t>Cooking Oils &amp; Sprays</t>
        </is>
      </c>
      <c r="F22" t="inlineStr">
        <is>
          <t>Shares a natural analytical category with olive oil cooking spray.</t>
        </is>
      </c>
    </row>
    <row r="23">
      <c r="A23" t="n">
        <v>142</v>
      </c>
      <c r="B23" t="inlineStr">
        <is>
          <t>Aldi</t>
        </is>
      </c>
      <c r="C23" t="inlineStr">
        <is>
          <t>White Corn Meal</t>
        </is>
      </c>
      <c r="D23" t="inlineStr">
        <is>
          <t>White Cornmeal</t>
        </is>
      </c>
      <c r="E23" t="inlineStr">
        <is>
          <t>Baking Ingredients</t>
        </is>
      </c>
      <c r="F23" t="inlineStr">
        <is>
          <t>Fits the established Baking Ingredients category.</t>
        </is>
      </c>
    </row>
    <row r="24">
      <c r="A24" t="n">
        <v>143</v>
      </c>
      <c r="B24" t="inlineStr">
        <is>
          <t>Aldi</t>
        </is>
      </c>
      <c r="C24" t="inlineStr">
        <is>
          <t>Crustless PB&amp;J</t>
        </is>
      </c>
      <c r="D24" t="inlineStr">
        <is>
          <t>Crustless Peanut Butter &amp; Jelly Sandwiches</t>
        </is>
      </c>
      <c r="E24" t="inlineStr">
        <is>
          <t>Frozen Sandwiches</t>
        </is>
      </c>
      <c r="F24" t="inlineStr">
        <is>
          <t>Distinct prepared frozen sandwich product.</t>
        </is>
      </c>
    </row>
    <row r="25">
      <c r="A25" t="n">
        <v>144</v>
      </c>
      <c r="B25" t="inlineStr">
        <is>
          <t>Aldi</t>
        </is>
      </c>
      <c r="C25" t="inlineStr">
        <is>
          <t>Cauli Crust Pizza</t>
        </is>
      </c>
      <c r="D25" t="inlineStr">
        <is>
          <t>Cauliflower Crust Pizza</t>
        </is>
      </c>
      <c r="E25" t="inlineStr">
        <is>
          <t>Frozen Pizza</t>
        </is>
      </c>
      <c r="F25" t="inlineStr">
        <is>
          <t>Exact Aldi precedent already exists.</t>
        </is>
      </c>
    </row>
    <row r="26" ht="16" customHeight="1" s="64">
      <c r="A26" t="n">
        <v>145</v>
      </c>
      <c r="B26" t="inlineStr">
        <is>
          <t>Aldi</t>
        </is>
      </c>
      <c r="C26" t="inlineStr">
        <is>
          <t>Avocados</t>
        </is>
      </c>
      <c r="D26" t="inlineStr">
        <is>
          <t>Avocados</t>
        </is>
      </c>
      <c r="E26" t="inlineStr">
        <is>
          <t>Fresh Fruit</t>
        </is>
      </c>
      <c r="F26" t="inlineStr">
        <is>
          <t>Uses the established food-type taxonomy rather than broad Produce.</t>
        </is>
      </c>
    </row>
    <row r="27">
      <c r="A27" t="n">
        <v>146</v>
      </c>
      <c r="B27" t="inlineStr">
        <is>
          <t>Aldi</t>
        </is>
      </c>
      <c r="C27" t="inlineStr">
        <is>
          <t>Wht Corn Tortillas</t>
        </is>
      </c>
      <c r="D27" t="inlineStr">
        <is>
          <t>White Corn Tortillas</t>
        </is>
      </c>
      <c r="E27" t="inlineStr">
        <is>
          <t>Tortillas</t>
        </is>
      </c>
      <c r="F27" t="inlineStr">
        <is>
          <t>Same product family as the high-fiber tortillas.</t>
        </is>
      </c>
    </row>
    <row r="28" ht="16" customHeight="1" s="64">
      <c r="A28" t="n">
        <v>147</v>
      </c>
      <c r="B28" t="inlineStr">
        <is>
          <t>Aldi</t>
        </is>
      </c>
      <c r="C28" t="inlineStr">
        <is>
          <t>Org Baby Carrots</t>
        </is>
      </c>
      <c r="D28" t="inlineStr">
        <is>
          <t>Organic Baby Carrots</t>
        </is>
      </c>
      <c r="E28" t="inlineStr">
        <is>
          <t>Fresh Vegetables</t>
        </is>
      </c>
      <c r="F28" t="inlineStr">
        <is>
          <t>The product is fresh carrots; Baby incorrectly describes “baby carrots” as a baby-product domain.</t>
        </is>
      </c>
    </row>
    <row r="29">
      <c r="A29" t="n">
        <v>148</v>
      </c>
      <c r="B29" t="inlineStr">
        <is>
          <t>Aldi</t>
        </is>
      </c>
      <c r="C29" t="inlineStr">
        <is>
          <t>Bagged Avocados</t>
        </is>
      </c>
      <c r="D29" t="inlineStr">
        <is>
          <t>Bagged Avocados</t>
        </is>
      </c>
      <c r="E29" t="inlineStr">
        <is>
          <t>Fresh Fruit</t>
        </is>
      </c>
      <c r="F29" t="inlineStr">
        <is>
          <t>Same underlying product type as avocados.</t>
        </is>
      </c>
    </row>
    <row r="30">
      <c r="A30" t="n">
        <v>149</v>
      </c>
      <c r="B30" t="inlineStr">
        <is>
          <t>Aldi</t>
        </is>
      </c>
      <c r="C30" t="inlineStr">
        <is>
          <t>Blueberries</t>
        </is>
      </c>
      <c r="D30" t="inlineStr">
        <is>
          <t>Blueberries</t>
        </is>
      </c>
      <c r="E30" t="inlineStr">
        <is>
          <t>Fresh Fruit</t>
        </is>
      </c>
      <c r="F30" t="inlineStr">
        <is>
          <t>Exact existing Aldi classification.</t>
        </is>
      </c>
    </row>
    <row r="31">
      <c r="A31" t="n">
        <v>150</v>
      </c>
      <c r="B31" t="inlineStr">
        <is>
          <t>Aldi</t>
        </is>
      </c>
      <c r="C31" t="inlineStr">
        <is>
          <t>Cosmic Brewnies</t>
        </is>
      </c>
      <c r="D31" t="inlineStr">
        <is>
          <t>Cosmic Brownies</t>
        </is>
      </c>
      <c r="E31" t="inlineStr">
        <is>
          <t>Snack Cakes</t>
        </is>
      </c>
      <c r="F31" t="inlineStr">
        <is>
          <t>Packaged ready-to-eat brownie snack rather than a baking ingredient.</t>
        </is>
      </c>
    </row>
    <row r="32">
      <c r="A32" t="n">
        <v>151</v>
      </c>
      <c r="B32" t="inlineStr">
        <is>
          <t>Aldi</t>
        </is>
      </c>
      <c r="C32" t="inlineStr">
        <is>
          <t>Large Eggs</t>
        </is>
      </c>
      <c r="D32" t="inlineStr">
        <is>
          <t>Large Eggs</t>
        </is>
      </c>
      <c r="E32" t="inlineStr">
        <is>
          <t>Eggs</t>
        </is>
      </c>
      <c r="F32" t="inlineStr">
        <is>
          <t>Existing ShopGraph category already established.</t>
        </is>
      </c>
    </row>
    <row r="33">
      <c r="A33" t="n">
        <v>152</v>
      </c>
      <c r="B33" t="inlineStr">
        <is>
          <t>Aldi</t>
        </is>
      </c>
      <c r="C33" t="inlineStr">
        <is>
          <t>4 lb. Sugar</t>
        </is>
      </c>
      <c r="D33" t="inlineStr">
        <is>
          <t>Granulated Sugar, 4 lb</t>
        </is>
      </c>
      <c r="E33" t="inlineStr">
        <is>
          <t>Baking Ingredients</t>
        </is>
      </c>
      <c r="F33" t="inlineStr">
        <is>
          <t>Sugar naturally fits the existing Baking Ingredients taxonomy.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49"/>
  <sheetViews>
    <sheetView showGridLines="0" workbookViewId="0">
      <selection activeCell="A1" sqref="A1"/>
    </sheetView>
  </sheetViews>
  <sheetFormatPr baseColWidth="8" defaultRowHeight="15"/>
  <cols>
    <col width="38" customWidth="1" style="64" min="1" max="1"/>
    <col width="48" customWidth="1" style="64" min="2" max="2"/>
    <col width="6" customWidth="1" style="64" min="10" max="10"/>
    <col width="28" customWidth="1" style="64" min="11" max="11"/>
    <col width="14" customWidth="1" style="64" min="12" max="12"/>
    <col width="16" customWidth="1" style="64" min="28" max="28"/>
    <col width="16" customWidth="1" style="64" min="29" max="29"/>
    <col width="16" customWidth="1" style="64" min="30" max="30"/>
    <col width="16" customWidth="1" style="64" min="31" max="31"/>
    <col width="16" customWidth="1" style="64" min="32" max="32"/>
    <col width="16" customWidth="1" style="64" min="33" max="33"/>
    <col width="16" customWidth="1" style="64" min="34" max="34"/>
    <col width="16" customWidth="1" style="64" min="35" max="35"/>
    <col width="16" customWidth="1" style="64" min="36" max="36"/>
    <col width="16" customWidth="1" style="64" min="37" max="37"/>
    <col width="16" customWidth="1" style="64" min="38" max="38"/>
    <col width="16" customWidth="1" style="64" min="39" max="39"/>
    <col width="16" customWidth="1" style="64" min="40" max="40"/>
    <col width="16" customWidth="1" style="64" min="41" max="41"/>
    <col width="16" customWidth="1" style="64" min="42" max="42"/>
    <col width="16" customWidth="1" style="64" min="43" max="43"/>
    <col width="16" customWidth="1" style="64" min="44" max="44"/>
    <col width="16" customWidth="1" style="64" min="45" max="45"/>
    <col width="16" customWidth="1" style="64" min="46" max="46"/>
    <col width="16" customWidth="1" style="64" min="47" max="47"/>
    <col width="16" customWidth="1" style="64" min="48" max="48"/>
    <col width="16" customWidth="1" style="64" min="49" max="49"/>
    <col width="16" customWidth="1" style="64" min="50" max="50"/>
    <col width="16" customWidth="1" style="64" min="51" max="51"/>
    <col width="16" customWidth="1" style="64" min="52" max="52"/>
    <col width="16" customWidth="1" style="64" min="53" max="53"/>
    <col width="16" customWidth="1" style="64" min="54" max="54"/>
    <col width="16" customWidth="1" style="64" min="55" max="55"/>
  </cols>
  <sheetData>
    <row r="1">
      <c r="A1" s="71" t="inlineStr">
        <is>
          <t>w1_Aug</t>
        </is>
      </c>
      <c r="AB1" s="72" t="inlineStr">
        <is>
          <t>Date</t>
        </is>
      </c>
      <c r="AC1" s="72" t="inlineStr">
        <is>
          <t>Ideal Remaining Budget</t>
        </is>
      </c>
      <c r="AD1" s="72" t="inlineStr">
        <is>
          <t>Actual Remaining Budget</t>
        </is>
      </c>
      <c r="AE1" s="72" t="inlineStr">
        <is>
          <t>Cumulative Spending</t>
        </is>
      </c>
      <c r="AG1" s="72" t="inlineStr">
        <is>
          <t>Comparison</t>
        </is>
      </c>
      <c r="AH1" s="72" t="inlineStr">
        <is>
          <t>Budget</t>
        </is>
      </c>
      <c r="AI1" s="72" t="inlineStr">
        <is>
          <t>1</t>
        </is>
      </c>
      <c r="AJ1" s="72" t="inlineStr">
        <is>
          <t>2</t>
        </is>
      </c>
      <c r="AK1" s="72" t="inlineStr">
        <is>
          <t>3</t>
        </is>
      </c>
      <c r="AL1" s="72" t="inlineStr">
        <is>
          <t>4</t>
        </is>
      </c>
      <c r="AM1" s="72" t="inlineStr">
        <is>
          <t>5</t>
        </is>
      </c>
      <c r="AN1" s="72" t="inlineStr">
        <is>
          <t>6</t>
        </is>
      </c>
      <c r="AO1" s="72" t="inlineStr">
        <is>
          <t>7</t>
        </is>
      </c>
      <c r="AP1" s="72" t="inlineStr">
        <is>
          <t>8</t>
        </is>
      </c>
      <c r="AQ1" s="72" t="inlineStr">
        <is>
          <t>9</t>
        </is>
      </c>
      <c r="AR1" s="72" t="inlineStr">
        <is>
          <t>10</t>
        </is>
      </c>
      <c r="AS1" s="72" t="inlineStr">
        <is>
          <t>11</t>
        </is>
      </c>
      <c r="AT1" s="72" t="inlineStr">
        <is>
          <t>12</t>
        </is>
      </c>
      <c r="AU1" s="72" t="inlineStr">
        <is>
          <t>13</t>
        </is>
      </c>
      <c r="AV1" s="72" t="inlineStr">
        <is>
          <t>14</t>
        </is>
      </c>
      <c r="AW1" s="72" t="inlineStr">
        <is>
          <t>15</t>
        </is>
      </c>
      <c r="AX1" s="72" t="inlineStr">
        <is>
          <t>16</t>
        </is>
      </c>
      <c r="AY1" s="72" t="inlineStr">
        <is>
          <t>17</t>
        </is>
      </c>
      <c r="AZ1" s="72" t="inlineStr">
        <is>
          <t>18</t>
        </is>
      </c>
      <c r="BA1" s="72" t="inlineStr">
        <is>
          <t>19</t>
        </is>
      </c>
      <c r="BB1" s="72" t="inlineStr">
        <is>
          <t>20</t>
        </is>
      </c>
      <c r="BC1" s="72" t="inlineStr">
        <is>
          <t>21</t>
        </is>
      </c>
    </row>
    <row r="2">
      <c r="AB2" s="2" t="n">
        <v>46264</v>
      </c>
      <c r="AC2" s="76" t="n">
        <v>280</v>
      </c>
      <c r="AD2" s="76" t="n">
        <v>199.93</v>
      </c>
      <c r="AE2" s="76" t="n">
        <v>80.07000000000001</v>
      </c>
      <c r="AG2" t="inlineStr">
        <is>
          <t>Budget</t>
        </is>
      </c>
      <c r="AH2" s="76" t="n">
        <v>280</v>
      </c>
      <c r="AI2" s="76" t="n">
        <v>0</v>
      </c>
      <c r="AJ2" s="76" t="n">
        <v>0</v>
      </c>
      <c r="AK2" s="76" t="n">
        <v>0</v>
      </c>
      <c r="AL2" s="76" t="n">
        <v>0</v>
      </c>
      <c r="AM2" s="76" t="n">
        <v>0</v>
      </c>
      <c r="AN2" s="76" t="n">
        <v>0</v>
      </c>
      <c r="AO2" s="76" t="n">
        <v>0</v>
      </c>
      <c r="AP2" s="76" t="n">
        <v>0</v>
      </c>
      <c r="AQ2" s="76" t="n">
        <v>0</v>
      </c>
      <c r="AR2" s="76" t="n">
        <v>0</v>
      </c>
      <c r="AS2" s="76" t="n">
        <v>0</v>
      </c>
      <c r="AT2" s="76" t="n">
        <v>0</v>
      </c>
      <c r="AU2" s="76" t="n">
        <v>0</v>
      </c>
      <c r="AV2" s="76" t="n">
        <v>0</v>
      </c>
      <c r="AW2" s="76" t="n">
        <v>0</v>
      </c>
      <c r="AX2" s="76" t="n">
        <v>0</v>
      </c>
      <c r="AY2" s="76" t="n">
        <v>0</v>
      </c>
      <c r="AZ2" s="76" t="n">
        <v>0</v>
      </c>
      <c r="BA2" s="76" t="n">
        <v>0</v>
      </c>
      <c r="BB2" s="76" t="n">
        <v>0</v>
      </c>
      <c r="BC2" s="76" t="n">
        <v>0</v>
      </c>
    </row>
    <row r="3">
      <c r="A3" s="74" t="inlineStr">
        <is>
          <t>Budget Plan</t>
        </is>
      </c>
      <c r="B3" t="inlineStr">
        <is>
          <t>w1_Aug</t>
        </is>
      </c>
      <c r="AB3" s="2" t="n">
        <v>46265</v>
      </c>
      <c r="AC3" s="76" t="n">
        <v>233.3333333333333</v>
      </c>
      <c r="AD3" s="76" t="n">
        <v>199.93</v>
      </c>
      <c r="AE3" s="76" t="n">
        <v>80.07000000000001</v>
      </c>
      <c r="AG3" t="inlineStr">
        <is>
          <t>Spent</t>
        </is>
      </c>
      <c r="AH3" s="76" t="n">
        <v>0</v>
      </c>
      <c r="AI3" s="76" t="n">
        <v>0</v>
      </c>
      <c r="AJ3" s="76" t="n">
        <v>0</v>
      </c>
      <c r="AK3" s="76" t="n">
        <v>8.380000000000001</v>
      </c>
      <c r="AL3" s="76" t="n">
        <v>3.28</v>
      </c>
      <c r="AM3" s="76" t="n">
        <v>3.12</v>
      </c>
      <c r="AN3" s="76" t="n">
        <v>3.32</v>
      </c>
      <c r="AO3" s="76" t="n">
        <v>0</v>
      </c>
      <c r="AP3" s="76" t="n">
        <v>0</v>
      </c>
      <c r="AQ3" s="76" t="n">
        <v>0</v>
      </c>
      <c r="AR3" s="76" t="n">
        <v>19.16</v>
      </c>
      <c r="AS3" s="76" t="n">
        <v>0</v>
      </c>
      <c r="AT3" s="76" t="n">
        <v>0</v>
      </c>
      <c r="AU3" s="76" t="n">
        <v>0</v>
      </c>
      <c r="AV3" s="76" t="n">
        <v>15.3</v>
      </c>
      <c r="AW3" s="76" t="n">
        <v>0</v>
      </c>
      <c r="AX3" s="76" t="n">
        <v>0</v>
      </c>
      <c r="AY3" s="76" t="n">
        <v>27.51</v>
      </c>
      <c r="AZ3" s="76" t="n">
        <v>0</v>
      </c>
      <c r="BA3" s="76" t="n">
        <v>0</v>
      </c>
      <c r="BB3" s="76" t="n">
        <v>0</v>
      </c>
      <c r="BC3" s="76" t="n">
        <v>0</v>
      </c>
    </row>
    <row r="4">
      <c r="A4" s="74" t="inlineStr">
        <is>
          <t>Start Date</t>
        </is>
      </c>
      <c r="B4" s="2" t="n">
        <v>46264</v>
      </c>
      <c r="AB4" s="2" t="n">
        <v>46266</v>
      </c>
      <c r="AC4" s="76" t="n">
        <v>186.6666666666667</v>
      </c>
      <c r="AD4" s="76" t="n">
        <v>199.93</v>
      </c>
      <c r="AE4" s="76" t="n">
        <v>80.07000000000001</v>
      </c>
    </row>
    <row r="5">
      <c r="A5" s="74" t="inlineStr">
        <is>
          <t>End Date</t>
        </is>
      </c>
      <c r="B5" s="2" t="n">
        <v>46270</v>
      </c>
      <c r="AB5" s="2" t="n">
        <v>46267</v>
      </c>
      <c r="AC5" s="76" t="n">
        <v>140</v>
      </c>
      <c r="AD5" s="76" t="n">
        <v>199.93</v>
      </c>
      <c r="AE5" s="76" t="n">
        <v>80.07000000000001</v>
      </c>
    </row>
    <row r="6">
      <c r="A6" s="74" t="inlineStr">
        <is>
          <t>Category Scope</t>
        </is>
      </c>
      <c r="B6" t="inlineStr">
        <is>
          <t>All Categories</t>
        </is>
      </c>
      <c r="AB6" s="2" t="n">
        <v>46268</v>
      </c>
      <c r="AC6" s="76" t="n">
        <v>93.33333333333334</v>
      </c>
      <c r="AD6" s="76" t="n">
        <v>199.93</v>
      </c>
      <c r="AE6" s="76" t="n">
        <v>80.07000000000001</v>
      </c>
    </row>
    <row r="7">
      <c r="A7" s="74" t="inlineStr">
        <is>
          <t>Categories</t>
        </is>
      </c>
      <c r="B7" t="inlineStr">
        <is>
          <t>All Categories</t>
        </is>
      </c>
      <c r="AB7" s="2" t="n">
        <v>46269</v>
      </c>
      <c r="AC7" s="76" t="n">
        <v>46.66666666666666</v>
      </c>
      <c r="AD7" s="76" t="n">
        <v>199.93</v>
      </c>
      <c r="AE7" s="76" t="n">
        <v>80.07000000000001</v>
      </c>
    </row>
    <row r="8">
      <c r="A8" s="74" t="inlineStr">
        <is>
          <t>Budget</t>
        </is>
      </c>
      <c r="B8" s="76" t="n">
        <v>280</v>
      </c>
      <c r="AB8" s="2" t="n">
        <v>46270</v>
      </c>
      <c r="AC8" s="76" t="n">
        <v>0</v>
      </c>
      <c r="AD8" s="76" t="n">
        <v>199.93</v>
      </c>
      <c r="AE8" s="76" t="n">
        <v>80.07000000000001</v>
      </c>
    </row>
    <row r="9">
      <c r="A9" s="74" t="inlineStr">
        <is>
          <t>Total Spent</t>
        </is>
      </c>
      <c r="B9" s="76" t="n">
        <v>80.07000000000001</v>
      </c>
    </row>
    <row r="10">
      <c r="A10" s="74" t="inlineStr">
        <is>
          <t>Remaining Budget</t>
        </is>
      </c>
      <c r="B10" t="n">
        <v>199.93</v>
      </c>
    </row>
    <row r="11">
      <c r="A11" s="74" t="inlineStr">
        <is>
          <t>Relevant Date</t>
        </is>
      </c>
      <c r="B11" s="2" t="n">
        <v>46264</v>
      </c>
    </row>
    <row r="12">
      <c r="A12" s="74" t="inlineStr">
        <is>
          <t>Ideal Spending Through Relevant Date</t>
        </is>
      </c>
      <c r="B12" s="76" t="n">
        <v>0</v>
      </c>
    </row>
    <row r="13">
      <c r="A13" s="74" t="inlineStr">
        <is>
          <t>Actual Spending Through Relevant Date</t>
        </is>
      </c>
      <c r="B13" s="76" t="n">
        <v>80.07000000000001</v>
      </c>
    </row>
    <row r="14">
      <c r="A14" s="74" t="inlineStr">
        <is>
          <t>Ahead / Behind Budget</t>
        </is>
      </c>
      <c r="B14" t="inlineStr">
        <is>
          <t>Behind by $80.07</t>
        </is>
      </c>
    </row>
    <row r="16">
      <c r="A16" s="75" t="inlineStr">
        <is>
          <t>Budget vs Category Spending</t>
        </is>
      </c>
    </row>
    <row r="18">
      <c r="J18" s="77" t="inlineStr">
        <is>
          <t>Category Key</t>
        </is>
      </c>
    </row>
    <row r="19">
      <c r="J19" s="72" t="inlineStr">
        <is>
          <t>#</t>
        </is>
      </c>
      <c r="K19" s="72" t="inlineStr">
        <is>
          <t>Category</t>
        </is>
      </c>
      <c r="L19" s="72" t="inlineStr">
        <is>
          <t>Spent</t>
        </is>
      </c>
    </row>
    <row r="20">
      <c r="J20" s="78" t="n">
        <v>1</v>
      </c>
      <c r="K20" t="inlineStr">
        <is>
          <t>Baby Care</t>
        </is>
      </c>
      <c r="L20" s="76" t="n">
        <v>0</v>
      </c>
    </row>
    <row r="21">
      <c r="J21" s="79" t="n">
        <v>2</v>
      </c>
      <c r="K21" t="inlineStr">
        <is>
          <t>Bakery</t>
        </is>
      </c>
      <c r="L21" s="76" t="n">
        <v>0</v>
      </c>
    </row>
    <row r="22">
      <c r="J22" s="80" t="n">
        <v>3</v>
      </c>
      <c r="K22" t="inlineStr">
        <is>
          <t>Condiments &amp; Seasonings</t>
        </is>
      </c>
      <c r="L22" s="76" t="n">
        <v>8.380000000000001</v>
      </c>
    </row>
    <row r="23">
      <c r="J23" s="81" t="n">
        <v>4</v>
      </c>
      <c r="K23" t="inlineStr">
        <is>
          <t>Dairy</t>
        </is>
      </c>
      <c r="L23" s="76" t="n">
        <v>3.28</v>
      </c>
    </row>
    <row r="24">
      <c r="J24" s="82" t="n">
        <v>5</v>
      </c>
      <c r="K24" t="inlineStr">
        <is>
          <t>Dessert</t>
        </is>
      </c>
      <c r="L24" s="76" t="n">
        <v>3.12</v>
      </c>
    </row>
    <row r="25">
      <c r="J25" s="83" t="n">
        <v>6</v>
      </c>
      <c r="K25" t="inlineStr">
        <is>
          <t>Eggs</t>
        </is>
      </c>
      <c r="L25" s="76" t="n">
        <v>3.32</v>
      </c>
    </row>
    <row r="26">
      <c r="J26" s="84" t="n">
        <v>7</v>
      </c>
      <c r="K26" t="inlineStr">
        <is>
          <t>Fees</t>
        </is>
      </c>
      <c r="L26" s="76" t="n">
        <v>0</v>
      </c>
    </row>
    <row r="27">
      <c r="J27" s="85" t="n">
        <v>8</v>
      </c>
      <c r="K27" t="inlineStr">
        <is>
          <t>Fish</t>
        </is>
      </c>
      <c r="L27" s="76" t="n">
        <v>0</v>
      </c>
    </row>
    <row r="28">
      <c r="J28" s="86" t="n">
        <v>9</v>
      </c>
      <c r="K28" t="inlineStr">
        <is>
          <t>Frozen</t>
        </is>
      </c>
      <c r="L28" s="76" t="n">
        <v>0</v>
      </c>
    </row>
    <row r="29">
      <c r="J29" s="87" t="n">
        <v>10</v>
      </c>
      <c r="K29" t="inlineStr">
        <is>
          <t>Frozen Food</t>
        </is>
      </c>
      <c r="L29" s="76" t="n">
        <v>19.16</v>
      </c>
    </row>
    <row r="30">
      <c r="J30" s="88" t="n">
        <v>11</v>
      </c>
      <c r="K30" t="inlineStr">
        <is>
          <t>Home Improvement</t>
        </is>
      </c>
      <c r="L30" s="76" t="n">
        <v>0</v>
      </c>
    </row>
    <row r="31">
      <c r="J31" s="89" t="n">
        <v>12</v>
      </c>
      <c r="K31" t="inlineStr">
        <is>
          <t>Meat</t>
        </is>
      </c>
      <c r="L31" s="76" t="n">
        <v>0</v>
      </c>
    </row>
    <row r="32">
      <c r="J32" s="90" t="n">
        <v>13</v>
      </c>
      <c r="K32" t="inlineStr">
        <is>
          <t>Office Supplies</t>
        </is>
      </c>
      <c r="L32" s="76" t="n">
        <v>0</v>
      </c>
    </row>
    <row r="33">
      <c r="J33" s="91" t="n">
        <v>14</v>
      </c>
      <c r="K33" t="inlineStr">
        <is>
          <t>Pantry</t>
        </is>
      </c>
      <c r="L33" s="76" t="n">
        <v>15.3</v>
      </c>
    </row>
    <row r="34">
      <c r="J34" s="92" t="n">
        <v>15</v>
      </c>
      <c r="K34" t="inlineStr">
        <is>
          <t>Pets</t>
        </is>
      </c>
      <c r="L34" s="76" t="n">
        <v>0</v>
      </c>
    </row>
    <row r="35">
      <c r="J35" s="93" t="n">
        <v>16</v>
      </c>
      <c r="K35" t="inlineStr">
        <is>
          <t>Prepared Eating</t>
        </is>
      </c>
      <c r="L35" s="76" t="n">
        <v>0</v>
      </c>
    </row>
    <row r="36">
      <c r="J36" s="94" t="n">
        <v>17</v>
      </c>
      <c r="K36" t="inlineStr">
        <is>
          <t>Produce</t>
        </is>
      </c>
      <c r="L36" s="76" t="n">
        <v>27.51</v>
      </c>
    </row>
    <row r="37">
      <c r="J37" s="95" t="n">
        <v>18</v>
      </c>
      <c r="K37" t="inlineStr">
        <is>
          <t>Self Care</t>
        </is>
      </c>
      <c r="L37" s="76" t="n">
        <v>0</v>
      </c>
    </row>
    <row r="38">
      <c r="J38" s="96" t="n">
        <v>19</v>
      </c>
      <c r="K38" t="inlineStr">
        <is>
          <t>Toiletries, Cleaning and Disposables</t>
        </is>
      </c>
      <c r="L38" s="76" t="n">
        <v>0</v>
      </c>
    </row>
    <row r="39">
      <c r="J39" s="97" t="n">
        <v>20</v>
      </c>
      <c r="K39" t="inlineStr">
        <is>
          <t>Torah</t>
        </is>
      </c>
      <c r="L39" s="76" t="n">
        <v>0</v>
      </c>
    </row>
    <row r="40">
      <c r="J40" s="78" t="n">
        <v>21</v>
      </c>
      <c r="K40" t="inlineStr">
        <is>
          <t>Wine</t>
        </is>
      </c>
      <c r="L40" s="76" t="n">
        <v>0</v>
      </c>
    </row>
    <row r="47">
      <c r="A47" s="63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C49"/>
  <sheetViews>
    <sheetView showGridLines="0" workbookViewId="0">
      <selection activeCell="A1" sqref="A1"/>
    </sheetView>
  </sheetViews>
  <sheetFormatPr baseColWidth="8" defaultRowHeight="15"/>
  <cols>
    <col width="38" customWidth="1" style="64" min="1" max="1"/>
    <col width="48" customWidth="1" style="64" min="2" max="2"/>
    <col width="6" customWidth="1" style="64" min="10" max="10"/>
    <col width="28" customWidth="1" style="64" min="11" max="11"/>
    <col width="14" customWidth="1" style="64" min="12" max="12"/>
    <col width="16" customWidth="1" style="64" min="28" max="28"/>
    <col width="16" customWidth="1" style="64" min="29" max="29"/>
    <col width="16" customWidth="1" style="64" min="30" max="30"/>
    <col width="16" customWidth="1" style="64" min="31" max="31"/>
    <col width="16" customWidth="1" style="64" min="32" max="32"/>
    <col width="16" customWidth="1" style="64" min="33" max="33"/>
    <col width="16" customWidth="1" style="64" min="34" max="34"/>
    <col width="16" customWidth="1" style="64" min="35" max="35"/>
    <col width="16" customWidth="1" style="64" min="36" max="36"/>
    <col width="16" customWidth="1" style="64" min="37" max="37"/>
    <col width="16" customWidth="1" style="64" min="38" max="38"/>
    <col width="16" customWidth="1" style="64" min="39" max="39"/>
    <col width="16" customWidth="1" style="64" min="40" max="40"/>
    <col width="16" customWidth="1" style="64" min="41" max="41"/>
    <col width="16" customWidth="1" style="64" min="42" max="42"/>
    <col width="16" customWidth="1" style="64" min="43" max="43"/>
    <col width="16" customWidth="1" style="64" min="44" max="44"/>
    <col width="16" customWidth="1" style="64" min="45" max="45"/>
    <col width="16" customWidth="1" style="64" min="46" max="46"/>
    <col width="16" customWidth="1" style="64" min="47" max="47"/>
    <col width="16" customWidth="1" style="64" min="48" max="48"/>
    <col width="16" customWidth="1" style="64" min="49" max="49"/>
    <col width="16" customWidth="1" style="64" min="50" max="50"/>
    <col width="16" customWidth="1" style="64" min="51" max="51"/>
    <col width="16" customWidth="1" style="64" min="52" max="52"/>
    <col width="16" customWidth="1" style="64" min="53" max="53"/>
    <col width="16" customWidth="1" style="64" min="54" max="54"/>
    <col width="16" customWidth="1" style="64" min="55" max="55"/>
  </cols>
  <sheetData>
    <row r="1">
      <c r="A1" s="71" t="inlineStr">
        <is>
          <t>w1_sep</t>
        </is>
      </c>
      <c r="AB1" s="72" t="inlineStr">
        <is>
          <t>Date</t>
        </is>
      </c>
      <c r="AC1" s="72" t="inlineStr">
        <is>
          <t>Ideal Remaining Budget</t>
        </is>
      </c>
      <c r="AD1" s="72" t="inlineStr">
        <is>
          <t>Actual Remaining Budget</t>
        </is>
      </c>
      <c r="AE1" s="72" t="inlineStr">
        <is>
          <t>Cumulative Spending</t>
        </is>
      </c>
      <c r="AG1" s="72" t="inlineStr">
        <is>
          <t>Comparison</t>
        </is>
      </c>
      <c r="AH1" s="72" t="inlineStr">
        <is>
          <t>Budget</t>
        </is>
      </c>
      <c r="AI1" s="72" t="inlineStr">
        <is>
          <t>1</t>
        </is>
      </c>
      <c r="AJ1" s="72" t="inlineStr">
        <is>
          <t>2</t>
        </is>
      </c>
      <c r="AK1" s="72" t="inlineStr">
        <is>
          <t>3</t>
        </is>
      </c>
      <c r="AL1" s="72" t="inlineStr">
        <is>
          <t>4</t>
        </is>
      </c>
      <c r="AM1" s="72" t="inlineStr">
        <is>
          <t>5</t>
        </is>
      </c>
      <c r="AN1" s="72" t="inlineStr">
        <is>
          <t>6</t>
        </is>
      </c>
      <c r="AO1" s="72" t="inlineStr">
        <is>
          <t>7</t>
        </is>
      </c>
      <c r="AP1" s="72" t="inlineStr">
        <is>
          <t>8</t>
        </is>
      </c>
      <c r="AQ1" s="72" t="inlineStr">
        <is>
          <t>9</t>
        </is>
      </c>
      <c r="AR1" s="72" t="inlineStr">
        <is>
          <t>10</t>
        </is>
      </c>
      <c r="AS1" s="72" t="inlineStr">
        <is>
          <t>11</t>
        </is>
      </c>
      <c r="AT1" s="72" t="inlineStr">
        <is>
          <t>12</t>
        </is>
      </c>
      <c r="AU1" s="72" t="inlineStr">
        <is>
          <t>13</t>
        </is>
      </c>
      <c r="AV1" s="72" t="inlineStr">
        <is>
          <t>14</t>
        </is>
      </c>
      <c r="AW1" s="72" t="inlineStr">
        <is>
          <t>15</t>
        </is>
      </c>
      <c r="AX1" s="72" t="inlineStr">
        <is>
          <t>16</t>
        </is>
      </c>
      <c r="AY1" s="72" t="inlineStr">
        <is>
          <t>17</t>
        </is>
      </c>
      <c r="AZ1" s="72" t="inlineStr">
        <is>
          <t>18</t>
        </is>
      </c>
      <c r="BA1" s="72" t="inlineStr">
        <is>
          <t>19</t>
        </is>
      </c>
      <c r="BB1" s="72" t="inlineStr">
        <is>
          <t>20</t>
        </is>
      </c>
      <c r="BC1" s="72" t="inlineStr">
        <is>
          <t>21</t>
        </is>
      </c>
    </row>
    <row r="2">
      <c r="AB2" s="2" t="n">
        <v>46264</v>
      </c>
      <c r="AC2" s="76" t="n">
        <v>230</v>
      </c>
      <c r="AD2" s="76" t="n">
        <v>149.93</v>
      </c>
      <c r="AE2" s="76" t="n">
        <v>80.07000000000001</v>
      </c>
      <c r="AG2" t="inlineStr">
        <is>
          <t>Budget</t>
        </is>
      </c>
      <c r="AH2" s="76" t="n">
        <v>230</v>
      </c>
      <c r="AI2" s="76" t="n">
        <v>0</v>
      </c>
      <c r="AJ2" s="76" t="n">
        <v>0</v>
      </c>
      <c r="AK2" s="76" t="n">
        <v>0</v>
      </c>
      <c r="AL2" s="76" t="n">
        <v>0</v>
      </c>
      <c r="AM2" s="76" t="n">
        <v>0</v>
      </c>
      <c r="AN2" s="76" t="n">
        <v>0</v>
      </c>
      <c r="AO2" s="76" t="n">
        <v>0</v>
      </c>
      <c r="AP2" s="76" t="n">
        <v>0</v>
      </c>
      <c r="AQ2" s="76" t="n">
        <v>0</v>
      </c>
      <c r="AR2" s="76" t="n">
        <v>0</v>
      </c>
      <c r="AS2" s="76" t="n">
        <v>0</v>
      </c>
      <c r="AT2" s="76" t="n">
        <v>0</v>
      </c>
      <c r="AU2" s="76" t="n">
        <v>0</v>
      </c>
      <c r="AV2" s="76" t="n">
        <v>0</v>
      </c>
      <c r="AW2" s="76" t="n">
        <v>0</v>
      </c>
      <c r="AX2" s="76" t="n">
        <v>0</v>
      </c>
      <c r="AY2" s="76" t="n">
        <v>0</v>
      </c>
      <c r="AZ2" s="76" t="n">
        <v>0</v>
      </c>
      <c r="BA2" s="76" t="n">
        <v>0</v>
      </c>
      <c r="BB2" s="76" t="n">
        <v>0</v>
      </c>
      <c r="BC2" s="76" t="n">
        <v>0</v>
      </c>
    </row>
    <row r="3">
      <c r="A3" s="74" t="inlineStr">
        <is>
          <t>Budget Plan</t>
        </is>
      </c>
      <c r="B3" t="inlineStr">
        <is>
          <t>w1_sep</t>
        </is>
      </c>
      <c r="AB3" s="2" t="n">
        <v>46265</v>
      </c>
      <c r="AC3" s="76" t="n">
        <v>191.6666666666667</v>
      </c>
      <c r="AD3" s="76" t="n">
        <v>149.93</v>
      </c>
      <c r="AE3" s="76" t="n">
        <v>80.07000000000001</v>
      </c>
      <c r="AG3" t="inlineStr">
        <is>
          <t>Spent</t>
        </is>
      </c>
      <c r="AH3" s="76" t="n">
        <v>0</v>
      </c>
      <c r="AI3" s="76" t="n">
        <v>0</v>
      </c>
      <c r="AJ3" s="76" t="n">
        <v>0</v>
      </c>
      <c r="AK3" s="76" t="n">
        <v>8.380000000000001</v>
      </c>
      <c r="AL3" s="76" t="n">
        <v>3.28</v>
      </c>
      <c r="AM3" s="76" t="n">
        <v>3.12</v>
      </c>
      <c r="AN3" s="76" t="n">
        <v>3.32</v>
      </c>
      <c r="AO3" s="76" t="n">
        <v>0</v>
      </c>
      <c r="AP3" s="76" t="n">
        <v>0</v>
      </c>
      <c r="AQ3" s="76" t="n">
        <v>0</v>
      </c>
      <c r="AR3" s="76" t="n">
        <v>19.16</v>
      </c>
      <c r="AS3" s="76" t="n">
        <v>0</v>
      </c>
      <c r="AT3" s="76" t="n">
        <v>0</v>
      </c>
      <c r="AU3" s="76" t="n">
        <v>0</v>
      </c>
      <c r="AV3" s="76" t="n">
        <v>15.3</v>
      </c>
      <c r="AW3" s="76" t="n">
        <v>0</v>
      </c>
      <c r="AX3" s="76" t="n">
        <v>0</v>
      </c>
      <c r="AY3" s="76" t="n">
        <v>27.51</v>
      </c>
      <c r="AZ3" s="76" t="n">
        <v>0</v>
      </c>
      <c r="BA3" s="76" t="n">
        <v>0</v>
      </c>
      <c r="BB3" s="76" t="n">
        <v>0</v>
      </c>
      <c r="BC3" s="76" t="n">
        <v>0</v>
      </c>
    </row>
    <row r="4">
      <c r="A4" s="74" t="inlineStr">
        <is>
          <t>Start Date</t>
        </is>
      </c>
      <c r="B4" s="2" t="n">
        <v>46264</v>
      </c>
      <c r="AB4" s="2" t="n">
        <v>46266</v>
      </c>
      <c r="AC4" s="76" t="n">
        <v>153.3333333333333</v>
      </c>
      <c r="AD4" s="76" t="n">
        <v>149.93</v>
      </c>
      <c r="AE4" s="76" t="n">
        <v>80.07000000000001</v>
      </c>
    </row>
    <row r="5">
      <c r="A5" s="74" t="inlineStr">
        <is>
          <t>End Date</t>
        </is>
      </c>
      <c r="B5" s="2" t="n">
        <v>46270</v>
      </c>
      <c r="AB5" s="2" t="n">
        <v>46267</v>
      </c>
      <c r="AC5" s="76" t="n">
        <v>115</v>
      </c>
      <c r="AD5" s="76" t="n">
        <v>149.93</v>
      </c>
      <c r="AE5" s="76" t="n">
        <v>80.07000000000001</v>
      </c>
    </row>
    <row r="6">
      <c r="A6" s="74" t="inlineStr">
        <is>
          <t>Category Scope</t>
        </is>
      </c>
      <c r="B6" t="inlineStr">
        <is>
          <t>All Categories</t>
        </is>
      </c>
      <c r="AB6" s="2" t="n">
        <v>46268</v>
      </c>
      <c r="AC6" s="76" t="n">
        <v>76.66666666666667</v>
      </c>
      <c r="AD6" s="76" t="n">
        <v>149.93</v>
      </c>
      <c r="AE6" s="76" t="n">
        <v>80.07000000000001</v>
      </c>
    </row>
    <row r="7">
      <c r="A7" s="74" t="inlineStr">
        <is>
          <t>Categories</t>
        </is>
      </c>
      <c r="B7" t="inlineStr">
        <is>
          <t>All Categories</t>
        </is>
      </c>
      <c r="AB7" s="2" t="n">
        <v>46269</v>
      </c>
      <c r="AC7" s="76" t="n">
        <v>38.33333333333332</v>
      </c>
      <c r="AD7" s="76" t="n">
        <v>149.93</v>
      </c>
      <c r="AE7" s="76" t="n">
        <v>80.07000000000001</v>
      </c>
    </row>
    <row r="8">
      <c r="A8" s="74" t="inlineStr">
        <is>
          <t>Budget</t>
        </is>
      </c>
      <c r="B8" s="76" t="n">
        <v>230</v>
      </c>
      <c r="AB8" s="2" t="n">
        <v>46270</v>
      </c>
      <c r="AC8" s="76" t="n">
        <v>0</v>
      </c>
      <c r="AD8" s="76" t="n">
        <v>149.93</v>
      </c>
      <c r="AE8" s="76" t="n">
        <v>80.07000000000001</v>
      </c>
    </row>
    <row r="9">
      <c r="A9" s="74" t="inlineStr">
        <is>
          <t>Total Spent</t>
        </is>
      </c>
      <c r="B9" s="76" t="n">
        <v>80.07000000000001</v>
      </c>
    </row>
    <row r="10">
      <c r="A10" s="74" t="inlineStr">
        <is>
          <t>Remaining Budget</t>
        </is>
      </c>
      <c r="B10" t="n">
        <v>149.93</v>
      </c>
    </row>
    <row r="11">
      <c r="A11" s="74" t="inlineStr">
        <is>
          <t>Relevant Date</t>
        </is>
      </c>
      <c r="B11" s="2" t="n">
        <v>46264</v>
      </c>
    </row>
    <row r="12">
      <c r="A12" s="74" t="inlineStr">
        <is>
          <t>Ideal Spending Through Relevant Date</t>
        </is>
      </c>
      <c r="B12" s="76" t="n">
        <v>0</v>
      </c>
    </row>
    <row r="13">
      <c r="A13" s="74" t="inlineStr">
        <is>
          <t>Actual Spending Through Relevant Date</t>
        </is>
      </c>
      <c r="B13" s="76" t="n">
        <v>80.07000000000001</v>
      </c>
    </row>
    <row r="14">
      <c r="A14" s="74" t="inlineStr">
        <is>
          <t>Ahead / Behind Budget</t>
        </is>
      </c>
      <c r="B14" t="inlineStr">
        <is>
          <t>Behind by $80.07</t>
        </is>
      </c>
    </row>
    <row r="16">
      <c r="A16" s="75" t="inlineStr">
        <is>
          <t>Budget vs Category Spending</t>
        </is>
      </c>
    </row>
    <row r="18">
      <c r="J18" s="77" t="inlineStr">
        <is>
          <t>Category Key</t>
        </is>
      </c>
    </row>
    <row r="19">
      <c r="J19" s="72" t="inlineStr">
        <is>
          <t>#</t>
        </is>
      </c>
      <c r="K19" s="72" t="inlineStr">
        <is>
          <t>Category</t>
        </is>
      </c>
      <c r="L19" s="72" t="inlineStr">
        <is>
          <t>Spent</t>
        </is>
      </c>
    </row>
    <row r="20">
      <c r="J20" s="78" t="n">
        <v>1</v>
      </c>
      <c r="K20" t="inlineStr">
        <is>
          <t>Baby Care</t>
        </is>
      </c>
      <c r="L20" s="76" t="n">
        <v>0</v>
      </c>
    </row>
    <row r="21">
      <c r="J21" s="79" t="n">
        <v>2</v>
      </c>
      <c r="K21" t="inlineStr">
        <is>
          <t>Bakery</t>
        </is>
      </c>
      <c r="L21" s="76" t="n">
        <v>0</v>
      </c>
    </row>
    <row r="22">
      <c r="J22" s="80" t="n">
        <v>3</v>
      </c>
      <c r="K22" t="inlineStr">
        <is>
          <t>Condiments &amp; Seasonings</t>
        </is>
      </c>
      <c r="L22" s="76" t="n">
        <v>8.380000000000001</v>
      </c>
    </row>
    <row r="23">
      <c r="J23" s="81" t="n">
        <v>4</v>
      </c>
      <c r="K23" t="inlineStr">
        <is>
          <t>Dairy</t>
        </is>
      </c>
      <c r="L23" s="76" t="n">
        <v>3.28</v>
      </c>
    </row>
    <row r="24">
      <c r="J24" s="82" t="n">
        <v>5</v>
      </c>
      <c r="K24" t="inlineStr">
        <is>
          <t>Dessert</t>
        </is>
      </c>
      <c r="L24" s="76" t="n">
        <v>3.12</v>
      </c>
    </row>
    <row r="25">
      <c r="J25" s="83" t="n">
        <v>6</v>
      </c>
      <c r="K25" t="inlineStr">
        <is>
          <t>Eggs</t>
        </is>
      </c>
      <c r="L25" s="76" t="n">
        <v>3.32</v>
      </c>
    </row>
    <row r="26">
      <c r="J26" s="84" t="n">
        <v>7</v>
      </c>
      <c r="K26" t="inlineStr">
        <is>
          <t>Fees</t>
        </is>
      </c>
      <c r="L26" s="76" t="n">
        <v>0</v>
      </c>
    </row>
    <row r="27">
      <c r="J27" s="85" t="n">
        <v>8</v>
      </c>
      <c r="K27" t="inlineStr">
        <is>
          <t>Fish</t>
        </is>
      </c>
      <c r="L27" s="76" t="n">
        <v>0</v>
      </c>
    </row>
    <row r="28">
      <c r="J28" s="86" t="n">
        <v>9</v>
      </c>
      <c r="K28" t="inlineStr">
        <is>
          <t>Frozen</t>
        </is>
      </c>
      <c r="L28" s="76" t="n">
        <v>0</v>
      </c>
    </row>
    <row r="29">
      <c r="J29" s="87" t="n">
        <v>10</v>
      </c>
      <c r="K29" t="inlineStr">
        <is>
          <t>Frozen Food</t>
        </is>
      </c>
      <c r="L29" s="76" t="n">
        <v>19.16</v>
      </c>
    </row>
    <row r="30">
      <c r="J30" s="88" t="n">
        <v>11</v>
      </c>
      <c r="K30" t="inlineStr">
        <is>
          <t>Home Improvement</t>
        </is>
      </c>
      <c r="L30" s="76" t="n">
        <v>0</v>
      </c>
    </row>
    <row r="31">
      <c r="J31" s="89" t="n">
        <v>12</v>
      </c>
      <c r="K31" t="inlineStr">
        <is>
          <t>Meat</t>
        </is>
      </c>
      <c r="L31" s="76" t="n">
        <v>0</v>
      </c>
    </row>
    <row r="32">
      <c r="J32" s="90" t="n">
        <v>13</v>
      </c>
      <c r="K32" t="inlineStr">
        <is>
          <t>Office Supplies</t>
        </is>
      </c>
      <c r="L32" s="76" t="n">
        <v>0</v>
      </c>
    </row>
    <row r="33">
      <c r="J33" s="91" t="n">
        <v>14</v>
      </c>
      <c r="K33" t="inlineStr">
        <is>
          <t>Pantry</t>
        </is>
      </c>
      <c r="L33" s="76" t="n">
        <v>15.3</v>
      </c>
    </row>
    <row r="34">
      <c r="J34" s="92" t="n">
        <v>15</v>
      </c>
      <c r="K34" t="inlineStr">
        <is>
          <t>Pets</t>
        </is>
      </c>
      <c r="L34" s="76" t="n">
        <v>0</v>
      </c>
    </row>
    <row r="35">
      <c r="J35" s="93" t="n">
        <v>16</v>
      </c>
      <c r="K35" t="inlineStr">
        <is>
          <t>Prepared Eating</t>
        </is>
      </c>
      <c r="L35" s="76" t="n">
        <v>0</v>
      </c>
    </row>
    <row r="36">
      <c r="J36" s="94" t="n">
        <v>17</v>
      </c>
      <c r="K36" t="inlineStr">
        <is>
          <t>Produce</t>
        </is>
      </c>
      <c r="L36" s="76" t="n">
        <v>27.51</v>
      </c>
    </row>
    <row r="37">
      <c r="J37" s="95" t="n">
        <v>18</v>
      </c>
      <c r="K37" t="inlineStr">
        <is>
          <t>Self Care</t>
        </is>
      </c>
      <c r="L37" s="76" t="n">
        <v>0</v>
      </c>
    </row>
    <row r="38">
      <c r="J38" s="96" t="n">
        <v>19</v>
      </c>
      <c r="K38" t="inlineStr">
        <is>
          <t>Toiletries, Cleaning and Disposables</t>
        </is>
      </c>
      <c r="L38" s="76" t="n">
        <v>0</v>
      </c>
    </row>
    <row r="39">
      <c r="J39" s="97" t="n">
        <v>20</v>
      </c>
      <c r="K39" t="inlineStr">
        <is>
          <t>Torah</t>
        </is>
      </c>
      <c r="L39" s="76" t="n">
        <v>0</v>
      </c>
    </row>
    <row r="40">
      <c r="J40" s="78" t="n">
        <v>21</v>
      </c>
      <c r="K40" t="inlineStr">
        <is>
          <t>Wine</t>
        </is>
      </c>
      <c r="L40" s="76" t="n">
        <v>0</v>
      </c>
    </row>
    <row r="47">
      <c r="A47" s="63" t="inlineStr">
        <is>
          <t>Interpretation: the chart has exactly two bars. Budget is the full configured Budget Plan amount. Spent is one stacked bar; each colored segment is the amount spent in one Category through the Relevant Date. The number inside a segment matches the Category Key on the right.</t>
        </is>
      </c>
    </row>
    <row r="48"/>
    <row r="49"/>
  </sheetData>
  <mergeCells count="3">
    <mergeCell ref="J18:L18"/>
    <mergeCell ref="A47:H49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2026-08-26T22:04:37Z</dcterms:created>
  <dcterms:modified xmlns:dcterms="http://purl.org/dc/terms/" xmlns:xsi="http://www.w3.org/2001/XMLSchema-instance" xsi:type="dcterms:W3CDTF">2026-08-30T22:47:28Z</dcterms:modified>
  <cp:lastModifiedBy>garzoncarlosandres@gmail.com</cp:lastModifiedBy>
</cp:coreProperties>
</file>