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arlosgarzon/Desktop/Engineering/ShopGraph/shopping_analysis/data/database/"/>
    </mc:Choice>
  </mc:AlternateContent>
  <xr:revisionPtr revIDLastSave="0" documentId="13_ncr:1_{65FB81CD-4CF3-894D-AF3E-0D16120D35CA}" xr6:coauthVersionLast="47" xr6:coauthVersionMax="47" xr10:uidLastSave="{00000000-0000-0000-0000-000000000000}"/>
  <bookViews>
    <workbookView xWindow="940" yWindow="760" windowWidth="33620" windowHeight="21580" xr2:uid="{00000000-000D-0000-FFFF-FFFF00000000}"/>
  </bookViews>
  <sheets>
    <sheet name="Purchase History" sheetId="1" r:id="rId1"/>
    <sheet name="Category Manager" sheetId="2" r:id="rId2"/>
    <sheet name="Sub Analytics" sheetId="3" r:id="rId3"/>
    <sheet name="_SubAnalyticsData" sheetId="4" state="hidden" r:id="rId4"/>
    <sheet name="Analytics" sheetId="5" r:id="rId5"/>
    <sheet name="_AnalyticsData" sheetId="6" state="hidden" r:id="rId6"/>
    <sheet name="Imported Receipts" sheetId="7" state="hidden" r:id="rId7"/>
    <sheet name="Sheet1" sheetId="8" r:id="rId8"/>
    <sheet name="BP w1_Aug 26" sheetId="9" r:id="rId9"/>
    <sheet name="BP w1_sep 26" sheetId="10" r:id="rId10"/>
  </sheets>
  <definedNames>
    <definedName name="_xlnm._FilterDatabase" localSheetId="1" hidden="1">'Category Manager'!$A$1:$T$66</definedName>
    <definedName name="_xlnm._FilterDatabase" localSheetId="0" hidden="1">'Purchase History'!$A$1:$S$124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1" l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<sst xmlns="http://schemas.openxmlformats.org/spreadsheetml/2006/main" count="2609" uniqueCount="741">
  <si>
    <t>Excel Row</t>
  </si>
  <si>
    <t>Store</t>
  </si>
  <si>
    <t>Product</t>
  </si>
  <si>
    <t>New Common Name</t>
  </si>
  <si>
    <t>New Sub-Category</t>
  </si>
  <si>
    <t>Reason</t>
  </si>
  <si>
    <t>Aldi</t>
  </si>
  <si>
    <t>Sweet Potatoes</t>
  </si>
  <si>
    <t>Fresh Vegetables</t>
  </si>
  <si>
    <t>Aligns with ShopGraph's established granular treatment of fresh vegetables rather than broad Produce.</t>
  </si>
  <si>
    <t>Grape Tomatoes</t>
  </si>
  <si>
    <t>Tomatoes elsewhere are treated as Fresh Vegetables.</t>
  </si>
  <si>
    <t>Assort beans</t>
  </si>
  <si>
    <t>Assorted Beans</t>
  </si>
  <si>
    <t>Canned Beans &amp; Legumes</t>
  </si>
  <si>
    <t>Aldi's existing chickpeas and kidney beans establish this category for canned beans.</t>
  </si>
  <si>
    <t>Dark Red Kidney</t>
  </si>
  <si>
    <t>Dark Red Kidney Beans</t>
  </si>
  <si>
    <t>Existing classification is already specific and appropriate.</t>
  </si>
  <si>
    <t>Dice Tom w/GrnChl</t>
  </si>
  <si>
    <t>Diced Tomatoes with Green Chiles</t>
  </si>
  <si>
    <t>Canned Tomatoes</t>
  </si>
  <si>
    <t>A distinct canned tomato product; merits a reusable canned-tomato Sub-Category.</t>
  </si>
  <si>
    <t>Mandarins</t>
  </si>
  <si>
    <t>Mandarin Oranges</t>
  </si>
  <si>
    <t>Fresh Fruit</t>
  </si>
  <si>
    <t>Matches existing treatment of mandarins as Fresh Fruit.</t>
  </si>
  <si>
    <t>Olive Oil Spray</t>
  </si>
  <si>
    <t>Olive Oil Cooking Spray</t>
  </si>
  <si>
    <t>Cooking Oils &amp; Sprays</t>
  </si>
  <si>
    <t>Creates an analytically useful category shared with cooking oils/sprays.</t>
  </si>
  <si>
    <t>Flat Leaf Spinach</t>
  </si>
  <si>
    <t>Fresh spinach fits the established Fresh Vegetables taxonomy better than Produce.</t>
  </si>
  <si>
    <t>Chiquita Maduros</t>
  </si>
  <si>
    <t>Chiquita Maduros Sweet Plantains</t>
  </si>
  <si>
    <t>Frozen Plantains</t>
  </si>
  <si>
    <t>Identifies the prepared plantain product distinctly.</t>
  </si>
  <si>
    <t>Organic Peas/Corn</t>
  </si>
  <si>
    <t>Organic Peas &amp; Corn</t>
  </si>
  <si>
    <t>Frozen Vegetables</t>
  </si>
  <si>
    <t>Matches the existing Frozen Vegetables taxonomy.</t>
  </si>
  <si>
    <t>Red Potatoes</t>
  </si>
  <si>
    <t>Existing potato products are treated as Fresh Vegetables.</t>
  </si>
  <si>
    <t>Whipped Crm Cheese</t>
  </si>
  <si>
    <t>Whipped Cream Cheese</t>
  </si>
  <si>
    <t>Cream Cheese</t>
  </si>
  <si>
    <t>More analytically useful than the broad Dairy; establishes a reusable product-type category.</t>
  </si>
  <si>
    <t>Deli Sliced Cheese</t>
  </si>
  <si>
    <t>Cheese</t>
  </si>
  <si>
    <t>Matches the existing general Cheese category better than broad Dairy.</t>
  </si>
  <si>
    <t>HiFiber Tortilla</t>
  </si>
  <si>
    <t>High-Fiber Tortillas</t>
  </si>
  <si>
    <t>Tortillas</t>
  </si>
  <si>
    <t>More specific and reusable than broad Bakery.</t>
  </si>
  <si>
    <t>Strawberries</t>
  </si>
  <si>
    <t>Existing strawberries are Fresh Fruit.</t>
  </si>
  <si>
    <t>Mini Cucumbers</t>
  </si>
  <si>
    <t>Exact Common Name/Sub-Category precedent already exists.</t>
  </si>
  <si>
    <t>Canola Oil</t>
  </si>
  <si>
    <t>Shares a natural analytical category with olive oil cooking spray.</t>
  </si>
  <si>
    <t>White Corn Meal</t>
  </si>
  <si>
    <t>White Cornmeal</t>
  </si>
  <si>
    <t>Baking Ingredients</t>
  </si>
  <si>
    <t>Fits the established Baking Ingredients category.</t>
  </si>
  <si>
    <t>Crustless PB&amp;J</t>
  </si>
  <si>
    <t>Crustless Peanut Butter &amp; Jelly Sandwiches</t>
  </si>
  <si>
    <t>Frozen Sandwiches</t>
  </si>
  <si>
    <t>Distinct prepared frozen sandwich product.</t>
  </si>
  <si>
    <t>Cauli Crust Pizza</t>
  </si>
  <si>
    <t>Cauliflower Crust Pizza</t>
  </si>
  <si>
    <t>Frozen Pizza</t>
  </si>
  <si>
    <t>Exact Aldi precedent already exists.</t>
  </si>
  <si>
    <t>Avocados</t>
  </si>
  <si>
    <t>Uses the established food-type taxonomy rather than broad Produce.</t>
  </si>
  <si>
    <t>Wht Corn Tortillas</t>
  </si>
  <si>
    <t>White Corn Tortillas</t>
  </si>
  <si>
    <t>Same product family as the high-fiber tortillas.</t>
  </si>
  <si>
    <t>Org Baby Carrots</t>
  </si>
  <si>
    <t>Organic Baby Carrots</t>
  </si>
  <si>
    <t>The product is fresh carrots; Baby incorrectly describes “baby carrots” as a baby-product domain.</t>
  </si>
  <si>
    <t>Bagged Avocados</t>
  </si>
  <si>
    <t>Same underlying product type as avocados.</t>
  </si>
  <si>
    <t>Blueberries</t>
  </si>
  <si>
    <t>Exact existing Aldi classification.</t>
  </si>
  <si>
    <t>Cosmic Brewnies</t>
  </si>
  <si>
    <t>Cosmic Brownies</t>
  </si>
  <si>
    <t>Snack Cakes</t>
  </si>
  <si>
    <t>Packaged ready-to-eat brownie snack rather than a baking ingredient.</t>
  </si>
  <si>
    <t>Large Eggs</t>
  </si>
  <si>
    <t>Eggs</t>
  </si>
  <si>
    <t>Existing ShopGraph category already established.</t>
  </si>
  <si>
    <t>4 lb. Sugar</t>
  </si>
  <si>
    <t>Granulated Sugar, 4 lb</t>
  </si>
  <si>
    <t>Sugar naturally fits the existing Baking Ingredients taxonomy.</t>
  </si>
  <si>
    <t>Total</t>
  </si>
  <si>
    <t>Six-Digit SKU</t>
  </si>
  <si>
    <t>Tax Code</t>
  </si>
  <si>
    <t>Store Number</t>
  </si>
  <si>
    <t>Common Name</t>
  </si>
  <si>
    <t>Sub-Category</t>
  </si>
  <si>
    <t>Date 1</t>
  </si>
  <si>
    <t>Price 1</t>
  </si>
  <si>
    <t>Date 2</t>
  </si>
  <si>
    <t>Price 2</t>
  </si>
  <si>
    <t>Date 3</t>
  </si>
  <si>
    <t>Price 3</t>
  </si>
  <si>
    <t>Date 4</t>
  </si>
  <si>
    <t>Price 4</t>
  </si>
  <si>
    <t>Date 5</t>
  </si>
  <si>
    <t>Price 5</t>
  </si>
  <si>
    <t>Publix</t>
  </si>
  <si>
    <t>NA</t>
  </si>
  <si>
    <t>Stony Yobaby Pouch Peach</t>
  </si>
  <si>
    <t>F</t>
  </si>
  <si>
    <t>1058</t>
  </si>
  <si>
    <t>Stonyfield Organic YoBaby Yogurt Pouch, Peach</t>
  </si>
  <si>
    <t>Yogurt</t>
  </si>
  <si>
    <t>Stony Yobaby Pouch Banana</t>
  </si>
  <si>
    <t>Stonyfield Organic YoBaby Yogurt Pouch, Banana</t>
  </si>
  <si>
    <t>Sweet Loren's Gf Brownie</t>
  </si>
  <si>
    <t>Sweet Loren's Gluten Free Brownie Cookie Dough</t>
  </si>
  <si>
    <t>Refrigerated Dough</t>
  </si>
  <si>
    <t>Vans Waffle Blueberry Gf</t>
  </si>
  <si>
    <t>Van's Gluten Free Blueberry Waffles</t>
  </si>
  <si>
    <t>Frozen Breakfast</t>
  </si>
  <si>
    <t>Chobani 4Pk Hero Batch</t>
  </si>
  <si>
    <t>Chobani Greek Yogurt 4-Pack, Hero Batch</t>
  </si>
  <si>
    <t>Silk Soy Organic Nsa Hg</t>
  </si>
  <si>
    <t>Silk Organic Unsweet Soymilk, Half Gallon</t>
  </si>
  <si>
    <t>Plant-Based Milk</t>
  </si>
  <si>
    <t>Publix Half&amp;Half Hg</t>
  </si>
  <si>
    <t>Publix Half &amp; Half, Half Gallon</t>
  </si>
  <si>
    <t>Cream &amp; Half-and-Half</t>
  </si>
  <si>
    <t>383212</t>
  </si>
  <si>
    <t>GF Wide Pan Bread</t>
  </si>
  <si>
    <t>160</t>
  </si>
  <si>
    <t>Gluten-Free Wide Pan Bread</t>
  </si>
  <si>
    <t>Bread</t>
  </si>
  <si>
    <t>356691</t>
  </si>
  <si>
    <t>Zucchini</t>
  </si>
  <si>
    <t>356689</t>
  </si>
  <si>
    <t>Yellow Squash</t>
  </si>
  <si>
    <t>356421</t>
  </si>
  <si>
    <t>Medley Potatoes</t>
  </si>
  <si>
    <t>356537</t>
  </si>
  <si>
    <t>Cilantro</t>
  </si>
  <si>
    <t>Fresh Herbs</t>
  </si>
  <si>
    <t>856508</t>
  </si>
  <si>
    <t>Broccoli Crowns</t>
  </si>
  <si>
    <t>356496</t>
  </si>
  <si>
    <t>Beefsteak Tomatoes</t>
  </si>
  <si>
    <t>344280</t>
  </si>
  <si>
    <t>356427</t>
  </si>
  <si>
    <t>Multi-Peppers 3pk</t>
  </si>
  <si>
    <t>Multi-Color Peppers, 3-Pack</t>
  </si>
  <si>
    <t>356591</t>
  </si>
  <si>
    <t>Pink Lady Apple</t>
  </si>
  <si>
    <t>Pink Lady Apples</t>
  </si>
  <si>
    <t>356488</t>
  </si>
  <si>
    <t>Baby Carrots</t>
  </si>
  <si>
    <t>341979</t>
  </si>
  <si>
    <t>Pine/Water Spears</t>
  </si>
  <si>
    <t>Pineapple &amp; Watermelon Spears</t>
  </si>
  <si>
    <t>Fresh-Cut Fruit</t>
  </si>
  <si>
    <t>356504</t>
  </si>
  <si>
    <t>356374</t>
  </si>
  <si>
    <t>Golden Kiwi</t>
  </si>
  <si>
    <t>343738</t>
  </si>
  <si>
    <t>Humus Mini Cups</t>
  </si>
  <si>
    <t>Hummus Mini Cups</t>
  </si>
  <si>
    <t>Dips &amp; Spreads</t>
  </si>
  <si>
    <t>LesserEvil Popcorn</t>
  </si>
  <si>
    <t>Popcorn</t>
  </si>
  <si>
    <t>262747</t>
  </si>
  <si>
    <t>Bananas LRW</t>
  </si>
  <si>
    <t>Bananas</t>
  </si>
  <si>
    <t>328752</t>
  </si>
  <si>
    <t>Fruit &amp; Grain Bars</t>
  </si>
  <si>
    <t>Snack Bars</t>
  </si>
  <si>
    <t>856609</t>
  </si>
  <si>
    <t>Red Onions</t>
  </si>
  <si>
    <t>739153</t>
  </si>
  <si>
    <t>Organic Chickpeas</t>
  </si>
  <si>
    <t>381343</t>
  </si>
  <si>
    <t>381359</t>
  </si>
  <si>
    <t>Vinaigrette Drssng</t>
  </si>
  <si>
    <t>Vinaigrette Dressing</t>
  </si>
  <si>
    <t>Salad Dressing</t>
  </si>
  <si>
    <t>356578</t>
  </si>
  <si>
    <t>Parsley each</t>
  </si>
  <si>
    <t>Parsley</t>
  </si>
  <si>
    <t>400462</t>
  </si>
  <si>
    <t>OG Croutons</t>
  </si>
  <si>
    <t>Organic Croutons</t>
  </si>
  <si>
    <t>Croutons</t>
  </si>
  <si>
    <t>344583</t>
  </si>
  <si>
    <t>Evryd Plate 8.5in</t>
  </si>
  <si>
    <t>Everyday Paper Plates, 8.5 Inch</t>
  </si>
  <si>
    <t>Disposable Tableware</t>
  </si>
  <si>
    <t>384545</t>
  </si>
  <si>
    <t>NO Honey Wheat Brd</t>
  </si>
  <si>
    <t>No [or possibly Nature's Own] Honey Wheat Bread</t>
  </si>
  <si>
    <t>730325</t>
  </si>
  <si>
    <t>3pk_Gel Pens</t>
  </si>
  <si>
    <t>Gel Pens, 3-Pack</t>
  </si>
  <si>
    <t>Writing Supplies</t>
  </si>
  <si>
    <t>720921</t>
  </si>
  <si>
    <t>PB Toast Crackers FA</t>
  </si>
  <si>
    <t>Peanut Butter Toast Crackers</t>
  </si>
  <si>
    <t>Crackers</t>
  </si>
  <si>
    <t>383548</t>
  </si>
  <si>
    <t>Goat Cheese Logs</t>
  </si>
  <si>
    <t>Specialty Cheese</t>
  </si>
  <si>
    <t>713372</t>
  </si>
  <si>
    <t>Feta Crumbles</t>
  </si>
  <si>
    <t>Feta Cheese Crumbles</t>
  </si>
  <si>
    <t>CollapsibleStorage</t>
  </si>
  <si>
    <t>Collapsible Storage Container/Bin</t>
  </si>
  <si>
    <t>Storage &amp; Organization</t>
  </si>
  <si>
    <t>Trader Joe's</t>
  </si>
  <si>
    <t>EMPIRE KOSHER GROUND TRK</t>
  </si>
  <si>
    <t>0848</t>
  </si>
  <si>
    <t>Empire Kosher Ground Turkey</t>
  </si>
  <si>
    <t>Fresh Poultry</t>
  </si>
  <si>
    <t>R-STRAWBERRIES 1 LB</t>
  </si>
  <si>
    <t>Strawberries, 1 lb</t>
  </si>
  <si>
    <t>FIRE ROASTED RED PEPPERS</t>
  </si>
  <si>
    <t>Fire Roasted Red Peppers</t>
  </si>
  <si>
    <t>Jarred Vegetables</t>
  </si>
  <si>
    <t>PASTA CHICKPEA FUSILLI</t>
  </si>
  <si>
    <t>Chickpea Fusilli Pasta</t>
  </si>
  <si>
    <t>Pasta</t>
  </si>
  <si>
    <t>MUFFIN BLUEBERRY GLUTEN</t>
  </si>
  <si>
    <t>Gluten-Free Blueberry Muffins</t>
  </si>
  <si>
    <t>Muffins &amp; Pastries</t>
  </si>
  <si>
    <t>Honey Pineapple</t>
  </si>
  <si>
    <t>1 Caramel Macchiato</t>
  </si>
  <si>
    <t>Prepared Coffee</t>
  </si>
  <si>
    <t>1 Iced Caramel Macchiato</t>
  </si>
  <si>
    <t>1 Frenchy Plate</t>
  </si>
  <si>
    <t>LF</t>
  </si>
  <si>
    <t>Prepared Meals</t>
  </si>
  <si>
    <t>1 Chicken N French Toast</t>
  </si>
  <si>
    <t>T</t>
  </si>
  <si>
    <t>Tax</t>
  </si>
  <si>
    <t>Fees &amp; Charges</t>
  </si>
  <si>
    <t>Tip</t>
  </si>
  <si>
    <t>Walmart</t>
  </si>
  <si>
    <t>Safety 1 Soft Grip Brush &amp; Comb, Artic Blue</t>
  </si>
  <si>
    <t>0</t>
  </si>
  <si>
    <t>Safety 1st Soft Grip Brush &amp; Comb</t>
  </si>
  <si>
    <t>Baby Care</t>
  </si>
  <si>
    <t>The Honest Company Conditioning Detangler Sweet Cream Comfort 4 floz</t>
  </si>
  <si>
    <t>Honest Company Conditioning Detangler</t>
  </si>
  <si>
    <t>Hair Care</t>
  </si>
  <si>
    <t>Nestle Toll House Organic Allergen Free Dark Chocolate Regular Baking Chips, Morsels for Baking, 9 oz Bag</t>
  </si>
  <si>
    <t>Nestle Toll House Allergen-Free Dark Chocolate Baking Chips</t>
  </si>
  <si>
    <t>GHIRARDELLI Gluten Free Double Chocolate Brownie Mix, Gluten Free Baking Mix, Includes Chocolate Chips, 18 oz Box 20 shopped Qty1</t>
  </si>
  <si>
    <t>Ghirardelli Gluten-Free Double Chocolate Brownie Mix</t>
  </si>
  <si>
    <t>Baking Mixes</t>
  </si>
  <si>
    <t>Purina Tidy Cats With Glade Clear Springs Scented, Odor Control, Clumping Multi-Cat Litter 20 shopped Qty2</t>
  </si>
  <si>
    <t>Purina Tidy Cats Clumping Cat Litter</t>
  </si>
  <si>
    <t>Cat Litter</t>
  </si>
  <si>
    <t>Lawry's Kosher Coarse Ground With Parsley Garlic Salt, 6.0 oz Bottle</t>
  </si>
  <si>
    <t>Lawry's Garlic Salt</t>
  </si>
  <si>
    <t>Seasonings &amp; Spices</t>
  </si>
  <si>
    <t>Huggies Natural Care Sensitive Baby Wipes, Unscented, 3 Flip-Top Packs, 168 Count 20 shopped Qty1</t>
  </si>
  <si>
    <t>Huggies Natural Care Baby Wipes</t>
  </si>
  <si>
    <t>Pampers Swaddlers Fragrance Free Baby Diapers Size 5, 100 Count (Select for More Options) 20 shopped Qty1</t>
  </si>
  <si>
    <t>Pampers Swaddlers Size 5 Diapers</t>
  </si>
  <si>
    <t>Chobani Oatmilk Extra Creamy 52 floz Carton 20 shopped aty1</t>
  </si>
  <si>
    <t>Chobani Extra Creamy Oatmilk</t>
  </si>
  <si>
    <t>Desitin Maximum Strength Diaper Rash Cream, 40% Zinc Oxide, 4.8 oz</t>
  </si>
  <si>
    <t>Desitin Maximum Strength Diaper Rash Cream</t>
  </si>
  <si>
    <t>fairlife Lactose Free Reduced Fat Chocolate Ultra Filtered Milk, 52 floz</t>
  </si>
  <si>
    <t>Fairlife Chocolate Milk</t>
  </si>
  <si>
    <t>Milk</t>
  </si>
  <si>
    <t>Nestle Toll House Dark Chocolate Regular Baking Chips, 10 oz Bag 20 shopped Qty1</t>
  </si>
  <si>
    <t>Nestle Toll House Dark Chocolate Baking Chips</t>
  </si>
  <si>
    <t>Dove Body Wash For 24hr Lotion-Soft Skin Sensitive Skin Moisturizing Skin Cleanser Gentle Hypoallergenic Formula With</t>
  </si>
  <si>
    <t>Dove Sensitive Skin Body Wash</t>
  </si>
  <si>
    <t>Body Wash</t>
  </si>
  <si>
    <t>No Sulfates No Parabens, 11 Floz</t>
  </si>
  <si>
    <t>Great Value Large White Eggs 36 Count 20 shopped Qty1</t>
  </si>
  <si>
    <t>Great Value Large White Eggs</t>
  </si>
  <si>
    <t>Chobani 20G Protein Low-Fat Greek Yogurt Drink, Strawberries and Cream 10 fl oz Bottle, 4 Pack</t>
  </si>
  <si>
    <t>Chobani Protein Greek Yogurt Drink, Strawberries &amp; Cream</t>
  </si>
  <si>
    <t>McCormick Sea Salt Grinder, oz Bottle 20 shopped aty1</t>
  </si>
  <si>
    <t>McCormick Sea Salt Grinder</t>
  </si>
  <si>
    <t>Fresh Mandarin Oranges, 5 lb Bag 20 shopped Qty1</t>
  </si>
  <si>
    <t>Fresh Pink Lady Apples, 3lb Bag 20 shopped Qty1</t>
  </si>
  <si>
    <t>Fresh Banana, Each 7 weight adjusted Qty7</t>
  </si>
  <si>
    <t>CeraVe Baby Healing Ointment for Diaper Rash &amp; Cracked Chafed Dry Skin for Baby + Toddler 3 oz</t>
  </si>
  <si>
    <t>CeraVe Baby Healing Ointment</t>
  </si>
  <si>
    <t>Driver tip</t>
  </si>
  <si>
    <t>Driver Tip</t>
  </si>
  <si>
    <t>3 hours orless</t>
  </si>
  <si>
    <t>Express Delivery Fee</t>
  </si>
  <si>
    <t>diff</t>
  </si>
  <si>
    <t>Price Adjustment</t>
  </si>
  <si>
    <t>GHIRARDELLI Gluten Free Double Chocolate Brownie Mix, Gluten Free Baking Mix, Includes Chocolate Chips, 18 oz Box</t>
  </si>
  <si>
    <t>Pampers Swaddlers Fragrance Free Baby Diapers Size 5, 100 Count (Select for More Options</t>
  </si>
  <si>
    <t>Chobani Oatmitk Extra Creamy 52 floz Carton 20 shopped Qty1</t>
  </si>
  <si>
    <t>Nestle Tolt House Dark Chocolate Regular Baking Chips, 10 oz Bag 20 shopped Qty1</t>
  </si>
  <si>
    <t>Applegate Natural Chicken &amp; Maple Breakfast Sausage Patties, 16 oz, GF, Resealable Bag (Frozen), About 15 Pieces per Bag</t>
  </si>
  <si>
    <t>Applegate Chicken &amp; Maple Breakfast Sausage</t>
  </si>
  <si>
    <t>Frozen Meat</t>
  </si>
  <si>
    <t>McCormick Sea Salt Grinder, oz Bottle 20 shopped Qty1</t>
  </si>
  <si>
    <t>3 hours or less</t>
  </si>
  <si>
    <t>Nature's Bakery Gluten Free Raspberry Fig Bars in Twin pack Box, 20z Each 36 shopped Qty1</t>
  </si>
  <si>
    <t>Nature's Bakery Gluten-Free Raspberry Fig Bars</t>
  </si>
  <si>
    <t>Mahatma Jasmine Rice, Thai Fragrant Long Grain Rice, Gluten Free, 80 oz Bag (5 lbs</t>
  </si>
  <si>
    <t>Mahatma Jasmine Rice</t>
  </si>
  <si>
    <t>Rice &amp; Grains</t>
  </si>
  <si>
    <t>Hillshire Farm Ultra Thin Oven Roasted Turkey Breast Lunchmeat, 16 oz Plastic Tub, Refrigerated</t>
  </si>
  <si>
    <t>Hillshire Farm Oven Roasted Turkey Breast</t>
  </si>
  <si>
    <t>Deli Meat</t>
  </si>
  <si>
    <t>Hebrew National 100% Kosher Beef Franks, Hot Dogs, 10.3 oz 6 Count</t>
  </si>
  <si>
    <t>Hebrew National Beef Franks</t>
  </si>
  <si>
    <t>Hot Dogs &amp; Sausages</t>
  </si>
  <si>
    <t>Dave's Killer Bread Organic Oats &amp; Blues Regular Size Loaf, 25 oz, USDA Organic</t>
  </si>
  <si>
    <t>Dave's Killer Bread Oats &amp; Blues</t>
  </si>
  <si>
    <t>Birds Eye Steamfresh Sweet Peas, Frozen Vegetables, 10 oz. Bag</t>
  </si>
  <si>
    <t>Birds Eye Steamfresh Sweet Peas</t>
  </si>
  <si>
    <t>Cabot Creamery 4 Cheese Mexican Shredded Cheddar Cheese 2 lb (Refrigerated</t>
  </si>
  <si>
    <t>Cabot Mexican Shredded Cheese</t>
  </si>
  <si>
    <t>Ziploc Brand Slider Gallon Freezer Food Storage Bags, School Supplies, with Power Shield Technology, 40 Count</t>
  </si>
  <si>
    <t>Ziploc Gallon Freezer Bags</t>
  </si>
  <si>
    <t>Food Storage</t>
  </si>
  <si>
    <t>Ziploc Brand Freezer Food Storage Bags, School Supplies, with Grip 'n Seal Technology, Zipper, Quart, 50 Count</t>
  </si>
  <si>
    <t>Ziploc Quart Freezer Bags</t>
  </si>
  <si>
    <t>Fresh Mini Cucumbers, 16 oz</t>
  </si>
  <si>
    <t>2 pack) Yehuda Sabbath Candles,12ct</t>
  </si>
  <si>
    <t>Yehuda Sabbath Candles</t>
  </si>
  <si>
    <t>Judaica</t>
  </si>
  <si>
    <t>Fresh Yellow Squash, Each 11 weight adjusted aty1</t>
  </si>
  <si>
    <t>Fresh Zucchini, Each 11 weight adjusted aty1</t>
  </si>
  <si>
    <t>Fresh Whole Red Onion, Each</t>
  </si>
  <si>
    <t>Red Onion</t>
  </si>
  <si>
    <t>Fresh Tomato on the Vine, Bag (1.9 lbs/Bag Est.) 11 weight adjusted Qty1</t>
  </si>
  <si>
    <t>Tomatoes on the Vine</t>
  </si>
  <si>
    <t>Fresh Banana, Each 11 weight adjusted Qty7</t>
  </si>
  <si>
    <t>Command Heavy Duty Picture Hangers, Hold 20 tbs, Black, Damage-Free Hanging, 8 Pairs Adhesive Strips</t>
  </si>
  <si>
    <t>Command Heavy Duty Picture Hangers</t>
  </si>
  <si>
    <t>Home Improvement</t>
  </si>
  <si>
    <t>Dove Men+Care Antiperspirant Deodorant Stick 72-Hour Sweat &amp; Odor Protection Clean Comfort Antiperspirant For Men</t>
  </si>
  <si>
    <t>Dove Men+Care Antiperspirant</t>
  </si>
  <si>
    <t>Deodorant</t>
  </si>
  <si>
    <t>Dawn Ultra 11" Puff Glassware and Dish Cleaning Brush Wand with Sponge Head</t>
  </si>
  <si>
    <t>Dawn Dish Cleaning Brush Wand</t>
  </si>
  <si>
    <t>Dishwashing Supplies</t>
  </si>
  <si>
    <t>Once Upon a Farm Organic Tractor Wheels Toddler Bar, Apple, Sweet Potato &amp; Spinach, 10ct</t>
  </si>
  <si>
    <t>Once Upon a Farm Tractor Wheels Toddler Bars</t>
  </si>
  <si>
    <t>Baby &amp; Toddler Food</t>
  </si>
  <si>
    <t>Weiman Granite &amp; Stone Disinfectant Cleaner &amp; Polish, 24 floz</t>
  </si>
  <si>
    <t>Weiman Granite &amp; Stone Cleaner &amp; Polish</t>
  </si>
  <si>
    <t>Household Cleaners</t>
  </si>
  <si>
    <t>Chobani Low-Fat Vanilla Greek Yogurt Mixed Berry On The Bottom, Hero Batch z 4PK</t>
  </si>
  <si>
    <t>Chobani Vanilla Mixed Berry Greek Yogurt</t>
  </si>
  <si>
    <t>Fresh Banana, Each 4 weight adjusted aty4</t>
  </si>
  <si>
    <t>Jif Nsa P/B Creamy</t>
  </si>
  <si>
    <t>120</t>
  </si>
  <si>
    <t>Jif No Sugar Added Creamy Peanut Butter</t>
  </si>
  <si>
    <t>Peanut Butter</t>
  </si>
  <si>
    <t>King Arth G/ Pnck Hix</t>
  </si>
  <si>
    <t>King Arthur Gluten-Free Pancake Mix</t>
  </si>
  <si>
    <t>Bagged Green Beans</t>
  </si>
  <si>
    <t>Green Beans</t>
  </si>
  <si>
    <t>Potato Nibbles Ruby Sensa</t>
  </si>
  <si>
    <t>Ruby Sensation Potato Nibbles</t>
  </si>
  <si>
    <t>Cholula Cremosa Gltro Lme</t>
  </si>
  <si>
    <t>Cholula Cremosa Cilantro Lime Sauce</t>
  </si>
  <si>
    <t>Sauces &amp; Condiments</t>
  </si>
  <si>
    <t>Mc Sig Evrythng Bgel Ssng</t>
  </si>
  <si>
    <t>McCormick Everything Bagel Seasoning</t>
  </si>
  <si>
    <t>Banza White Cheddar Shel</t>
  </si>
  <si>
    <t>Banza White Cheddar Shells</t>
  </si>
  <si>
    <t>Macaroni &amp; Cheese</t>
  </si>
  <si>
    <t>anza White Cheddar Shel</t>
  </si>
  <si>
    <t>Annie's Dlx Shi&amp;Chd Gf</t>
  </si>
  <si>
    <t>Annie's Gluten-Free Deluxe Shells &amp; Cheddar</t>
  </si>
  <si>
    <t>Annie's Dlx Shl&amp;Chd Gf</t>
  </si>
  <si>
    <t>Gw Keta Salmon Fillet</t>
  </si>
  <si>
    <t>GreenWise Keta Salmon Fillet</t>
  </si>
  <si>
    <t>Fresh Seafood</t>
  </si>
  <si>
    <t>Daiya Shreds Mexican Bld</t>
  </si>
  <si>
    <t>Daiya Mexican Blend Shreds</t>
  </si>
  <si>
    <t>Plant-Based Cheese</t>
  </si>
  <si>
    <t>Tf Caesar Salad Kit Chop F</t>
  </si>
  <si>
    <t>Taylor Farms Chopped Caesar Salad Kit</t>
  </si>
  <si>
    <t>Salad Kits</t>
  </si>
  <si>
    <t>Tf Everything Salad Chop</t>
  </si>
  <si>
    <t>TF</t>
  </si>
  <si>
    <t>Taylor Farms Everything Chopped Salad Kit</t>
  </si>
  <si>
    <t>Hagen David Blackberry</t>
  </si>
  <si>
    <t>Häagen-Dazs Blackberry Ice Cream</t>
  </si>
  <si>
    <t>Wine</t>
  </si>
  <si>
    <t>238</t>
  </si>
  <si>
    <t>Category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</si>
  <si>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</si>
  <si>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</si>
  <si>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</si>
  <si>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</si>
  <si>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</si>
  <si>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</si>
  <si>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</si>
  <si>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</si>
  <si>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</si>
  <si>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</si>
  <si>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</si>
  <si>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</si>
  <si>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</si>
  <si>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</si>
  <si>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</si>
  <si>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</si>
  <si>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</si>
  <si>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</si>
  <si>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Pantry</t>
  </si>
  <si>
    <t>Dessert</t>
  </si>
  <si>
    <t>Toiletries, Cleaning and Disposables</t>
  </si>
  <si>
    <t>Bakery</t>
  </si>
  <si>
    <t>Pets</t>
  </si>
  <si>
    <t>Dairy</t>
  </si>
  <si>
    <t>Condiments &amp; Seasonings</t>
  </si>
  <si>
    <t>Meat</t>
  </si>
  <si>
    <t>Fees</t>
  </si>
  <si>
    <t>Produce</t>
  </si>
  <si>
    <t>Fish</t>
  </si>
  <si>
    <t>Frozen</t>
  </si>
  <si>
    <t>Frozen Food</t>
  </si>
  <si>
    <t>Self Care</t>
  </si>
  <si>
    <t>Torah</t>
  </si>
  <si>
    <t>Prepared Eating</t>
  </si>
  <si>
    <t>Office Supplies</t>
  </si>
  <si>
    <t>ShopGraph Sub Analytics</t>
  </si>
  <si>
    <t>Total Spending</t>
  </si>
  <si>
    <t>Purchase Observations</t>
  </si>
  <si>
    <t>Date Range</t>
  </si>
  <si>
    <t>Stores</t>
  </si>
  <si>
    <t>Sub-Categories</t>
  </si>
  <si>
    <t>08/06/2026 - 08/30/2026</t>
  </si>
  <si>
    <t>Number / Month</t>
  </si>
  <si>
    <t>How to Read This Graph</t>
  </si>
  <si>
    <t>#</t>
  </si>
  <si>
    <t>Description</t>
  </si>
  <si>
    <t>Value</t>
  </si>
  <si>
    <t>August 2026</t>
  </si>
  <si>
    <t>$979.80</t>
  </si>
  <si>
    <t>What it represents</t>
  </si>
  <si>
    <t>Shows total household spending for each calendar month. Every valid Date N / Price N purchase observation is added to its month.</t>
  </si>
  <si>
    <t>How to read it</t>
  </si>
  <si>
    <t>The x-axis uses month numbers instead of month names to keep the graph clear. Match each number to the month and dollar total in the key. A rising line means monthly spending increased; a falling line means it decreased.</t>
  </si>
  <si>
    <t>What it is useful for</t>
  </si>
  <si>
    <t>Use this to identify overall spending trends, unusually expensive months, and whether spending is gradually moving up or down over time.</t>
  </si>
  <si>
    <t>Notes</t>
  </si>
  <si>
    <t>Months with no spending between the earliest and latest purchase dates are included as zero-spend months.</t>
  </si>
  <si>
    <t>Number / Sub-Category</t>
  </si>
  <si>
    <t>$136.04</t>
  </si>
  <si>
    <t>$87.39</t>
  </si>
  <si>
    <t>Compares total spending across every sub-category in Purchase History. No sub-categories are collapsed into an 'Other' group.</t>
  </si>
  <si>
    <t>$69.72</t>
  </si>
  <si>
    <t>$53.99</t>
  </si>
  <si>
    <t>$47.88</t>
  </si>
  <si>
    <t>$45.36</t>
  </si>
  <si>
    <t>$32.26</t>
  </si>
  <si>
    <t>$31.20</t>
  </si>
  <si>
    <t>Each horizontal bar is identified by a number and color. Use the key to map that number/color to the sub-category name and exact spending amount. Longer bars mean more money was spent in that sub-category.</t>
  </si>
  <si>
    <t>$28.54</t>
  </si>
  <si>
    <t>$26.91</t>
  </si>
  <si>
    <t>$19.88</t>
  </si>
  <si>
    <t>$18.88</t>
  </si>
  <si>
    <t>$18.49</t>
  </si>
  <si>
    <t>$18.19</t>
  </si>
  <si>
    <t>Use this to see which types of goods are the biggest drivers of household spending.</t>
  </si>
  <si>
    <t>$16.58</t>
  </si>
  <si>
    <t>$16.14</t>
  </si>
  <si>
    <t>$14.46</t>
  </si>
  <si>
    <t>$14.29</t>
  </si>
  <si>
    <t>$13.98</t>
  </si>
  <si>
    <t>$13.92</t>
  </si>
  <si>
    <t>$13.42</t>
  </si>
  <si>
    <t>$13.08</t>
  </si>
  <si>
    <t>$11.76</t>
  </si>
  <si>
    <t>$11.00</t>
  </si>
  <si>
    <t>$10.64</t>
  </si>
  <si>
    <t>$10.00</t>
  </si>
  <si>
    <t>$9.98</t>
  </si>
  <si>
    <t>$9.95</t>
  </si>
  <si>
    <t>$8.38</t>
  </si>
  <si>
    <t>$7.78</t>
  </si>
  <si>
    <t>$7.19</t>
  </si>
  <si>
    <t>$7.01</t>
  </si>
  <si>
    <t>$6.99</t>
  </si>
  <si>
    <t>$6.88</t>
  </si>
  <si>
    <t>$6.48</t>
  </si>
  <si>
    <t>$6.29</t>
  </si>
  <si>
    <t>$6.24</t>
  </si>
  <si>
    <t>$5.99</t>
  </si>
  <si>
    <t>$5.89</t>
  </si>
  <si>
    <t>$5.74</t>
  </si>
  <si>
    <t>$5.65</t>
  </si>
  <si>
    <t>$5.42</t>
  </si>
  <si>
    <t>$5.25</t>
  </si>
  <si>
    <t>$4.88</t>
  </si>
  <si>
    <t>$4.46</t>
  </si>
  <si>
    <t>$3.89</t>
  </si>
  <si>
    <t>$3.69</t>
  </si>
  <si>
    <t>$3.45</t>
  </si>
  <si>
    <t>$3.29</t>
  </si>
  <si>
    <t>$3.19</t>
  </si>
  <si>
    <t>$3.16</t>
  </si>
  <si>
    <t>$3.12</t>
  </si>
  <si>
    <t>$2.99</t>
  </si>
  <si>
    <t>$2.86</t>
  </si>
  <si>
    <t>$2.79</t>
  </si>
  <si>
    <t>$2.39</t>
  </si>
  <si>
    <t>$1.99</t>
  </si>
  <si>
    <t>$1.84</t>
  </si>
  <si>
    <t>$1.79</t>
  </si>
  <si>
    <t>$0.95</t>
  </si>
  <si>
    <t>Number / Store</t>
  </si>
  <si>
    <t>$574.97</t>
  </si>
  <si>
    <t>$180.89</t>
  </si>
  <si>
    <t>Compares how much money was spent at each retailer across the entire Purchase History.</t>
  </si>
  <si>
    <t>$145.58</t>
  </si>
  <si>
    <t>$48.12</t>
  </si>
  <si>
    <t>$30.24</t>
  </si>
  <si>
    <t>Each store is represented by a numbered colored bar. Match the number/color to the key. Longer bars indicate more total spending at that store.</t>
  </si>
  <si>
    <t>Use this to understand which retailers receive the largest share of your household shopping budget.</t>
  </si>
  <si>
    <t>Store Number is intentionally ignored here; purchases are grouped by the Store name.</t>
  </si>
  <si>
    <t>$136.04 (13.9%)</t>
  </si>
  <si>
    <t>$87.39 (8.9%)</t>
  </si>
  <si>
    <t>Shows each sub-category's share of total spending as part of the whole shopping budget.</t>
  </si>
  <si>
    <t>$69.72 (7.1%)</t>
  </si>
  <si>
    <t>$53.99 (5.5%)</t>
  </si>
  <si>
    <t>$47.88 (4.9%)</t>
  </si>
  <si>
    <t>$45.36 (4.6%)</t>
  </si>
  <si>
    <t>$32.26 (3.3%)</t>
  </si>
  <si>
    <t>$31.20 (3.2%)</t>
  </si>
  <si>
    <t>The doughnut itself displays only numeric sub-category codes. Match each number/color to the key for the sub-category name, dollar amount, and percentage of total spending.</t>
  </si>
  <si>
    <t>$28.54 (2.9%)</t>
  </si>
  <si>
    <t>$26.91 (2.7%)</t>
  </si>
  <si>
    <t>$19.88 (2.0%)</t>
  </si>
  <si>
    <t>$18.88 (1.9%)</t>
  </si>
  <si>
    <t>$18.49 (1.9%)</t>
  </si>
  <si>
    <t>$18.19 (1.9%)</t>
  </si>
  <si>
    <t>Use this for a fast visual picture of the household spending mix—especially which sub-categories take the largest portion of the budget.</t>
  </si>
  <si>
    <t>$16.58 (1.7%)</t>
  </si>
  <si>
    <t>$16.14 (1.6%)</t>
  </si>
  <si>
    <t>$14.46 (1.5%)</t>
  </si>
  <si>
    <t>$14.29 (1.5%)</t>
  </si>
  <si>
    <t>$13.98 (1.4%)</t>
  </si>
  <si>
    <t>$13.92 (1.4%)</t>
  </si>
  <si>
    <t>Unlike the older dashboard, this graph does not create a large 'Other' slice. Every sub-category receives its own numbered segment.</t>
  </si>
  <si>
    <t>$13.42 (1.4%)</t>
  </si>
  <si>
    <t>$13.08 (1.3%)</t>
  </si>
  <si>
    <t>$11.76 (1.2%)</t>
  </si>
  <si>
    <t>$11.00 (1.1%)</t>
  </si>
  <si>
    <t>$10.64 (1.1%)</t>
  </si>
  <si>
    <t>$10.00 (1.0%)</t>
  </si>
  <si>
    <t>$9.98 (1.0%)</t>
  </si>
  <si>
    <t>$9.95 (1.0%)</t>
  </si>
  <si>
    <t>$8.38 (0.9%)</t>
  </si>
  <si>
    <t>$7.78 (0.8%)</t>
  </si>
  <si>
    <t>$7.19 (0.7%)</t>
  </si>
  <si>
    <t>$7.01 (0.7%)</t>
  </si>
  <si>
    <t>$6.99 (0.7%)</t>
  </si>
  <si>
    <t>$6.88 (0.7%)</t>
  </si>
  <si>
    <t>$6.48 (0.7%)</t>
  </si>
  <si>
    <t>$6.29 (0.6%)</t>
  </si>
  <si>
    <t>$6.24 (0.6%)</t>
  </si>
  <si>
    <t>$5.99 (0.6%)</t>
  </si>
  <si>
    <t>$5.89 (0.6%)</t>
  </si>
  <si>
    <t>$5.74 (0.6%)</t>
  </si>
  <si>
    <t>$5.65 (0.6%)</t>
  </si>
  <si>
    <t>$5.42 (0.6%)</t>
  </si>
  <si>
    <t>$5.25 (0.5%)</t>
  </si>
  <si>
    <t>$4.88 (0.5%)</t>
  </si>
  <si>
    <t>$4.46 (0.5%)</t>
  </si>
  <si>
    <t>$3.89 (0.4%)</t>
  </si>
  <si>
    <t>$3.69 (0.4%)</t>
  </si>
  <si>
    <t>$3.45 (0.4%)</t>
  </si>
  <si>
    <t>$3.29 (0.3%)</t>
  </si>
  <si>
    <t>$3.19 (0.3%)</t>
  </si>
  <si>
    <t>$3.16 (0.3%)</t>
  </si>
  <si>
    <t>$3.12 (0.3%)</t>
  </si>
  <si>
    <t>$2.99 (0.3%)</t>
  </si>
  <si>
    <t>$2.86 (0.3%)</t>
  </si>
  <si>
    <t>$2.79 (0.3%)</t>
  </si>
  <si>
    <t>$2.39 (0.2%)</t>
  </si>
  <si>
    <t>$1.99 (0.2%)</t>
  </si>
  <si>
    <t>$1.84 (0.2%)</t>
  </si>
  <si>
    <t>$1.79 (0.2%)</t>
  </si>
  <si>
    <t>$0.95 (0.1%)</t>
  </si>
  <si>
    <t>Number / Product</t>
  </si>
  <si>
    <t>$79.54</t>
  </si>
  <si>
    <t>Ranks the ten individual product identities with the most accumulated spending across all recorded purchases.</t>
  </si>
  <si>
    <t>$46.78</t>
  </si>
  <si>
    <t>$24.88</t>
  </si>
  <si>
    <t>$19.96</t>
  </si>
  <si>
    <t>$19.91</t>
  </si>
  <si>
    <t>Each product is represented by a numbered colored bar. Use the key to see the product name and its total spending. The longest bar is the largest individual spending driver.</t>
  </si>
  <si>
    <t>$19.34</t>
  </si>
  <si>
    <t>$18.57</t>
  </si>
  <si>
    <t>Use this to identify specific products that contribute the most to total spending and may be worth price-comparing or watching over time.</t>
  </si>
  <si>
    <t>Product identity prefers Common Name and falls back to Product when Common Name is unavailable.</t>
  </si>
  <si>
    <t>Store Numbers + Month Numbers</t>
  </si>
  <si>
    <t>Shows how monthly spending is divided among stores. Each column is one month; each colored section inside the column represents one store.</t>
  </si>
  <si>
    <t>Month August 2026</t>
  </si>
  <si>
    <t>Store series use the numbered color key. The x-axis uses month numbers. Match those month numbers to the month rows in the key. The total height of a column is total monthly spending; the colored portions show which stores made up that total.</t>
  </si>
  <si>
    <t>Use this to see whether changes in monthly spending are connected to a particular store and how your retailer mix changes over time.</t>
  </si>
  <si>
    <t>All stores are retained. There is no catch-all 'Other' store series.</t>
  </si>
  <si>
    <t>24</t>
  </si>
  <si>
    <t>23</t>
  </si>
  <si>
    <t>Counts how many valid purchase observations occurred in each sub-category. This measures frequency, not dollars.</t>
  </si>
  <si>
    <t>14</t>
  </si>
  <si>
    <t>10</t>
  </si>
  <si>
    <t>6</t>
  </si>
  <si>
    <t>5</t>
  </si>
  <si>
    <t>Each sub-category is a numbered colored bar. Match the number and color to the key. A longer bar means the sub-category was purchased more frequently.</t>
  </si>
  <si>
    <t>4</t>
  </si>
  <si>
    <t>3</t>
  </si>
  <si>
    <t>Use this alongside Spending by Sub-Category to distinguish frequent routine purchases from sub-categories that are bought less often but cost more.</t>
  </si>
  <si>
    <t>2</t>
  </si>
  <si>
    <t>1</t>
  </si>
  <si>
    <t>Monthly Spending</t>
  </si>
  <si>
    <t>Spending by Sub-Category</t>
  </si>
  <si>
    <t>Spending by Store</t>
  </si>
  <si>
    <t>Spending Share by Sub-Category</t>
  </si>
  <si>
    <t>Top Products by Spending</t>
  </si>
  <si>
    <t>Purchase Frequency by Sub-Category</t>
  </si>
  <si>
    <t>Monthly Spending by Store</t>
  </si>
  <si>
    <t>Number</t>
  </si>
  <si>
    <t>Month</t>
  </si>
  <si>
    <t>Spending</t>
  </si>
  <si>
    <t>Purchases</t>
  </si>
  <si>
    <t>Month Number</t>
  </si>
  <si>
    <t>ShopGraph Spending Analytics</t>
  </si>
  <si>
    <t>Categories</t>
  </si>
  <si>
    <t>08/06/2026 - 08/28/2026</t>
  </si>
  <si>
    <t>$899.73</t>
  </si>
  <si>
    <t>Number / Category</t>
  </si>
  <si>
    <t>$146.02</t>
  </si>
  <si>
    <t>$111.93</t>
  </si>
  <si>
    <t>Compares total spending across every category in Purchase History. No categories are collapsed into an 'Other' group.</t>
  </si>
  <si>
    <t>$111.26</t>
  </si>
  <si>
    <t>$86.18</t>
  </si>
  <si>
    <t>$56.28</t>
  </si>
  <si>
    <t>$42.20</t>
  </si>
  <si>
    <t>Each horizontal bar is identified by a number and color. Use the key to map that number/color to the category name and exact spending amount. Longer bars mean more money was spent in that category.</t>
  </si>
  <si>
    <t>$37.96</t>
  </si>
  <si>
    <t>$25.48</t>
  </si>
  <si>
    <t>$24.83</t>
  </si>
  <si>
    <t>$22.13</t>
  </si>
  <si>
    <t>$9.76</t>
  </si>
  <si>
    <t>$9.56</t>
  </si>
  <si>
    <t>$100.82</t>
  </si>
  <si>
    <t>$146.02 (16.2%)</t>
  </si>
  <si>
    <t>$111.93 (12.4%)</t>
  </si>
  <si>
    <t>Shows each category's share of total spending as part of the whole shopping budget.</t>
  </si>
  <si>
    <t>$111.26 (12.4%)</t>
  </si>
  <si>
    <t>$87.39 (9.7%)</t>
  </si>
  <si>
    <t>$86.18 (9.6%)</t>
  </si>
  <si>
    <t>$56.28 (6.3%)</t>
  </si>
  <si>
    <t>$47.88 (5.3%)</t>
  </si>
  <si>
    <t>$42.20 (4.7%)</t>
  </si>
  <si>
    <t>The doughnut itself displays only numeric category codes. Match each number/color to the key for the category name, dollar amount, and percentage of total spending.</t>
  </si>
  <si>
    <t>$37.96 (4.2%)</t>
  </si>
  <si>
    <t>$28.54 (3.2%)</t>
  </si>
  <si>
    <t>$25.48 (2.8%)</t>
  </si>
  <si>
    <t>$24.83 (2.8%)</t>
  </si>
  <si>
    <t>$22.13 (2.5%)</t>
  </si>
  <si>
    <t>$14.29 (1.6%)</t>
  </si>
  <si>
    <t>Use this for a fast visual picture of the household spending mix—especially which categories take the largest portion of the budget.</t>
  </si>
  <si>
    <t>$13.92 (1.5%)</t>
  </si>
  <si>
    <t>$9.76 (1.1%)</t>
  </si>
  <si>
    <t>$9.56 (1.1%)</t>
  </si>
  <si>
    <t>$7.78 (0.9%)</t>
  </si>
  <si>
    <t>$7.19 (0.8%)</t>
  </si>
  <si>
    <t>$5.99 (0.7%)</t>
  </si>
  <si>
    <t>Unlike the older dashboard, this graph does not create a large 'Other' slice. Every category receives its own numbered segment.</t>
  </si>
  <si>
    <t>$3.16 (0.4%)</t>
  </si>
  <si>
    <t>$16.74</t>
  </si>
  <si>
    <t>42</t>
  </si>
  <si>
    <t>Counts how many valid purchase observations occurred in each category. This measures frequency, not dollars.</t>
  </si>
  <si>
    <t>19</t>
  </si>
  <si>
    <t>11</t>
  </si>
  <si>
    <t>7</t>
  </si>
  <si>
    <t>Each category is a numbered colored bar. Match the number and color to the key. A longer bar means the category was purchased more frequently.</t>
  </si>
  <si>
    <t>Use this alongside Spending by Category to distinguish frequent routine purchases from categories that are bought less often but cost more.</t>
  </si>
  <si>
    <t>Spending by Category</t>
  </si>
  <si>
    <t>Spending Share by Category</t>
  </si>
  <si>
    <t>Purchase Frequency by Category</t>
  </si>
  <si>
    <t>Source OCR JSON</t>
  </si>
  <si>
    <t>Receipt Date</t>
  </si>
  <si>
    <t>Imported Timestamp</t>
  </si>
  <si>
    <t>IMG_0250_raw_ocr.json</t>
  </si>
  <si>
    <t>IMG_0251_raw_ocr.json</t>
  </si>
  <si>
    <t>IMG_0255_raw_ocr.json</t>
  </si>
  <si>
    <t>IMG_0257_raw_ocr.json</t>
  </si>
  <si>
    <t>walmart_aug_6_raw_ocr.json</t>
  </si>
  <si>
    <t>080726_Walmart_0_raw_ocr.json</t>
  </si>
  <si>
    <t>081326_Walmart_0_raw_ocr.json</t>
  </si>
  <si>
    <t>081326_Walmart_0_B_raw_ocr.json</t>
  </si>
  <si>
    <t>082626_Walmart_0_raw_ocr.json</t>
  </si>
  <si>
    <t>082826_Publix_120_raw_ocr.json</t>
  </si>
  <si>
    <t>083026_ALDI_238_raw_ocr.json</t>
  </si>
  <si>
    <t>w1_Aug</t>
  </si>
  <si>
    <t>Date</t>
  </si>
  <si>
    <t>Ideal Remaining Budget</t>
  </si>
  <si>
    <t>Actual Remaining Budget</t>
  </si>
  <si>
    <t>Cumulative Spending</t>
  </si>
  <si>
    <t>Comparison</t>
  </si>
  <si>
    <t>Budget</t>
  </si>
  <si>
    <t>8</t>
  </si>
  <si>
    <t>9</t>
  </si>
  <si>
    <t>12</t>
  </si>
  <si>
    <t>13</t>
  </si>
  <si>
    <t>15</t>
  </si>
  <si>
    <t>16</t>
  </si>
  <si>
    <t>17</t>
  </si>
  <si>
    <t>18</t>
  </si>
  <si>
    <t>20</t>
  </si>
  <si>
    <t>21</t>
  </si>
  <si>
    <t>Budget Plan</t>
  </si>
  <si>
    <t>Spent</t>
  </si>
  <si>
    <t>Start Date</t>
  </si>
  <si>
    <t>End Date</t>
  </si>
  <si>
    <t>Category Scope</t>
  </si>
  <si>
    <t>All Categories</t>
  </si>
  <si>
    <t>Total Spent</t>
  </si>
  <si>
    <t>Remaining Budget</t>
  </si>
  <si>
    <t>Relevant Date</t>
  </si>
  <si>
    <t>Ideal Spending Through Relevant Date</t>
  </si>
  <si>
    <t>Actual Spending Through Relevant Date</t>
  </si>
  <si>
    <t>Ahead / Behind Budget</t>
  </si>
  <si>
    <t>Behind by $80.07</t>
  </si>
  <si>
    <t>Budget vs Category Spending</t>
  </si>
  <si>
    <t>Category Key</t>
  </si>
  <si>
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</si>
  <si>
    <t>w1_sep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</si>
</sst>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h:mm"/>
    <numFmt numFmtId="166" formatCode="mmm\ yyyy"/>
    <numFmt numFmtId="167" formatCode="\$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2"/>
      <color rgb="FFFFFFFF"/>
      <name val="Calibri"/>
      <family val="2"/>
    </font>
    <font>
      <b/>
      <sz val="11"/>
      <color rgb="FF404040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1"/>
      <color rgb="FF40404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264478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264478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255E91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997300"/>
      </patternFill>
    </fill>
    <fill>
      <patternFill patternType="solid">
        <fgColor rgb="FF264478"/>
      </patternFill>
    </fill>
    <fill>
      <patternFill patternType="solid">
        <fgColor rgb="FF43682B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92A9CF"/>
      </patternFill>
    </fill>
    <fill>
      <patternFill patternType="solid">
        <fgColor rgb="FF95B3D7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7F7F7F"/>
      </patternFill>
    </fill>
    <fill>
      <patternFill patternType="solid">
        <fgColor rgb="FF806000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9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4" borderId="0" xfId="0" applyFill="1"/>
    <xf numFmtId="0" fontId="1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3" borderId="0" xfId="0" applyFill="1"/>
    <xf numFmtId="0" fontId="1" fillId="0" borderId="0" xfId="0" applyFont="1"/>
    <xf numFmtId="0" fontId="7" fillId="0" borderId="0" xfId="0" applyFont="1"/>
    <xf numFmtId="0" fontId="9" fillId="0" borderId="0" xfId="0" applyFont="1" applyAlignment="1">
      <alignment horizontal="left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0" fillId="17" borderId="0" xfId="0" applyFill="1"/>
    <xf numFmtId="0" fontId="11" fillId="0" borderId="0" xfId="0" applyFont="1" applyAlignment="1">
      <alignment horizontal="center"/>
    </xf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11" fillId="0" borderId="0" xfId="0" applyFont="1"/>
    <xf numFmtId="0" fontId="14" fillId="16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vertical="top" wrapText="1"/>
    </xf>
    <xf numFmtId="0" fontId="0" fillId="29" borderId="1" xfId="0" applyFill="1" applyBorder="1" applyAlignment="1">
      <alignment vertical="top" wrapText="1"/>
    </xf>
    <xf numFmtId="0" fontId="11" fillId="30" borderId="1" xfId="0" applyFont="1" applyFill="1" applyBorder="1" applyAlignment="1">
      <alignment vertical="top" wrapText="1"/>
    </xf>
    <xf numFmtId="0" fontId="0" fillId="30" borderId="1" xfId="0" applyFill="1" applyBorder="1" applyAlignment="1">
      <alignment vertical="top" wrapText="1"/>
    </xf>
    <xf numFmtId="0" fontId="11" fillId="31" borderId="1" xfId="0" applyFont="1" applyFill="1" applyBorder="1" applyAlignment="1">
      <alignment vertical="top" wrapText="1"/>
    </xf>
    <xf numFmtId="0" fontId="0" fillId="31" borderId="1" xfId="0" applyFill="1" applyBorder="1" applyAlignment="1">
      <alignment vertical="top" wrapText="1"/>
    </xf>
    <xf numFmtId="0" fontId="11" fillId="32" borderId="1" xfId="0" applyFont="1" applyFill="1" applyBorder="1" applyAlignment="1">
      <alignment vertical="top" wrapText="1"/>
    </xf>
    <xf numFmtId="0" fontId="0" fillId="32" borderId="1" xfId="0" applyFill="1" applyBorder="1" applyAlignment="1">
      <alignment vertical="top" wrapText="1"/>
    </xf>
    <xf numFmtId="0" fontId="11" fillId="33" borderId="1" xfId="0" applyFont="1" applyFill="1" applyBorder="1" applyAlignment="1">
      <alignment vertical="top" wrapText="1"/>
    </xf>
    <xf numFmtId="0" fontId="0" fillId="33" borderId="1" xfId="0" applyFill="1" applyBorder="1" applyAlignment="1">
      <alignment vertical="top" wrapText="1"/>
    </xf>
    <xf numFmtId="0" fontId="11" fillId="34" borderId="1" xfId="0" applyFont="1" applyFill="1" applyBorder="1" applyAlignment="1">
      <alignment vertical="top" wrapText="1"/>
    </xf>
    <xf numFmtId="0" fontId="0" fillId="34" borderId="1" xfId="0" applyFill="1" applyBorder="1" applyAlignment="1">
      <alignment vertical="top" wrapText="1"/>
    </xf>
    <xf numFmtId="0" fontId="1" fillId="30" borderId="1" xfId="0" applyFont="1" applyFill="1" applyBorder="1" applyAlignment="1">
      <alignment vertical="top" wrapText="1"/>
    </xf>
    <xf numFmtId="0" fontId="1" fillId="33" borderId="1" xfId="0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0" fontId="1" fillId="32" borderId="1" xfId="0" applyFont="1" applyFill="1" applyBorder="1" applyAlignment="1">
      <alignment vertical="top" wrapText="1"/>
    </xf>
    <xf numFmtId="0" fontId="16" fillId="0" borderId="0" xfId="0" applyFont="1"/>
    <xf numFmtId="0" fontId="16" fillId="36" borderId="0" xfId="0" applyFont="1" applyFill="1"/>
    <xf numFmtId="0" fontId="17" fillId="0" borderId="0" xfId="0" applyFont="1"/>
    <xf numFmtId="0" fontId="19" fillId="37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  <xf numFmtId="0" fontId="19" fillId="41" borderId="0" xfId="0" applyFont="1" applyFill="1" applyAlignment="1">
      <alignment horizontal="center"/>
    </xf>
    <xf numFmtId="0" fontId="19" fillId="42" borderId="0" xfId="0" applyFont="1" applyFill="1" applyAlignment="1">
      <alignment horizontal="center"/>
    </xf>
    <xf numFmtId="0" fontId="19" fillId="43" borderId="0" xfId="0" applyFont="1" applyFill="1" applyAlignment="1">
      <alignment horizontal="center"/>
    </xf>
    <xf numFmtId="0" fontId="19" fillId="44" borderId="0" xfId="0" applyFont="1" applyFill="1" applyAlignment="1">
      <alignment horizontal="center"/>
    </xf>
    <xf numFmtId="0" fontId="19" fillId="45" borderId="0" xfId="0" applyFont="1" applyFill="1" applyAlignment="1">
      <alignment horizontal="center"/>
    </xf>
    <xf numFmtId="0" fontId="19" fillId="46" borderId="0" xfId="0" applyFont="1" applyFill="1" applyAlignment="1">
      <alignment horizontal="center"/>
    </xf>
    <xf numFmtId="0" fontId="19" fillId="47" borderId="0" xfId="0" applyFont="1" applyFill="1" applyAlignment="1">
      <alignment horizontal="center"/>
    </xf>
    <xf numFmtId="0" fontId="19" fillId="48" borderId="0" xfId="0" applyFont="1" applyFill="1" applyAlignment="1">
      <alignment horizontal="center"/>
    </xf>
    <xf numFmtId="0" fontId="19" fillId="49" borderId="0" xfId="0" applyFont="1" applyFill="1" applyAlignment="1">
      <alignment horizontal="center"/>
    </xf>
    <xf numFmtId="0" fontId="19" fillId="50" borderId="0" xfId="0" applyFont="1" applyFill="1" applyAlignment="1">
      <alignment horizontal="center"/>
    </xf>
    <xf numFmtId="0" fontId="19" fillId="51" borderId="0" xfId="0" applyFont="1" applyFill="1" applyAlignment="1">
      <alignment horizontal="center"/>
    </xf>
    <xf numFmtId="0" fontId="19" fillId="52" borderId="0" xfId="0" applyFont="1" applyFill="1" applyAlignment="1">
      <alignment horizontal="center"/>
    </xf>
    <xf numFmtId="0" fontId="19" fillId="53" borderId="0" xfId="0" applyFont="1" applyFill="1" applyAlignment="1">
      <alignment horizontal="center"/>
    </xf>
    <xf numFmtId="0" fontId="19" fillId="54" borderId="0" xfId="0" applyFont="1" applyFill="1" applyAlignment="1">
      <alignment horizontal="center"/>
    </xf>
    <xf numFmtId="0" fontId="19" fillId="55" borderId="0" xfId="0" applyFont="1" applyFill="1" applyAlignment="1">
      <alignment horizontal="center"/>
    </xf>
    <xf numFmtId="0" fontId="19" fillId="56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  <xf numFmtId="0" fontId="12" fillId="16" borderId="0" xfId="0" applyFont="1" applyFill="1" applyAlignment="1">
      <alignment horizontal="left" vertical="center"/>
    </xf>
    <xf numFmtId="0" fontId="13" fillId="0" borderId="0" xfId="0" applyFont="1"/>
    <xf numFmtId="0" fontId="8" fillId="16" borderId="0" xfId="0" applyFont="1" applyFill="1" applyAlignment="1">
      <alignment horizontal="center" vertical="center"/>
    </xf>
    <xf numFmtId="0" fontId="6" fillId="0" borderId="0" xfId="0" applyFont="1"/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8" fillId="0" borderId="0" xfId="0" applyFont="1"/>
    <xf numFmtId="0" fontId="15" fillId="3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_SubAnalyticsData!$C$2</c:f>
              <c:strCache>
                <c:ptCount val="1"/>
                <c:pt idx="0">
                  <c:v>Spending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_SubAnalyticsData!$A$3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_SubAnalyticsData!$C$3</c:f>
              <c:numCache>
                <c:formatCode>\$#,##0.00</c:formatCode>
                <c:ptCount val="1"/>
                <c:pt idx="0">
                  <c:v>979.80000000000041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2A-2847-803F-51D9139CE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_SubAnalyticsData!$G$2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18-B94C-9FB2-1EC13671B500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18-B94C-9FB2-1EC13671B500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18-B94C-9FB2-1EC13671B500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518-B94C-9FB2-1EC13671B500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518-B94C-9FB2-1EC13671B500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518-B94C-9FB2-1EC13671B500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518-B94C-9FB2-1EC13671B500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518-B94C-9FB2-1EC13671B500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518-B94C-9FB2-1EC13671B500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518-B94C-9FB2-1EC13671B500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518-B94C-9FB2-1EC13671B500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518-B94C-9FB2-1EC13671B500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518-B94C-9FB2-1EC13671B500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518-B94C-9FB2-1EC13671B500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518-B94C-9FB2-1EC13671B500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518-B94C-9FB2-1EC13671B500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518-B94C-9FB2-1EC13671B500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518-B94C-9FB2-1EC13671B500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C518-B94C-9FB2-1EC13671B500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C518-B94C-9FB2-1EC13671B500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C518-B94C-9FB2-1EC13671B500}"/>
              </c:ext>
            </c:extLst>
          </c:dPt>
          <c:dPt>
            <c:idx val="21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C518-B94C-9FB2-1EC13671B500}"/>
              </c:ext>
            </c:extLst>
          </c:dPt>
          <c:dPt>
            <c:idx val="22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C518-B94C-9FB2-1EC13671B500}"/>
              </c:ext>
            </c:extLst>
          </c:dPt>
          <c:dPt>
            <c:idx val="23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C518-B94C-9FB2-1EC13671B500}"/>
              </c:ext>
            </c:extLst>
          </c:dPt>
          <c:dPt>
            <c:idx val="24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C518-B94C-9FB2-1EC13671B500}"/>
              </c:ext>
            </c:extLst>
          </c:dPt>
          <c:dPt>
            <c:idx val="25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C518-B94C-9FB2-1EC13671B500}"/>
              </c:ext>
            </c:extLst>
          </c:dPt>
          <c:dPt>
            <c:idx val="26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C518-B94C-9FB2-1EC13671B500}"/>
              </c:ext>
            </c:extLst>
          </c:dPt>
          <c:dPt>
            <c:idx val="27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C518-B94C-9FB2-1EC13671B500}"/>
              </c:ext>
            </c:extLst>
          </c:dPt>
          <c:dPt>
            <c:idx val="28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C518-B94C-9FB2-1EC13671B500}"/>
              </c:ext>
            </c:extLst>
          </c:dPt>
          <c:dPt>
            <c:idx val="29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C518-B94C-9FB2-1EC13671B500}"/>
              </c:ext>
            </c:extLst>
          </c:dPt>
          <c:dPt>
            <c:idx val="30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C518-B94C-9FB2-1EC13671B500}"/>
              </c:ext>
            </c:extLst>
          </c:dPt>
          <c:dPt>
            <c:idx val="31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C518-B94C-9FB2-1EC13671B500}"/>
              </c:ext>
            </c:extLst>
          </c:dPt>
          <c:dPt>
            <c:idx val="32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C518-B94C-9FB2-1EC13671B500}"/>
              </c:ext>
            </c:extLst>
          </c:dPt>
          <c:dPt>
            <c:idx val="33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C518-B94C-9FB2-1EC13671B500}"/>
              </c:ext>
            </c:extLst>
          </c:dPt>
          <c:dPt>
            <c:idx val="34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C518-B94C-9FB2-1EC13671B500}"/>
              </c:ext>
            </c:extLst>
          </c:dPt>
          <c:dPt>
            <c:idx val="35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C518-B94C-9FB2-1EC13671B500}"/>
              </c:ext>
            </c:extLst>
          </c:dPt>
          <c:dPt>
            <c:idx val="36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C518-B94C-9FB2-1EC13671B500}"/>
              </c:ext>
            </c:extLst>
          </c:dPt>
          <c:dPt>
            <c:idx val="37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C518-B94C-9FB2-1EC13671B500}"/>
              </c:ext>
            </c:extLst>
          </c:dPt>
          <c:dPt>
            <c:idx val="38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C518-B94C-9FB2-1EC13671B500}"/>
              </c:ext>
            </c:extLst>
          </c:dPt>
          <c:dPt>
            <c:idx val="39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C518-B94C-9FB2-1EC13671B500}"/>
              </c:ext>
            </c:extLst>
          </c:dPt>
          <c:dPt>
            <c:idx val="40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C518-B94C-9FB2-1EC13671B500}"/>
              </c:ext>
            </c:extLst>
          </c:dPt>
          <c:dPt>
            <c:idx val="41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C518-B94C-9FB2-1EC13671B500}"/>
              </c:ext>
            </c:extLst>
          </c:dPt>
          <c:dPt>
            <c:idx val="42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C518-B94C-9FB2-1EC13671B500}"/>
              </c:ext>
            </c:extLst>
          </c:dPt>
          <c:dPt>
            <c:idx val="43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C518-B94C-9FB2-1EC13671B500}"/>
              </c:ext>
            </c:extLst>
          </c:dPt>
          <c:dPt>
            <c:idx val="44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C518-B94C-9FB2-1EC13671B500}"/>
              </c:ext>
            </c:extLst>
          </c:dPt>
          <c:dPt>
            <c:idx val="45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C518-B94C-9FB2-1EC13671B500}"/>
              </c:ext>
            </c:extLst>
          </c:dPt>
          <c:dPt>
            <c:idx val="46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C518-B94C-9FB2-1EC13671B500}"/>
              </c:ext>
            </c:extLst>
          </c:dPt>
          <c:dPt>
            <c:idx val="47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C518-B94C-9FB2-1EC13671B500}"/>
              </c:ext>
            </c:extLst>
          </c:dPt>
          <c:dPt>
            <c:idx val="48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C518-B94C-9FB2-1EC13671B500}"/>
              </c:ext>
            </c:extLst>
          </c:dPt>
          <c:dPt>
            <c:idx val="49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C518-B94C-9FB2-1EC13671B500}"/>
              </c:ext>
            </c:extLst>
          </c:dPt>
          <c:dPt>
            <c:idx val="50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C518-B94C-9FB2-1EC13671B500}"/>
              </c:ext>
            </c:extLst>
          </c:dPt>
          <c:dPt>
            <c:idx val="51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C518-B94C-9FB2-1EC13671B500}"/>
              </c:ext>
            </c:extLst>
          </c:dPt>
          <c:dPt>
            <c:idx val="5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C518-B94C-9FB2-1EC13671B500}"/>
              </c:ext>
            </c:extLst>
          </c:dPt>
          <c:dPt>
            <c:idx val="53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C518-B94C-9FB2-1EC13671B500}"/>
              </c:ext>
            </c:extLst>
          </c:dPt>
          <c:dPt>
            <c:idx val="54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C518-B94C-9FB2-1EC13671B500}"/>
              </c:ext>
            </c:extLst>
          </c:dPt>
          <c:dPt>
            <c:idx val="55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C518-B94C-9FB2-1EC13671B500}"/>
              </c:ext>
            </c:extLst>
          </c:dPt>
          <c:dPt>
            <c:idx val="56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C518-B94C-9FB2-1EC13671B500}"/>
              </c:ext>
            </c:extLst>
          </c:dPt>
          <c:dPt>
            <c:idx val="57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C518-B94C-9FB2-1EC13671B500}"/>
              </c:ext>
            </c:extLst>
          </c:dPt>
          <c:dPt>
            <c:idx val="58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C518-B94C-9FB2-1EC13671B500}"/>
              </c:ext>
            </c:extLst>
          </c:dPt>
          <c:dPt>
            <c:idx val="59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C518-B94C-9FB2-1EC13671B500}"/>
              </c:ext>
            </c:extLst>
          </c:dPt>
          <c:dPt>
            <c:idx val="6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C518-B94C-9FB2-1EC13671B500}"/>
              </c:ext>
            </c:extLst>
          </c:dPt>
          <c:dPt>
            <c:idx val="6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C518-B94C-9FB2-1EC13671B500}"/>
              </c:ext>
            </c:extLst>
          </c:dPt>
          <c:dPt>
            <c:idx val="6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C518-B94C-9FB2-1EC13671B500}"/>
              </c:ext>
            </c:extLst>
          </c:dPt>
          <c:dPt>
            <c:idx val="6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C518-B94C-9FB2-1EC13671B50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_SubAnalyticsData!$E$3:$E$66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_SubAnalyticsData!$G$3:$G$66</c:f>
              <c:numCache>
                <c:formatCode>\$#,##0.00</c:formatCode>
                <c:ptCount val="64"/>
                <c:pt idx="0">
                  <c:v>136.04</c:v>
                </c:pt>
                <c:pt idx="1">
                  <c:v>87.39</c:v>
                </c:pt>
                <c:pt idx="2">
                  <c:v>69.72</c:v>
                </c:pt>
                <c:pt idx="3">
                  <c:v>53.990000000000009</c:v>
                </c:pt>
                <c:pt idx="4">
                  <c:v>47.88</c:v>
                </c:pt>
                <c:pt idx="5">
                  <c:v>45.360000000000007</c:v>
                </c:pt>
                <c:pt idx="6">
                  <c:v>32.260000000000012</c:v>
                </c:pt>
                <c:pt idx="7">
                  <c:v>31.2</c:v>
                </c:pt>
                <c:pt idx="8">
                  <c:v>28.54</c:v>
                </c:pt>
                <c:pt idx="9">
                  <c:v>26.91</c:v>
                </c:pt>
                <c:pt idx="10">
                  <c:v>19.88</c:v>
                </c:pt>
                <c:pt idx="11">
                  <c:v>18.88</c:v>
                </c:pt>
                <c:pt idx="12">
                  <c:v>18.489999999999998</c:v>
                </c:pt>
                <c:pt idx="13">
                  <c:v>18.190000000000001</c:v>
                </c:pt>
                <c:pt idx="14">
                  <c:v>16.579999999999998</c:v>
                </c:pt>
                <c:pt idx="15">
                  <c:v>16.14</c:v>
                </c:pt>
                <c:pt idx="16">
                  <c:v>14.46</c:v>
                </c:pt>
                <c:pt idx="17">
                  <c:v>14.29</c:v>
                </c:pt>
                <c:pt idx="18">
                  <c:v>13.98</c:v>
                </c:pt>
                <c:pt idx="19">
                  <c:v>13.92</c:v>
                </c:pt>
                <c:pt idx="20">
                  <c:v>13.42</c:v>
                </c:pt>
                <c:pt idx="21">
                  <c:v>13.08</c:v>
                </c:pt>
                <c:pt idx="22">
                  <c:v>11.76</c:v>
                </c:pt>
                <c:pt idx="23">
                  <c:v>11</c:v>
                </c:pt>
                <c:pt idx="24">
                  <c:v>10.64</c:v>
                </c:pt>
                <c:pt idx="25">
                  <c:v>10</c:v>
                </c:pt>
                <c:pt idx="26">
                  <c:v>9.98</c:v>
                </c:pt>
                <c:pt idx="27">
                  <c:v>9.9499999999999993</c:v>
                </c:pt>
                <c:pt idx="28">
                  <c:v>8.3800000000000008</c:v>
                </c:pt>
                <c:pt idx="29">
                  <c:v>7.78</c:v>
                </c:pt>
                <c:pt idx="30">
                  <c:v>7.19</c:v>
                </c:pt>
                <c:pt idx="31">
                  <c:v>7.01</c:v>
                </c:pt>
                <c:pt idx="32">
                  <c:v>6.99</c:v>
                </c:pt>
                <c:pt idx="33">
                  <c:v>6.88</c:v>
                </c:pt>
                <c:pt idx="34">
                  <c:v>6.48</c:v>
                </c:pt>
                <c:pt idx="35">
                  <c:v>6.29</c:v>
                </c:pt>
                <c:pt idx="36">
                  <c:v>6.24</c:v>
                </c:pt>
                <c:pt idx="37">
                  <c:v>5.99</c:v>
                </c:pt>
                <c:pt idx="38">
                  <c:v>5.99</c:v>
                </c:pt>
                <c:pt idx="39">
                  <c:v>5.99</c:v>
                </c:pt>
                <c:pt idx="40">
                  <c:v>5.89</c:v>
                </c:pt>
                <c:pt idx="41">
                  <c:v>5.74</c:v>
                </c:pt>
                <c:pt idx="42">
                  <c:v>5.65</c:v>
                </c:pt>
                <c:pt idx="43">
                  <c:v>5.42</c:v>
                </c:pt>
                <c:pt idx="44">
                  <c:v>5.25</c:v>
                </c:pt>
                <c:pt idx="45">
                  <c:v>4.88</c:v>
                </c:pt>
                <c:pt idx="46">
                  <c:v>4.46</c:v>
                </c:pt>
                <c:pt idx="47">
                  <c:v>3.89</c:v>
                </c:pt>
                <c:pt idx="48">
                  <c:v>3.69</c:v>
                </c:pt>
                <c:pt idx="49">
                  <c:v>3.45</c:v>
                </c:pt>
                <c:pt idx="50">
                  <c:v>3.29</c:v>
                </c:pt>
                <c:pt idx="51">
                  <c:v>3.19</c:v>
                </c:pt>
                <c:pt idx="52">
                  <c:v>3.16</c:v>
                </c:pt>
                <c:pt idx="53">
                  <c:v>3.12</c:v>
                </c:pt>
                <c:pt idx="54">
                  <c:v>2.99</c:v>
                </c:pt>
                <c:pt idx="55">
                  <c:v>2.99</c:v>
                </c:pt>
                <c:pt idx="56">
                  <c:v>2.99</c:v>
                </c:pt>
                <c:pt idx="57">
                  <c:v>2.86</c:v>
                </c:pt>
                <c:pt idx="58">
                  <c:v>2.79</c:v>
                </c:pt>
                <c:pt idx="59">
                  <c:v>2.39</c:v>
                </c:pt>
                <c:pt idx="60">
                  <c:v>1.99</c:v>
                </c:pt>
                <c:pt idx="61">
                  <c:v>1.84</c:v>
                </c:pt>
                <c:pt idx="62">
                  <c:v>1.79</c:v>
                </c:pt>
                <c:pt idx="6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C518-B94C-9FB2-1EC13671B50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_SubAnalyticsData!$K$2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B3-424F-A5AC-872B171E92BD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B3-424F-A5AC-872B171E92BD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B3-424F-A5AC-872B171E92BD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B3-424F-A5AC-872B171E92BD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B3-424F-A5AC-872B171E92B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_SubAnalyticsData!$I$3:$I$7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_SubAnalyticsData!$K$3:$K$7</c:f>
              <c:numCache>
                <c:formatCode>\$#,##0.00</c:formatCode>
                <c:ptCount val="5"/>
                <c:pt idx="0">
                  <c:v>574.97000000000037</c:v>
                </c:pt>
                <c:pt idx="1">
                  <c:v>180.8899999999999</c:v>
                </c:pt>
                <c:pt idx="2">
                  <c:v>145.58000000000001</c:v>
                </c:pt>
                <c:pt idx="3">
                  <c:v>48.12</c:v>
                </c:pt>
                <c:pt idx="4">
                  <c:v>30.24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B3-424F-A5AC-872B171E92B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Share by Sub-Category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_SubAnalyticsData!$O$2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07-DC4D-8D35-F6526CA762D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07-DC4D-8D35-F6526CA762DF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07-DC4D-8D35-F6526CA762DF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E07-DC4D-8D35-F6526CA762D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E07-DC4D-8D35-F6526CA762DF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E07-DC4D-8D35-F6526CA762DF}"/>
              </c:ext>
            </c:extLst>
          </c:dPt>
          <c:dPt>
            <c:idx val="6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E07-DC4D-8D35-F6526CA762DF}"/>
              </c:ext>
            </c:extLst>
          </c:dPt>
          <c:dPt>
            <c:idx val="7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E07-DC4D-8D35-F6526CA762DF}"/>
              </c:ext>
            </c:extLst>
          </c:dPt>
          <c:dPt>
            <c:idx val="8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E07-DC4D-8D35-F6526CA762DF}"/>
              </c:ext>
            </c:extLst>
          </c:dPt>
          <c:dPt>
            <c:idx val="9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E07-DC4D-8D35-F6526CA762DF}"/>
              </c:ext>
            </c:extLst>
          </c:dPt>
          <c:dPt>
            <c:idx val="10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E07-DC4D-8D35-F6526CA762DF}"/>
              </c:ext>
            </c:extLst>
          </c:dPt>
          <c:dPt>
            <c:idx val="1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E07-DC4D-8D35-F6526CA762DF}"/>
              </c:ext>
            </c:extLst>
          </c:dPt>
          <c:dPt>
            <c:idx val="12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E07-DC4D-8D35-F6526CA762DF}"/>
              </c:ext>
            </c:extLst>
          </c:dPt>
          <c:dPt>
            <c:idx val="13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E07-DC4D-8D35-F6526CA762DF}"/>
              </c:ext>
            </c:extLst>
          </c:dPt>
          <c:dPt>
            <c:idx val="14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E07-DC4D-8D35-F6526CA762DF}"/>
              </c:ext>
            </c:extLst>
          </c:dPt>
          <c:dPt>
            <c:idx val="15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E07-DC4D-8D35-F6526CA762DF}"/>
              </c:ext>
            </c:extLst>
          </c:dPt>
          <c:dPt>
            <c:idx val="16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E07-DC4D-8D35-F6526CA762DF}"/>
              </c:ext>
            </c:extLst>
          </c:dPt>
          <c:dPt>
            <c:idx val="17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E07-DC4D-8D35-F6526CA762DF}"/>
              </c:ext>
            </c:extLst>
          </c:dPt>
          <c:dPt>
            <c:idx val="18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E07-DC4D-8D35-F6526CA762DF}"/>
              </c:ext>
            </c:extLst>
          </c:dPt>
          <c:dPt>
            <c:idx val="19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E07-DC4D-8D35-F6526CA762DF}"/>
              </c:ext>
            </c:extLst>
          </c:dPt>
          <c:dPt>
            <c:idx val="20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DE07-DC4D-8D35-F6526CA762DF}"/>
              </c:ext>
            </c:extLst>
          </c:dPt>
          <c:dPt>
            <c:idx val="2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DE07-DC4D-8D35-F6526CA762DF}"/>
              </c:ext>
            </c:extLst>
          </c:dPt>
          <c:dPt>
            <c:idx val="22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DE07-DC4D-8D35-F6526CA762DF}"/>
              </c:ext>
            </c:extLst>
          </c:dPt>
          <c:dPt>
            <c:idx val="23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DE07-DC4D-8D35-F6526CA762DF}"/>
              </c:ext>
            </c:extLst>
          </c:dPt>
          <c:dPt>
            <c:idx val="24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DE07-DC4D-8D35-F6526CA762DF}"/>
              </c:ext>
            </c:extLst>
          </c:dPt>
          <c:dPt>
            <c:idx val="25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DE07-DC4D-8D35-F6526CA762DF}"/>
              </c:ext>
            </c:extLst>
          </c:dPt>
          <c:dPt>
            <c:idx val="26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DE07-DC4D-8D35-F6526CA762DF}"/>
              </c:ext>
            </c:extLst>
          </c:dPt>
          <c:dPt>
            <c:idx val="27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DE07-DC4D-8D35-F6526CA762DF}"/>
              </c:ext>
            </c:extLst>
          </c:dPt>
          <c:dPt>
            <c:idx val="28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DE07-DC4D-8D35-F6526CA762DF}"/>
              </c:ext>
            </c:extLst>
          </c:dPt>
          <c:dPt>
            <c:idx val="29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DE07-DC4D-8D35-F6526CA762DF}"/>
              </c:ext>
            </c:extLst>
          </c:dPt>
          <c:dPt>
            <c:idx val="30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DE07-DC4D-8D35-F6526CA762DF}"/>
              </c:ext>
            </c:extLst>
          </c:dPt>
          <c:dPt>
            <c:idx val="3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DE07-DC4D-8D35-F6526CA762DF}"/>
              </c:ext>
            </c:extLst>
          </c:dPt>
          <c:dPt>
            <c:idx val="32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DE07-DC4D-8D35-F6526CA762DF}"/>
              </c:ext>
            </c:extLst>
          </c:dPt>
          <c:dPt>
            <c:idx val="33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DE07-DC4D-8D35-F6526CA762DF}"/>
              </c:ext>
            </c:extLst>
          </c:dPt>
          <c:dPt>
            <c:idx val="34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DE07-DC4D-8D35-F6526CA762DF}"/>
              </c:ext>
            </c:extLst>
          </c:dPt>
          <c:dPt>
            <c:idx val="35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DE07-DC4D-8D35-F6526CA762DF}"/>
              </c:ext>
            </c:extLst>
          </c:dPt>
          <c:dPt>
            <c:idx val="36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DE07-DC4D-8D35-F6526CA762DF}"/>
              </c:ext>
            </c:extLst>
          </c:dPt>
          <c:dPt>
            <c:idx val="37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DE07-DC4D-8D35-F6526CA762DF}"/>
              </c:ext>
            </c:extLst>
          </c:dPt>
          <c:dPt>
            <c:idx val="38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DE07-DC4D-8D35-F6526CA762DF}"/>
              </c:ext>
            </c:extLst>
          </c:dPt>
          <c:dPt>
            <c:idx val="39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DE07-DC4D-8D35-F6526CA762DF}"/>
              </c:ext>
            </c:extLst>
          </c:dPt>
          <c:dPt>
            <c:idx val="4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DE07-DC4D-8D35-F6526CA762DF}"/>
              </c:ext>
            </c:extLst>
          </c:dPt>
          <c:dPt>
            <c:idx val="4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DE07-DC4D-8D35-F6526CA762DF}"/>
              </c:ext>
            </c:extLst>
          </c:dPt>
          <c:dPt>
            <c:idx val="42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DE07-DC4D-8D35-F6526CA762DF}"/>
              </c:ext>
            </c:extLst>
          </c:dPt>
          <c:dPt>
            <c:idx val="43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DE07-DC4D-8D35-F6526CA762DF}"/>
              </c:ext>
            </c:extLst>
          </c:dPt>
          <c:dPt>
            <c:idx val="44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DE07-DC4D-8D35-F6526CA762DF}"/>
              </c:ext>
            </c:extLst>
          </c:dPt>
          <c:dPt>
            <c:idx val="45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DE07-DC4D-8D35-F6526CA762DF}"/>
              </c:ext>
            </c:extLst>
          </c:dPt>
          <c:dPt>
            <c:idx val="46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DE07-DC4D-8D35-F6526CA762DF}"/>
              </c:ext>
            </c:extLst>
          </c:dPt>
          <c:dPt>
            <c:idx val="47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DE07-DC4D-8D35-F6526CA762DF}"/>
              </c:ext>
            </c:extLst>
          </c:dPt>
          <c:dPt>
            <c:idx val="48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DE07-DC4D-8D35-F6526CA762DF}"/>
              </c:ext>
            </c:extLst>
          </c:dPt>
          <c:dPt>
            <c:idx val="49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DE07-DC4D-8D35-F6526CA762DF}"/>
              </c:ext>
            </c:extLst>
          </c:dPt>
          <c:dPt>
            <c:idx val="50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DE07-DC4D-8D35-F6526CA762DF}"/>
              </c:ext>
            </c:extLst>
          </c:dPt>
          <c:dPt>
            <c:idx val="5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DE07-DC4D-8D35-F6526CA762DF}"/>
              </c:ext>
            </c:extLst>
          </c:dPt>
          <c:dPt>
            <c:idx val="52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DE07-DC4D-8D35-F6526CA762DF}"/>
              </c:ext>
            </c:extLst>
          </c:dPt>
          <c:dPt>
            <c:idx val="53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DE07-DC4D-8D35-F6526CA762DF}"/>
              </c:ext>
            </c:extLst>
          </c:dPt>
          <c:dPt>
            <c:idx val="54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DE07-DC4D-8D35-F6526CA762DF}"/>
              </c:ext>
            </c:extLst>
          </c:dPt>
          <c:dPt>
            <c:idx val="55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DE07-DC4D-8D35-F6526CA762DF}"/>
              </c:ext>
            </c:extLst>
          </c:dPt>
          <c:dPt>
            <c:idx val="56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DE07-DC4D-8D35-F6526CA762DF}"/>
              </c:ext>
            </c:extLst>
          </c:dPt>
          <c:dPt>
            <c:idx val="57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DE07-DC4D-8D35-F6526CA762DF}"/>
              </c:ext>
            </c:extLst>
          </c:dPt>
          <c:dPt>
            <c:idx val="58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DE07-DC4D-8D35-F6526CA762DF}"/>
              </c:ext>
            </c:extLst>
          </c:dPt>
          <c:dPt>
            <c:idx val="59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DE07-DC4D-8D35-F6526CA762DF}"/>
              </c:ext>
            </c:extLst>
          </c:dPt>
          <c:dPt>
            <c:idx val="6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DE07-DC4D-8D35-F6526CA762DF}"/>
              </c:ext>
            </c:extLst>
          </c:dPt>
          <c:dPt>
            <c:idx val="6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DE07-DC4D-8D35-F6526CA762DF}"/>
              </c:ext>
            </c:extLst>
          </c:dPt>
          <c:dPt>
            <c:idx val="62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DE07-DC4D-8D35-F6526CA762DF}"/>
              </c:ext>
            </c:extLst>
          </c:dPt>
          <c:dPt>
            <c:idx val="63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DE07-DC4D-8D35-F6526CA762D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0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_SubAnalyticsData!$M$3:$M$66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_SubAnalyticsData!$O$3:$O$66</c:f>
              <c:numCache>
                <c:formatCode>\$#,##0.00</c:formatCode>
                <c:ptCount val="64"/>
                <c:pt idx="0">
                  <c:v>136.04</c:v>
                </c:pt>
                <c:pt idx="1">
                  <c:v>87.39</c:v>
                </c:pt>
                <c:pt idx="2">
                  <c:v>69.72</c:v>
                </c:pt>
                <c:pt idx="3">
                  <c:v>53.990000000000009</c:v>
                </c:pt>
                <c:pt idx="4">
                  <c:v>47.88</c:v>
                </c:pt>
                <c:pt idx="5">
                  <c:v>45.360000000000007</c:v>
                </c:pt>
                <c:pt idx="6">
                  <c:v>32.260000000000012</c:v>
                </c:pt>
                <c:pt idx="7">
                  <c:v>31.2</c:v>
                </c:pt>
                <c:pt idx="8">
                  <c:v>28.54</c:v>
                </c:pt>
                <c:pt idx="9">
                  <c:v>26.91</c:v>
                </c:pt>
                <c:pt idx="10">
                  <c:v>19.88</c:v>
                </c:pt>
                <c:pt idx="11">
                  <c:v>18.88</c:v>
                </c:pt>
                <c:pt idx="12">
                  <c:v>18.489999999999998</c:v>
                </c:pt>
                <c:pt idx="13">
                  <c:v>18.190000000000001</c:v>
                </c:pt>
                <c:pt idx="14">
                  <c:v>16.579999999999998</c:v>
                </c:pt>
                <c:pt idx="15">
                  <c:v>16.14</c:v>
                </c:pt>
                <c:pt idx="16">
                  <c:v>14.46</c:v>
                </c:pt>
                <c:pt idx="17">
                  <c:v>14.29</c:v>
                </c:pt>
                <c:pt idx="18">
                  <c:v>13.98</c:v>
                </c:pt>
                <c:pt idx="19">
                  <c:v>13.92</c:v>
                </c:pt>
                <c:pt idx="20">
                  <c:v>13.42</c:v>
                </c:pt>
                <c:pt idx="21">
                  <c:v>13.08</c:v>
                </c:pt>
                <c:pt idx="22">
                  <c:v>11.76</c:v>
                </c:pt>
                <c:pt idx="23">
                  <c:v>11</c:v>
                </c:pt>
                <c:pt idx="24">
                  <c:v>10.64</c:v>
                </c:pt>
                <c:pt idx="25">
                  <c:v>10</c:v>
                </c:pt>
                <c:pt idx="26">
                  <c:v>9.98</c:v>
                </c:pt>
                <c:pt idx="27">
                  <c:v>9.9499999999999993</c:v>
                </c:pt>
                <c:pt idx="28">
                  <c:v>8.3800000000000008</c:v>
                </c:pt>
                <c:pt idx="29">
                  <c:v>7.78</c:v>
                </c:pt>
                <c:pt idx="30">
                  <c:v>7.19</c:v>
                </c:pt>
                <c:pt idx="31">
                  <c:v>7.01</c:v>
                </c:pt>
                <c:pt idx="32">
                  <c:v>6.99</c:v>
                </c:pt>
                <c:pt idx="33">
                  <c:v>6.88</c:v>
                </c:pt>
                <c:pt idx="34">
                  <c:v>6.48</c:v>
                </c:pt>
                <c:pt idx="35">
                  <c:v>6.29</c:v>
                </c:pt>
                <c:pt idx="36">
                  <c:v>6.24</c:v>
                </c:pt>
                <c:pt idx="37">
                  <c:v>5.99</c:v>
                </c:pt>
                <c:pt idx="38">
                  <c:v>5.99</c:v>
                </c:pt>
                <c:pt idx="39">
                  <c:v>5.99</c:v>
                </c:pt>
                <c:pt idx="40">
                  <c:v>5.89</c:v>
                </c:pt>
                <c:pt idx="41">
                  <c:v>5.74</c:v>
                </c:pt>
                <c:pt idx="42">
                  <c:v>5.65</c:v>
                </c:pt>
                <c:pt idx="43">
                  <c:v>5.42</c:v>
                </c:pt>
                <c:pt idx="44">
                  <c:v>5.25</c:v>
                </c:pt>
                <c:pt idx="45">
                  <c:v>4.88</c:v>
                </c:pt>
                <c:pt idx="46">
                  <c:v>4.46</c:v>
                </c:pt>
                <c:pt idx="47">
                  <c:v>3.89</c:v>
                </c:pt>
                <c:pt idx="48">
                  <c:v>3.69</c:v>
                </c:pt>
                <c:pt idx="49">
                  <c:v>3.45</c:v>
                </c:pt>
                <c:pt idx="50">
                  <c:v>3.29</c:v>
                </c:pt>
                <c:pt idx="51">
                  <c:v>3.19</c:v>
                </c:pt>
                <c:pt idx="52">
                  <c:v>3.16</c:v>
                </c:pt>
                <c:pt idx="53">
                  <c:v>3.12</c:v>
                </c:pt>
                <c:pt idx="54">
                  <c:v>2.99</c:v>
                </c:pt>
                <c:pt idx="55">
                  <c:v>2.99</c:v>
                </c:pt>
                <c:pt idx="56">
                  <c:v>2.99</c:v>
                </c:pt>
                <c:pt idx="57">
                  <c:v>2.86</c:v>
                </c:pt>
                <c:pt idx="58">
                  <c:v>2.79</c:v>
                </c:pt>
                <c:pt idx="59">
                  <c:v>2.39</c:v>
                </c:pt>
                <c:pt idx="60">
                  <c:v>1.99</c:v>
                </c:pt>
                <c:pt idx="61">
                  <c:v>1.84</c:v>
                </c:pt>
                <c:pt idx="62">
                  <c:v>1.79</c:v>
                </c:pt>
                <c:pt idx="6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DE07-DC4D-8D35-F6526CA762DF}"/>
            </c:ext>
          </c:extLst>
        </c:ser>
        <c:dLbls>
          <c:showLegendKey val="1"/>
          <c:showVal val="0"/>
          <c:showCatName val="1"/>
          <c:showSerName val="1"/>
          <c:showPercent val="0"/>
          <c:showBubbleSize val="1"/>
          <c:showLeaderLines val="1"/>
        </c:dLbls>
        <c:firstSliceAng val="0"/>
        <c:holeSize val="58"/>
      </c:doughnut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Products by Spending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_SubAnalyticsData!$S$2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EC-DA42-8CCC-FBCB7352BB64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EC-DA42-8CCC-FBCB7352BB64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EC-DA42-8CCC-FBCB7352BB64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EC-DA42-8CCC-FBCB7352BB64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EC-DA42-8CCC-FBCB7352BB64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4EC-DA42-8CCC-FBCB7352BB64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4EC-DA42-8CCC-FBCB7352BB64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4EC-DA42-8CCC-FBCB7352BB64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4EC-DA42-8CCC-FBCB7352BB64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4EC-DA42-8CCC-FBCB7352BB6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_SubAnalyticsData!$Q$3:$Q$12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_SubAnalyticsData!$S$3:$S$12</c:f>
              <c:numCache>
                <c:formatCode>\$#,##0.00</c:formatCode>
                <c:ptCount val="10"/>
                <c:pt idx="0">
                  <c:v>79.540000000000006</c:v>
                </c:pt>
                <c:pt idx="1">
                  <c:v>47.88</c:v>
                </c:pt>
                <c:pt idx="2">
                  <c:v>46.78</c:v>
                </c:pt>
                <c:pt idx="3">
                  <c:v>28.54</c:v>
                </c:pt>
                <c:pt idx="4">
                  <c:v>24.88</c:v>
                </c:pt>
                <c:pt idx="5">
                  <c:v>19.96</c:v>
                </c:pt>
                <c:pt idx="6">
                  <c:v>19.91</c:v>
                </c:pt>
                <c:pt idx="7">
                  <c:v>19.88</c:v>
                </c:pt>
                <c:pt idx="8">
                  <c:v>19.34</c:v>
                </c:pt>
                <c:pt idx="9">
                  <c:v>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4EC-DA42-8CCC-FBCB7352BB6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 by Store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_SubAnalyticsData!$Z$2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_SubAnalyticsData!$Z$3</c:f>
              <c:numCache>
                <c:formatCode>\$#,##0.00</c:formatCode>
                <c:ptCount val="1"/>
                <c:pt idx="0">
                  <c:v>574.97000000000037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A0-564D-93E9-5C0DB967D72A}"/>
            </c:ext>
          </c:extLst>
        </c:ser>
        <c:ser>
          <c:idx val="1"/>
          <c:order val="1"/>
          <c:tx>
            <c:strRef>
              <c:f>_SubAnalyticsData!$AA$2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_SubAnalyticsData!$AA$3</c:f>
              <c:numCache>
                <c:formatCode>\$#,##0.00</c:formatCode>
                <c:ptCount val="1"/>
                <c:pt idx="0">
                  <c:v>180.8899999999999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A0-564D-93E9-5C0DB967D72A}"/>
            </c:ext>
          </c:extLst>
        </c:ser>
        <c:ser>
          <c:idx val="2"/>
          <c:order val="2"/>
          <c:tx>
            <c:strRef>
              <c:f>_SubAnalyticsData!$AB$2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_SubAnalyticsData!$AB$3</c:f>
              <c:numCache>
                <c:formatCode>\$#,##0.00</c:formatCode>
                <c:ptCount val="1"/>
                <c:pt idx="0">
                  <c:v>145.58000000000001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A0-564D-93E9-5C0DB967D72A}"/>
            </c:ext>
          </c:extLst>
        </c:ser>
        <c:ser>
          <c:idx val="3"/>
          <c:order val="3"/>
          <c:tx>
            <c:strRef>
              <c:f>_SubAnalyticsData!$AC$2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_SubAnalyticsData!$AC$3</c:f>
              <c:numCache>
                <c:formatCode>\$#,##0.00</c:formatCode>
                <c:ptCount val="1"/>
                <c:pt idx="0">
                  <c:v>48.12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A0-564D-93E9-5C0DB967D72A}"/>
            </c:ext>
          </c:extLst>
        </c:ser>
        <c:ser>
          <c:idx val="4"/>
          <c:order val="4"/>
          <c:tx>
            <c:strRef>
              <c:f>_SubAnalyticsData!$AD$2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_SubAnalyticsData!$AD$3</c:f>
              <c:numCache>
                <c:formatCode>\$#,##0.00</c:formatCode>
                <c:ptCount val="1"/>
                <c:pt idx="0">
                  <c:v>30.24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6A0-564D-93E9-5C0DB967D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Purchase Frequency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_SubAnalyticsData!$W$2</c:f>
              <c:strCache>
                <c:ptCount val="1"/>
                <c:pt idx="0">
                  <c:v>Purchases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66-5342-944A-0A765C50755E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66-5342-944A-0A765C50755E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66-5342-944A-0A765C50755E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66-5342-944A-0A765C50755E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766-5342-944A-0A765C50755E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766-5342-944A-0A765C50755E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766-5342-944A-0A765C50755E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766-5342-944A-0A765C50755E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766-5342-944A-0A765C50755E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766-5342-944A-0A765C50755E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766-5342-944A-0A765C50755E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7766-5342-944A-0A765C50755E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7766-5342-944A-0A765C50755E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7766-5342-944A-0A765C50755E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7766-5342-944A-0A765C50755E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7766-5342-944A-0A765C50755E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7766-5342-944A-0A765C50755E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7766-5342-944A-0A765C50755E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7766-5342-944A-0A765C50755E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7766-5342-944A-0A765C50755E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7766-5342-944A-0A765C50755E}"/>
              </c:ext>
            </c:extLst>
          </c:dPt>
          <c:dPt>
            <c:idx val="21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7766-5342-944A-0A765C50755E}"/>
              </c:ext>
            </c:extLst>
          </c:dPt>
          <c:dPt>
            <c:idx val="22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7766-5342-944A-0A765C50755E}"/>
              </c:ext>
            </c:extLst>
          </c:dPt>
          <c:dPt>
            <c:idx val="23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7766-5342-944A-0A765C50755E}"/>
              </c:ext>
            </c:extLst>
          </c:dPt>
          <c:dPt>
            <c:idx val="24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7766-5342-944A-0A765C50755E}"/>
              </c:ext>
            </c:extLst>
          </c:dPt>
          <c:dPt>
            <c:idx val="25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7766-5342-944A-0A765C50755E}"/>
              </c:ext>
            </c:extLst>
          </c:dPt>
          <c:dPt>
            <c:idx val="26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7766-5342-944A-0A765C50755E}"/>
              </c:ext>
            </c:extLst>
          </c:dPt>
          <c:dPt>
            <c:idx val="27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7766-5342-944A-0A765C50755E}"/>
              </c:ext>
            </c:extLst>
          </c:dPt>
          <c:dPt>
            <c:idx val="28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7766-5342-944A-0A765C50755E}"/>
              </c:ext>
            </c:extLst>
          </c:dPt>
          <c:dPt>
            <c:idx val="29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7766-5342-944A-0A765C50755E}"/>
              </c:ext>
            </c:extLst>
          </c:dPt>
          <c:dPt>
            <c:idx val="30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7766-5342-944A-0A765C50755E}"/>
              </c:ext>
            </c:extLst>
          </c:dPt>
          <c:dPt>
            <c:idx val="31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7766-5342-944A-0A765C50755E}"/>
              </c:ext>
            </c:extLst>
          </c:dPt>
          <c:dPt>
            <c:idx val="32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7766-5342-944A-0A765C50755E}"/>
              </c:ext>
            </c:extLst>
          </c:dPt>
          <c:dPt>
            <c:idx val="33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7766-5342-944A-0A765C50755E}"/>
              </c:ext>
            </c:extLst>
          </c:dPt>
          <c:dPt>
            <c:idx val="34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7766-5342-944A-0A765C50755E}"/>
              </c:ext>
            </c:extLst>
          </c:dPt>
          <c:dPt>
            <c:idx val="35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7766-5342-944A-0A765C50755E}"/>
              </c:ext>
            </c:extLst>
          </c:dPt>
          <c:dPt>
            <c:idx val="36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7766-5342-944A-0A765C50755E}"/>
              </c:ext>
            </c:extLst>
          </c:dPt>
          <c:dPt>
            <c:idx val="37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7766-5342-944A-0A765C50755E}"/>
              </c:ext>
            </c:extLst>
          </c:dPt>
          <c:dPt>
            <c:idx val="38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7766-5342-944A-0A765C50755E}"/>
              </c:ext>
            </c:extLst>
          </c:dPt>
          <c:dPt>
            <c:idx val="39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7766-5342-944A-0A765C50755E}"/>
              </c:ext>
            </c:extLst>
          </c:dPt>
          <c:dPt>
            <c:idx val="40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7766-5342-944A-0A765C50755E}"/>
              </c:ext>
            </c:extLst>
          </c:dPt>
          <c:dPt>
            <c:idx val="41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7766-5342-944A-0A765C50755E}"/>
              </c:ext>
            </c:extLst>
          </c:dPt>
          <c:dPt>
            <c:idx val="42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7766-5342-944A-0A765C50755E}"/>
              </c:ext>
            </c:extLst>
          </c:dPt>
          <c:dPt>
            <c:idx val="43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7766-5342-944A-0A765C50755E}"/>
              </c:ext>
            </c:extLst>
          </c:dPt>
          <c:dPt>
            <c:idx val="44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7766-5342-944A-0A765C50755E}"/>
              </c:ext>
            </c:extLst>
          </c:dPt>
          <c:dPt>
            <c:idx val="45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7766-5342-944A-0A765C50755E}"/>
              </c:ext>
            </c:extLst>
          </c:dPt>
          <c:dPt>
            <c:idx val="46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7766-5342-944A-0A765C50755E}"/>
              </c:ext>
            </c:extLst>
          </c:dPt>
          <c:dPt>
            <c:idx val="47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7766-5342-944A-0A765C50755E}"/>
              </c:ext>
            </c:extLst>
          </c:dPt>
          <c:dPt>
            <c:idx val="48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7766-5342-944A-0A765C50755E}"/>
              </c:ext>
            </c:extLst>
          </c:dPt>
          <c:dPt>
            <c:idx val="49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7766-5342-944A-0A765C50755E}"/>
              </c:ext>
            </c:extLst>
          </c:dPt>
          <c:dPt>
            <c:idx val="50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7766-5342-944A-0A765C50755E}"/>
              </c:ext>
            </c:extLst>
          </c:dPt>
          <c:dPt>
            <c:idx val="51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7766-5342-944A-0A765C50755E}"/>
              </c:ext>
            </c:extLst>
          </c:dPt>
          <c:dPt>
            <c:idx val="5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7766-5342-944A-0A765C50755E}"/>
              </c:ext>
            </c:extLst>
          </c:dPt>
          <c:dPt>
            <c:idx val="53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7766-5342-944A-0A765C50755E}"/>
              </c:ext>
            </c:extLst>
          </c:dPt>
          <c:dPt>
            <c:idx val="54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7766-5342-944A-0A765C50755E}"/>
              </c:ext>
            </c:extLst>
          </c:dPt>
          <c:dPt>
            <c:idx val="55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7766-5342-944A-0A765C50755E}"/>
              </c:ext>
            </c:extLst>
          </c:dPt>
          <c:dPt>
            <c:idx val="56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7766-5342-944A-0A765C50755E}"/>
              </c:ext>
            </c:extLst>
          </c:dPt>
          <c:dPt>
            <c:idx val="57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7766-5342-944A-0A765C50755E}"/>
              </c:ext>
            </c:extLst>
          </c:dPt>
          <c:dPt>
            <c:idx val="58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7766-5342-944A-0A765C50755E}"/>
              </c:ext>
            </c:extLst>
          </c:dPt>
          <c:dPt>
            <c:idx val="59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7766-5342-944A-0A765C50755E}"/>
              </c:ext>
            </c:extLst>
          </c:dPt>
          <c:dPt>
            <c:idx val="6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7766-5342-944A-0A765C50755E}"/>
              </c:ext>
            </c:extLst>
          </c:dPt>
          <c:dPt>
            <c:idx val="6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7766-5342-944A-0A765C50755E}"/>
              </c:ext>
            </c:extLst>
          </c:dPt>
          <c:dPt>
            <c:idx val="6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7766-5342-944A-0A765C50755E}"/>
              </c:ext>
            </c:extLst>
          </c:dPt>
          <c:dPt>
            <c:idx val="6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7766-5342-944A-0A765C50755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_SubAnalyticsData!$U$3:$U$66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_SubAnalyticsData!$W$3:$W$66</c:f>
              <c:numCache>
                <c:formatCode>General</c:formatCode>
                <c:ptCount val="64"/>
                <c:pt idx="0">
                  <c:v>24</c:v>
                </c:pt>
                <c:pt idx="1">
                  <c:v>23</c:v>
                </c:pt>
                <c:pt idx="2">
                  <c:v>14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7766-5342-944A-0A765C50755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Purchases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Spending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_AnalyticsData!$C$2</c:f>
              <c:strCache>
                <c:ptCount val="1"/>
                <c:pt idx="0">
                  <c:v>Spending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_AnalyticsData!$A$3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_AnalyticsData!$C$3</c:f>
              <c:numCache>
                <c:formatCode>\$#,##0.00</c:formatCode>
                <c:ptCount val="1"/>
                <c:pt idx="0">
                  <c:v>899.73000000000047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E6-754E-A736-9E0F7BFF4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_AnalyticsData!$G$2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77-BA49-80E3-3A842C29E5DA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77-BA49-80E3-3A842C29E5DA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77-BA49-80E3-3A842C29E5DA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77-BA49-80E3-3A842C29E5DA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77-BA49-80E3-3A842C29E5DA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A77-BA49-80E3-3A842C29E5DA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A77-BA49-80E3-3A842C29E5DA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A77-BA49-80E3-3A842C29E5DA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A77-BA49-80E3-3A842C29E5DA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A77-BA49-80E3-3A842C29E5DA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A77-BA49-80E3-3A842C29E5DA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A77-BA49-80E3-3A842C29E5DA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A77-BA49-80E3-3A842C29E5DA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A77-BA49-80E3-3A842C29E5DA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A77-BA49-80E3-3A842C29E5DA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A77-BA49-80E3-3A842C29E5DA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A77-BA49-80E3-3A842C29E5DA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A77-BA49-80E3-3A842C29E5DA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A77-BA49-80E3-3A842C29E5DA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A77-BA49-80E3-3A842C29E5DA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A77-BA49-80E3-3A842C29E5D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_AnalyticsData!$E$3:$E$23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_AnalyticsData!$G$3:$G$23</c:f>
              <c:numCache>
                <c:formatCode>\$#,##0.00</c:formatCode>
                <c:ptCount val="21"/>
                <c:pt idx="0">
                  <c:v>146.02000000000001</c:v>
                </c:pt>
                <c:pt idx="1">
                  <c:v>111.93</c:v>
                </c:pt>
                <c:pt idx="2">
                  <c:v>111.26</c:v>
                </c:pt>
                <c:pt idx="3">
                  <c:v>87.39</c:v>
                </c:pt>
                <c:pt idx="4">
                  <c:v>86.179999999999993</c:v>
                </c:pt>
                <c:pt idx="5">
                  <c:v>56.28</c:v>
                </c:pt>
                <c:pt idx="6">
                  <c:v>47.88</c:v>
                </c:pt>
                <c:pt idx="7">
                  <c:v>42.2</c:v>
                </c:pt>
                <c:pt idx="8">
                  <c:v>37.96</c:v>
                </c:pt>
                <c:pt idx="9">
                  <c:v>28.54</c:v>
                </c:pt>
                <c:pt idx="10">
                  <c:v>25.48</c:v>
                </c:pt>
                <c:pt idx="11">
                  <c:v>24.83</c:v>
                </c:pt>
                <c:pt idx="12">
                  <c:v>22.13</c:v>
                </c:pt>
                <c:pt idx="13">
                  <c:v>14.29</c:v>
                </c:pt>
                <c:pt idx="14">
                  <c:v>13.92</c:v>
                </c:pt>
                <c:pt idx="15">
                  <c:v>9.76</c:v>
                </c:pt>
                <c:pt idx="16">
                  <c:v>9.5599999999999987</c:v>
                </c:pt>
                <c:pt idx="17">
                  <c:v>7.78</c:v>
                </c:pt>
                <c:pt idx="18">
                  <c:v>7.19</c:v>
                </c:pt>
                <c:pt idx="19">
                  <c:v>5.99</c:v>
                </c:pt>
                <c:pt idx="20">
                  <c:v>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A77-BA49-80E3-3A842C29E5D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Spending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_AnalyticsData!$K$2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3D-1A46-9CFC-7050B84672DF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3D-1A46-9CFC-7050B84672DF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3D-1A46-9CFC-7050B84672DF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3D-1A46-9CFC-7050B84672DF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93D-1A46-9CFC-7050B84672D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_AnalyticsData!$I$3:$I$7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_AnalyticsData!$K$3:$K$7</c:f>
              <c:numCache>
                <c:formatCode>\$#,##0.00</c:formatCode>
                <c:ptCount val="5"/>
                <c:pt idx="0">
                  <c:v>574.97000000000037</c:v>
                </c:pt>
                <c:pt idx="1">
                  <c:v>145.58000000000001</c:v>
                </c:pt>
                <c:pt idx="2">
                  <c:v>100.82</c:v>
                </c:pt>
                <c:pt idx="3">
                  <c:v>48.12</c:v>
                </c:pt>
                <c:pt idx="4">
                  <c:v>30.24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3D-1A46-9CFC-7050B84672D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Share by 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_AnalyticsData!$O$2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40-FB47-9C33-F0946EBDC2E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40-FB47-9C33-F0946EBDC2EE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40-FB47-9C33-F0946EBDC2EE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40-FB47-9C33-F0946EBDC2E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540-FB47-9C33-F0946EBDC2EE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540-FB47-9C33-F0946EBDC2EE}"/>
              </c:ext>
            </c:extLst>
          </c:dPt>
          <c:dPt>
            <c:idx val="6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540-FB47-9C33-F0946EBDC2EE}"/>
              </c:ext>
            </c:extLst>
          </c:dPt>
          <c:dPt>
            <c:idx val="7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540-FB47-9C33-F0946EBDC2EE}"/>
              </c:ext>
            </c:extLst>
          </c:dPt>
          <c:dPt>
            <c:idx val="8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540-FB47-9C33-F0946EBDC2EE}"/>
              </c:ext>
            </c:extLst>
          </c:dPt>
          <c:dPt>
            <c:idx val="9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540-FB47-9C33-F0946EBDC2EE}"/>
              </c:ext>
            </c:extLst>
          </c:dPt>
          <c:dPt>
            <c:idx val="10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540-FB47-9C33-F0946EBDC2EE}"/>
              </c:ext>
            </c:extLst>
          </c:dPt>
          <c:dPt>
            <c:idx val="1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540-FB47-9C33-F0946EBDC2EE}"/>
              </c:ext>
            </c:extLst>
          </c:dPt>
          <c:dPt>
            <c:idx val="12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3540-FB47-9C33-F0946EBDC2EE}"/>
              </c:ext>
            </c:extLst>
          </c:dPt>
          <c:dPt>
            <c:idx val="13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3540-FB47-9C33-F0946EBDC2EE}"/>
              </c:ext>
            </c:extLst>
          </c:dPt>
          <c:dPt>
            <c:idx val="14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3540-FB47-9C33-F0946EBDC2EE}"/>
              </c:ext>
            </c:extLst>
          </c:dPt>
          <c:dPt>
            <c:idx val="15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3540-FB47-9C33-F0946EBDC2EE}"/>
              </c:ext>
            </c:extLst>
          </c:dPt>
          <c:dPt>
            <c:idx val="16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3540-FB47-9C33-F0946EBDC2EE}"/>
              </c:ext>
            </c:extLst>
          </c:dPt>
          <c:dPt>
            <c:idx val="17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3540-FB47-9C33-F0946EBDC2EE}"/>
              </c:ext>
            </c:extLst>
          </c:dPt>
          <c:dPt>
            <c:idx val="18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3540-FB47-9C33-F0946EBDC2EE}"/>
              </c:ext>
            </c:extLst>
          </c:dPt>
          <c:dPt>
            <c:idx val="19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3540-FB47-9C33-F0946EBDC2EE}"/>
              </c:ext>
            </c:extLst>
          </c:dPt>
          <c:dPt>
            <c:idx val="20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3540-FB47-9C33-F0946EBDC2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0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_AnalyticsData!$M$3:$M$23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_AnalyticsData!$O$3:$O$23</c:f>
              <c:numCache>
                <c:formatCode>\$#,##0.00</c:formatCode>
                <c:ptCount val="21"/>
                <c:pt idx="0">
                  <c:v>146.02000000000001</c:v>
                </c:pt>
                <c:pt idx="1">
                  <c:v>111.93</c:v>
                </c:pt>
                <c:pt idx="2">
                  <c:v>111.26</c:v>
                </c:pt>
                <c:pt idx="3">
                  <c:v>87.39</c:v>
                </c:pt>
                <c:pt idx="4">
                  <c:v>86.179999999999993</c:v>
                </c:pt>
                <c:pt idx="5">
                  <c:v>56.28</c:v>
                </c:pt>
                <c:pt idx="6">
                  <c:v>47.88</c:v>
                </c:pt>
                <c:pt idx="7">
                  <c:v>42.2</c:v>
                </c:pt>
                <c:pt idx="8">
                  <c:v>37.96</c:v>
                </c:pt>
                <c:pt idx="9">
                  <c:v>28.54</c:v>
                </c:pt>
                <c:pt idx="10">
                  <c:v>25.48</c:v>
                </c:pt>
                <c:pt idx="11">
                  <c:v>24.83</c:v>
                </c:pt>
                <c:pt idx="12">
                  <c:v>22.13</c:v>
                </c:pt>
                <c:pt idx="13">
                  <c:v>14.29</c:v>
                </c:pt>
                <c:pt idx="14">
                  <c:v>13.92</c:v>
                </c:pt>
                <c:pt idx="15">
                  <c:v>9.76</c:v>
                </c:pt>
                <c:pt idx="16">
                  <c:v>9.5599999999999987</c:v>
                </c:pt>
                <c:pt idx="17">
                  <c:v>7.78</c:v>
                </c:pt>
                <c:pt idx="18">
                  <c:v>7.19</c:v>
                </c:pt>
                <c:pt idx="19">
                  <c:v>5.99</c:v>
                </c:pt>
                <c:pt idx="20">
                  <c:v>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540-FB47-9C33-F0946EBDC2EE}"/>
            </c:ext>
          </c:extLst>
        </c:ser>
        <c:dLbls>
          <c:showLegendKey val="1"/>
          <c:showVal val="0"/>
          <c:showCatName val="1"/>
          <c:showSerName val="1"/>
          <c:showPercent val="0"/>
          <c:showBubbleSize val="1"/>
          <c:showLeaderLines val="1"/>
        </c:dLbls>
        <c:firstSliceAng val="0"/>
        <c:holeSize val="58"/>
      </c:doughnut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Products by Spending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_AnalyticsData!$S$2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C2-C648-A9EE-3D21996FFAD8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C2-C648-A9EE-3D21996FFAD8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C2-C648-A9EE-3D21996FFAD8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CC2-C648-A9EE-3D21996FFAD8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CC2-C648-A9EE-3D21996FFAD8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CC2-C648-A9EE-3D21996FFAD8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CC2-C648-A9EE-3D21996FFAD8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CC2-C648-A9EE-3D21996FFAD8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CC2-C648-A9EE-3D21996FFAD8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CC2-C648-A9EE-3D21996FFAD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_AnalyticsData!$Q$3:$Q$12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_AnalyticsData!$S$3:$S$12</c:f>
              <c:numCache>
                <c:formatCode>\$#,##0.00</c:formatCode>
                <c:ptCount val="10"/>
                <c:pt idx="0">
                  <c:v>79.540000000000006</c:v>
                </c:pt>
                <c:pt idx="1">
                  <c:v>47.88</c:v>
                </c:pt>
                <c:pt idx="2">
                  <c:v>46.78</c:v>
                </c:pt>
                <c:pt idx="3">
                  <c:v>28.54</c:v>
                </c:pt>
                <c:pt idx="4">
                  <c:v>24.88</c:v>
                </c:pt>
                <c:pt idx="5">
                  <c:v>19.96</c:v>
                </c:pt>
                <c:pt idx="6">
                  <c:v>19.88</c:v>
                </c:pt>
                <c:pt idx="7">
                  <c:v>19.34</c:v>
                </c:pt>
                <c:pt idx="8">
                  <c:v>18.57</c:v>
                </c:pt>
                <c:pt idx="9">
                  <c:v>16.739999999999998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CC2-C648-A9EE-3D21996FFAD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 by Store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_AnalyticsData!$Z$2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_AnalyticsData!$Z$3</c:f>
              <c:numCache>
                <c:formatCode>\$#,##0.00</c:formatCode>
                <c:ptCount val="1"/>
                <c:pt idx="0">
                  <c:v>574.97000000000037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5C-B741-993B-61518D25C9EA}"/>
            </c:ext>
          </c:extLst>
        </c:ser>
        <c:ser>
          <c:idx val="1"/>
          <c:order val="1"/>
          <c:tx>
            <c:strRef>
              <c:f>_AnalyticsData!$AA$2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_AnalyticsData!$AA$3</c:f>
              <c:numCache>
                <c:formatCode>\$#,##0.00</c:formatCode>
                <c:ptCount val="1"/>
                <c:pt idx="0">
                  <c:v>145.58000000000001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5C-B741-993B-61518D25C9EA}"/>
            </c:ext>
          </c:extLst>
        </c:ser>
        <c:ser>
          <c:idx val="2"/>
          <c:order val="2"/>
          <c:tx>
            <c:strRef>
              <c:f>_AnalyticsData!$AB$2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_AnalyticsData!$AB$3</c:f>
              <c:numCache>
                <c:formatCode>\$#,##0.00</c:formatCode>
                <c:ptCount val="1"/>
                <c:pt idx="0">
                  <c:v>100.82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5C-B741-993B-61518D25C9EA}"/>
            </c:ext>
          </c:extLst>
        </c:ser>
        <c:ser>
          <c:idx val="3"/>
          <c:order val="3"/>
          <c:tx>
            <c:strRef>
              <c:f>_AnalyticsData!$AC$2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_AnalyticsData!$AC$3</c:f>
              <c:numCache>
                <c:formatCode>\$#,##0.00</c:formatCode>
                <c:ptCount val="1"/>
                <c:pt idx="0">
                  <c:v>48.12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25C-B741-993B-61518D25C9EA}"/>
            </c:ext>
          </c:extLst>
        </c:ser>
        <c:ser>
          <c:idx val="4"/>
          <c:order val="4"/>
          <c:tx>
            <c:strRef>
              <c:f>_AnalyticsData!$AD$2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_AnalyticsData!$AD$3</c:f>
              <c:numCache>
                <c:formatCode>\$#,##0.00</c:formatCode>
                <c:ptCount val="1"/>
                <c:pt idx="0">
                  <c:v>30.24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25C-B741-993B-61518D25C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Purchase Frequency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_AnalyticsData!$W$2</c:f>
              <c:strCache>
                <c:ptCount val="1"/>
                <c:pt idx="0">
                  <c:v>Purchases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AA-F544-B3DF-191F647417FA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AA-F544-B3DF-191F647417FA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AA-F544-B3DF-191F647417FA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7AA-F544-B3DF-191F647417FA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7AA-F544-B3DF-191F647417FA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7AA-F544-B3DF-191F647417FA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7AA-F544-B3DF-191F647417FA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7AA-F544-B3DF-191F647417FA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7AA-F544-B3DF-191F647417FA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7AA-F544-B3DF-191F647417FA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7AA-F544-B3DF-191F647417FA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F7AA-F544-B3DF-191F647417FA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F7AA-F544-B3DF-191F647417FA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F7AA-F544-B3DF-191F647417FA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F7AA-F544-B3DF-191F647417FA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F7AA-F544-B3DF-191F647417FA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F7AA-F544-B3DF-191F647417FA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F7AA-F544-B3DF-191F647417FA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F7AA-F544-B3DF-191F647417FA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F7AA-F544-B3DF-191F647417FA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F7AA-F544-B3DF-191F647417F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_AnalyticsData!$U$3:$U$23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_AnalyticsData!$W$3:$W$23</c:f>
              <c:numCache>
                <c:formatCode>General</c:formatCode>
                <c:ptCount val="21"/>
                <c:pt idx="0">
                  <c:v>42</c:v>
                </c:pt>
                <c:pt idx="1">
                  <c:v>23</c:v>
                </c:pt>
                <c:pt idx="2">
                  <c:v>19</c:v>
                </c:pt>
                <c:pt idx="3">
                  <c:v>14</c:v>
                </c:pt>
                <c:pt idx="4">
                  <c:v>11</c:v>
                </c:pt>
                <c:pt idx="5">
                  <c:v>10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7AA-F544-B3DF-191F647417F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Purchases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w1_Aug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26'!$AH$2:$AH$3</c:f>
              <c:numCache>
                <c:formatCode>\$#,##0.00</c:formatCode>
                <c:ptCount val="2"/>
                <c:pt idx="0">
                  <c:v>280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2D-124E-AE6D-311B1BDF0432}"/>
            </c:ext>
          </c:extLst>
        </c:ser>
        <c:ser>
          <c:idx val="1"/>
          <c:order val="1"/>
          <c:tx>
            <c:strRef>
              <c:f>'BP w1_Aug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92D-124E-AE6D-311B1BDF0432}"/>
            </c:ext>
          </c:extLst>
        </c:ser>
        <c:ser>
          <c:idx val="2"/>
          <c:order val="2"/>
          <c:tx>
            <c:strRef>
              <c:f>'BP w1_Aug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92D-124E-AE6D-311B1BDF0432}"/>
            </c:ext>
          </c:extLst>
        </c:ser>
        <c:ser>
          <c:idx val="3"/>
          <c:order val="3"/>
          <c:tx>
            <c:strRef>
              <c:f>'BP w1_Aug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8.3800000000000008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92D-124E-AE6D-311B1BDF0432}"/>
            </c:ext>
          </c:extLst>
        </c:ser>
        <c:ser>
          <c:idx val="4"/>
          <c:order val="4"/>
          <c:tx>
            <c:strRef>
              <c:f>'BP w1_Aug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3.28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92D-124E-AE6D-311B1BDF0432}"/>
            </c:ext>
          </c:extLst>
        </c:ser>
        <c:ser>
          <c:idx val="5"/>
          <c:order val="5"/>
          <c:tx>
            <c:strRef>
              <c:f>'BP w1_Aug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3.12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92D-124E-AE6D-311B1BDF0432}"/>
            </c:ext>
          </c:extLst>
        </c:ser>
        <c:ser>
          <c:idx val="6"/>
          <c:order val="6"/>
          <c:tx>
            <c:strRef>
              <c:f>'BP w1_Aug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3.32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792D-124E-AE6D-311B1BDF0432}"/>
            </c:ext>
          </c:extLst>
        </c:ser>
        <c:ser>
          <c:idx val="7"/>
          <c:order val="7"/>
          <c:tx>
            <c:strRef>
              <c:f>'BP w1_Aug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792D-124E-AE6D-311B1BDF0432}"/>
            </c:ext>
          </c:extLst>
        </c:ser>
        <c:ser>
          <c:idx val="8"/>
          <c:order val="8"/>
          <c:tx>
            <c:strRef>
              <c:f>'BP w1_Aug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792D-124E-AE6D-311B1BDF0432}"/>
            </c:ext>
          </c:extLst>
        </c:ser>
        <c:ser>
          <c:idx val="9"/>
          <c:order val="9"/>
          <c:tx>
            <c:strRef>
              <c:f>'BP w1_Aug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792D-124E-AE6D-311B1BDF0432}"/>
            </c:ext>
          </c:extLst>
        </c:ser>
        <c:ser>
          <c:idx val="10"/>
          <c:order val="10"/>
          <c:tx>
            <c:strRef>
              <c:f>'BP w1_Aug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19.16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792D-124E-AE6D-311B1BDF0432}"/>
            </c:ext>
          </c:extLst>
        </c:ser>
        <c:ser>
          <c:idx val="11"/>
          <c:order val="11"/>
          <c:tx>
            <c:strRef>
              <c:f>'BP w1_Aug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792D-124E-AE6D-311B1BDF0432}"/>
            </c:ext>
          </c:extLst>
        </c:ser>
        <c:ser>
          <c:idx val="12"/>
          <c:order val="12"/>
          <c:tx>
            <c:strRef>
              <c:f>'BP w1_Aug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792D-124E-AE6D-311B1BDF0432}"/>
            </c:ext>
          </c:extLst>
        </c:ser>
        <c:ser>
          <c:idx val="13"/>
          <c:order val="13"/>
          <c:tx>
            <c:strRef>
              <c:f>'BP w1_Aug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792D-124E-AE6D-311B1BDF0432}"/>
            </c:ext>
          </c:extLst>
        </c:ser>
        <c:ser>
          <c:idx val="14"/>
          <c:order val="14"/>
          <c:tx>
            <c:strRef>
              <c:f>'BP w1_Aug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15.3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792D-124E-AE6D-311B1BDF0432}"/>
            </c:ext>
          </c:extLst>
        </c:ser>
        <c:ser>
          <c:idx val="15"/>
          <c:order val="15"/>
          <c:tx>
            <c:strRef>
              <c:f>'BP w1_Aug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792D-124E-AE6D-311B1BDF0432}"/>
            </c:ext>
          </c:extLst>
        </c:ser>
        <c:ser>
          <c:idx val="16"/>
          <c:order val="16"/>
          <c:tx>
            <c:strRef>
              <c:f>'BP w1_Aug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792D-124E-AE6D-311B1BDF0432}"/>
            </c:ext>
          </c:extLst>
        </c:ser>
        <c:ser>
          <c:idx val="17"/>
          <c:order val="17"/>
          <c:tx>
            <c:strRef>
              <c:f>'BP w1_Aug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27.51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792D-124E-AE6D-311B1BDF0432}"/>
            </c:ext>
          </c:extLst>
        </c:ser>
        <c:ser>
          <c:idx val="18"/>
          <c:order val="18"/>
          <c:tx>
            <c:strRef>
              <c:f>'BP w1_Aug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792D-124E-AE6D-311B1BDF0432}"/>
            </c:ext>
          </c:extLst>
        </c:ser>
        <c:ser>
          <c:idx val="19"/>
          <c:order val="19"/>
          <c:tx>
            <c:strRef>
              <c:f>'BP w1_Aug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792D-124E-AE6D-311B1BDF0432}"/>
            </c:ext>
          </c:extLst>
        </c:ser>
        <c:ser>
          <c:idx val="20"/>
          <c:order val="20"/>
          <c:tx>
            <c:strRef>
              <c:f>'BP w1_Aug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792D-124E-AE6D-311B1BDF0432}"/>
            </c:ext>
          </c:extLst>
        </c:ser>
        <c:ser>
          <c:idx val="21"/>
          <c:order val="21"/>
          <c:tx>
            <c:strRef>
              <c:f>'BP w1_Aug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92D-124E-AE6D-311B1BDF04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w1_Aug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w1_Aug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792D-124E-AE6D-311B1BDF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w1_sep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26'!$AH$2:$AH$3</c:f>
              <c:numCache>
                <c:formatCode>\$#,##0.00</c:formatCode>
                <c:ptCount val="2"/>
                <c:pt idx="0">
                  <c:v>230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99-C448-8D86-907C63DE748E}"/>
            </c:ext>
          </c:extLst>
        </c:ser>
        <c:ser>
          <c:idx val="1"/>
          <c:order val="1"/>
          <c:tx>
            <c:strRef>
              <c:f>'BP w1_sep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799-C448-8D86-907C63DE748E}"/>
            </c:ext>
          </c:extLst>
        </c:ser>
        <c:ser>
          <c:idx val="2"/>
          <c:order val="2"/>
          <c:tx>
            <c:strRef>
              <c:f>'BP w1_sep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799-C448-8D86-907C63DE748E}"/>
            </c:ext>
          </c:extLst>
        </c:ser>
        <c:ser>
          <c:idx val="3"/>
          <c:order val="3"/>
          <c:tx>
            <c:strRef>
              <c:f>'BP w1_sep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8.3800000000000008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799-C448-8D86-907C63DE748E}"/>
            </c:ext>
          </c:extLst>
        </c:ser>
        <c:ser>
          <c:idx val="4"/>
          <c:order val="4"/>
          <c:tx>
            <c:strRef>
              <c:f>'BP w1_sep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3.28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799-C448-8D86-907C63DE748E}"/>
            </c:ext>
          </c:extLst>
        </c:ser>
        <c:ser>
          <c:idx val="5"/>
          <c:order val="5"/>
          <c:tx>
            <c:strRef>
              <c:f>'BP w1_sep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3.12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E799-C448-8D86-907C63DE748E}"/>
            </c:ext>
          </c:extLst>
        </c:ser>
        <c:ser>
          <c:idx val="6"/>
          <c:order val="6"/>
          <c:tx>
            <c:strRef>
              <c:f>'BP w1_sep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3.32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E799-C448-8D86-907C63DE748E}"/>
            </c:ext>
          </c:extLst>
        </c:ser>
        <c:ser>
          <c:idx val="7"/>
          <c:order val="7"/>
          <c:tx>
            <c:strRef>
              <c:f>'BP w1_sep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E799-C448-8D86-907C63DE748E}"/>
            </c:ext>
          </c:extLst>
        </c:ser>
        <c:ser>
          <c:idx val="8"/>
          <c:order val="8"/>
          <c:tx>
            <c:strRef>
              <c:f>'BP w1_sep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E799-C448-8D86-907C63DE748E}"/>
            </c:ext>
          </c:extLst>
        </c:ser>
        <c:ser>
          <c:idx val="9"/>
          <c:order val="9"/>
          <c:tx>
            <c:strRef>
              <c:f>'BP w1_sep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E799-C448-8D86-907C63DE748E}"/>
            </c:ext>
          </c:extLst>
        </c:ser>
        <c:ser>
          <c:idx val="10"/>
          <c:order val="10"/>
          <c:tx>
            <c:strRef>
              <c:f>'BP w1_sep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19.16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E799-C448-8D86-907C63DE748E}"/>
            </c:ext>
          </c:extLst>
        </c:ser>
        <c:ser>
          <c:idx val="11"/>
          <c:order val="11"/>
          <c:tx>
            <c:strRef>
              <c:f>'BP w1_sep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E799-C448-8D86-907C63DE748E}"/>
            </c:ext>
          </c:extLst>
        </c:ser>
        <c:ser>
          <c:idx val="12"/>
          <c:order val="12"/>
          <c:tx>
            <c:strRef>
              <c:f>'BP w1_sep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E799-C448-8D86-907C63DE748E}"/>
            </c:ext>
          </c:extLst>
        </c:ser>
        <c:ser>
          <c:idx val="13"/>
          <c:order val="13"/>
          <c:tx>
            <c:strRef>
              <c:f>'BP w1_sep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E799-C448-8D86-907C63DE748E}"/>
            </c:ext>
          </c:extLst>
        </c:ser>
        <c:ser>
          <c:idx val="14"/>
          <c:order val="14"/>
          <c:tx>
            <c:strRef>
              <c:f>'BP w1_sep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15.3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E799-C448-8D86-907C63DE748E}"/>
            </c:ext>
          </c:extLst>
        </c:ser>
        <c:ser>
          <c:idx val="15"/>
          <c:order val="15"/>
          <c:tx>
            <c:strRef>
              <c:f>'BP w1_sep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E799-C448-8D86-907C63DE748E}"/>
            </c:ext>
          </c:extLst>
        </c:ser>
        <c:ser>
          <c:idx val="16"/>
          <c:order val="16"/>
          <c:tx>
            <c:strRef>
              <c:f>'BP w1_sep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E799-C448-8D86-907C63DE748E}"/>
            </c:ext>
          </c:extLst>
        </c:ser>
        <c:ser>
          <c:idx val="17"/>
          <c:order val="17"/>
          <c:tx>
            <c:strRef>
              <c:f>'BP w1_sep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27.51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E799-C448-8D86-907C63DE748E}"/>
            </c:ext>
          </c:extLst>
        </c:ser>
        <c:ser>
          <c:idx val="18"/>
          <c:order val="18"/>
          <c:tx>
            <c:strRef>
              <c:f>'BP w1_sep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E799-C448-8D86-907C63DE748E}"/>
            </c:ext>
          </c:extLst>
        </c:ser>
        <c:ser>
          <c:idx val="19"/>
          <c:order val="19"/>
          <c:tx>
            <c:strRef>
              <c:f>'BP w1_sep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E799-C448-8D86-907C63DE748E}"/>
            </c:ext>
          </c:extLst>
        </c:ser>
        <c:ser>
          <c:idx val="20"/>
          <c:order val="20"/>
          <c:tx>
            <c:strRef>
              <c:f>'BP w1_sep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E799-C448-8D86-907C63DE748E}"/>
            </c:ext>
          </c:extLst>
        </c:ser>
        <c:ser>
          <c:idx val="21"/>
          <c:order val="21"/>
          <c:tx>
            <c:strRef>
              <c:f>'BP w1_sep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799-C448-8D86-907C63DE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w1_sep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w1_sep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E799-C448-8D86-907C63DE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9180000" cy="52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9180000" cy="52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9180000" cy="52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148</xdr:row>
      <xdr:rowOff>0</xdr:rowOff>
    </xdr:from>
    <xdr:ext cx="9180000" cy="59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217</xdr:row>
      <xdr:rowOff>0</xdr:rowOff>
    </xdr:from>
    <xdr:ext cx="9180000" cy="52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253</xdr:row>
      <xdr:rowOff>0</xdr:rowOff>
    </xdr:from>
    <xdr:ext cx="9180000" cy="59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289</xdr:row>
      <xdr:rowOff>0</xdr:rowOff>
    </xdr:from>
    <xdr:ext cx="9180000" cy="52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9180000" cy="52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9180000" cy="52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9180000" cy="52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115</xdr:row>
      <xdr:rowOff>0</xdr:rowOff>
    </xdr:from>
    <xdr:ext cx="9180000" cy="59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151</xdr:row>
      <xdr:rowOff>0</xdr:rowOff>
    </xdr:from>
    <xdr:ext cx="9180000" cy="52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187</xdr:row>
      <xdr:rowOff>0</xdr:rowOff>
    </xdr:from>
    <xdr:ext cx="9180000" cy="59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223</xdr:row>
      <xdr:rowOff>0</xdr:rowOff>
    </xdr:from>
    <xdr:ext cx="9180000" cy="52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workbookViewId="0">
      <pane ySplit="1" topLeftCell="A121" activePane="bottomLeft" state="frozen"/>
      <selection pane="bottomLeft" activeCell="F156" sqref="F156"/>
    </sheetView>
  </sheetViews>
  <sheetFormatPr baseColWidth="10" defaultColWidth="8.83203125" defaultRowHeight="15" x14ac:dyDescent="0.2"/>
  <cols>
    <col min="1" max="1" width="14" customWidth="1"/>
    <col min="2" max="2" width="3" customWidth="1"/>
    <col min="3" max="4" width="18" customWidth="1"/>
    <col min="5" max="5" width="34" customWidth="1"/>
    <col min="6" max="6" width="14" customWidth="1"/>
    <col min="7" max="7" width="16" customWidth="1"/>
    <col min="8" max="8" width="28" bestFit="1" customWidth="1"/>
    <col min="9" max="9" width="22" customWidth="1"/>
    <col min="10" max="19" width="14" customWidth="1"/>
  </cols>
  <sheetData>
    <row r="1" spans="1:19" x14ac:dyDescent="0.2">
      <c r="A1" s="63" t="s">
        <v>94</v>
      </c>
      <c r="B1" s="63"/>
      <c r="C1" s="63" t="s">
        <v>1</v>
      </c>
      <c r="D1" s="63" t="s">
        <v>95</v>
      </c>
      <c r="E1" s="63" t="s">
        <v>2</v>
      </c>
      <c r="F1" s="63" t="s">
        <v>96</v>
      </c>
      <c r="G1" s="63" t="s">
        <v>97</v>
      </c>
      <c r="H1" s="63" t="s">
        <v>98</v>
      </c>
      <c r="I1" s="63" t="s">
        <v>99</v>
      </c>
      <c r="J1" s="63" t="s">
        <v>100</v>
      </c>
      <c r="K1" s="63" t="s">
        <v>101</v>
      </c>
      <c r="L1" s="63" t="s">
        <v>102</v>
      </c>
      <c r="M1" s="63" t="s">
        <v>103</v>
      </c>
      <c r="N1" s="63" t="s">
        <v>104</v>
      </c>
      <c r="O1" s="63" t="s">
        <v>105</v>
      </c>
      <c r="P1" s="63" t="s">
        <v>106</v>
      </c>
      <c r="Q1" s="63" t="s">
        <v>107</v>
      </c>
      <c r="R1" s="63" t="s">
        <v>108</v>
      </c>
      <c r="S1" s="63" t="s">
        <v>109</v>
      </c>
    </row>
    <row r="2" spans="1:19" x14ac:dyDescent="0.2">
      <c r="A2" s="1">
        <f t="shared" ref="A2:A33" si="0">SUM(K2,M2,O2,Q2,S2)</f>
        <v>7.85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s="2">
        <v>46259</v>
      </c>
      <c r="K2" s="1">
        <v>7.85</v>
      </c>
    </row>
    <row r="3" spans="1:19" x14ac:dyDescent="0.2">
      <c r="A3" s="1">
        <f t="shared" si="0"/>
        <v>7.85</v>
      </c>
      <c r="C3" t="s">
        <v>110</v>
      </c>
      <c r="D3" t="s">
        <v>111</v>
      </c>
      <c r="E3" t="s">
        <v>117</v>
      </c>
      <c r="F3" t="s">
        <v>113</v>
      </c>
      <c r="G3" t="s">
        <v>114</v>
      </c>
      <c r="H3" t="s">
        <v>118</v>
      </c>
      <c r="I3" t="s">
        <v>116</v>
      </c>
      <c r="J3" s="2">
        <v>46259</v>
      </c>
      <c r="K3" s="1">
        <v>7.85</v>
      </c>
    </row>
    <row r="4" spans="1:19" x14ac:dyDescent="0.2">
      <c r="A4" s="1">
        <f t="shared" si="0"/>
        <v>6.99</v>
      </c>
      <c r="C4" t="s">
        <v>110</v>
      </c>
      <c r="D4" t="s">
        <v>111</v>
      </c>
      <c r="E4" t="s">
        <v>119</v>
      </c>
      <c r="F4" t="s">
        <v>113</v>
      </c>
      <c r="G4" t="s">
        <v>114</v>
      </c>
      <c r="H4" t="s">
        <v>120</v>
      </c>
      <c r="I4" t="s">
        <v>121</v>
      </c>
      <c r="J4" s="2">
        <v>46259</v>
      </c>
      <c r="K4" s="1">
        <v>6.99</v>
      </c>
    </row>
    <row r="5" spans="1:19" x14ac:dyDescent="0.2">
      <c r="A5" s="1">
        <f t="shared" si="0"/>
        <v>7.78</v>
      </c>
      <c r="C5" t="s">
        <v>110</v>
      </c>
      <c r="D5" t="s">
        <v>111</v>
      </c>
      <c r="E5" t="s">
        <v>122</v>
      </c>
      <c r="F5" t="s">
        <v>113</v>
      </c>
      <c r="G5" t="s">
        <v>114</v>
      </c>
      <c r="H5" t="s">
        <v>123</v>
      </c>
      <c r="I5" t="s">
        <v>124</v>
      </c>
      <c r="J5" s="2">
        <v>46259</v>
      </c>
      <c r="K5" s="1">
        <v>3.89</v>
      </c>
      <c r="L5" s="2">
        <v>46259</v>
      </c>
      <c r="M5" s="1">
        <v>3.89</v>
      </c>
    </row>
    <row r="6" spans="1:19" x14ac:dyDescent="0.2">
      <c r="A6" s="1">
        <f t="shared" si="0"/>
        <v>5.65</v>
      </c>
      <c r="C6" t="s">
        <v>110</v>
      </c>
      <c r="D6" t="s">
        <v>111</v>
      </c>
      <c r="E6" t="s">
        <v>125</v>
      </c>
      <c r="F6" t="s">
        <v>113</v>
      </c>
      <c r="G6" t="s">
        <v>114</v>
      </c>
      <c r="H6" t="s">
        <v>126</v>
      </c>
      <c r="I6" t="s">
        <v>116</v>
      </c>
      <c r="J6" s="2">
        <v>46259</v>
      </c>
      <c r="K6" s="1">
        <v>5.65</v>
      </c>
    </row>
    <row r="7" spans="1:19" x14ac:dyDescent="0.2">
      <c r="A7" s="1">
        <f t="shared" si="0"/>
        <v>18.57</v>
      </c>
      <c r="C7" t="s">
        <v>110</v>
      </c>
      <c r="D7" t="s">
        <v>111</v>
      </c>
      <c r="E7" t="s">
        <v>127</v>
      </c>
      <c r="F7" t="s">
        <v>113</v>
      </c>
      <c r="G7" t="s">
        <v>114</v>
      </c>
      <c r="H7" t="s">
        <v>128</v>
      </c>
      <c r="I7" t="s">
        <v>129</v>
      </c>
      <c r="J7" s="2">
        <v>46259</v>
      </c>
      <c r="K7" s="1">
        <v>6.19</v>
      </c>
      <c r="L7" s="2">
        <v>46259</v>
      </c>
      <c r="M7" s="1">
        <v>6.19</v>
      </c>
      <c r="N7" s="2">
        <v>46259</v>
      </c>
      <c r="O7" s="1">
        <v>6.19</v>
      </c>
    </row>
    <row r="8" spans="1:19" x14ac:dyDescent="0.2">
      <c r="A8" s="1">
        <f t="shared" si="0"/>
        <v>5.89</v>
      </c>
      <c r="C8" t="s">
        <v>110</v>
      </c>
      <c r="D8" t="s">
        <v>111</v>
      </c>
      <c r="E8" t="s">
        <v>130</v>
      </c>
      <c r="F8" t="s">
        <v>113</v>
      </c>
      <c r="G8" t="s">
        <v>114</v>
      </c>
      <c r="H8" t="s">
        <v>131</v>
      </c>
      <c r="I8" t="s">
        <v>132</v>
      </c>
      <c r="J8" s="2">
        <v>46259</v>
      </c>
      <c r="K8" s="1">
        <v>5.89</v>
      </c>
    </row>
    <row r="9" spans="1:19" x14ac:dyDescent="0.2">
      <c r="A9" s="1">
        <f t="shared" si="0"/>
        <v>6.79</v>
      </c>
      <c r="C9" t="s">
        <v>6</v>
      </c>
      <c r="D9" t="s">
        <v>133</v>
      </c>
      <c r="E9" t="s">
        <v>134</v>
      </c>
      <c r="F9" t="s">
        <v>111</v>
      </c>
      <c r="G9" t="s">
        <v>135</v>
      </c>
      <c r="H9" t="s">
        <v>136</v>
      </c>
      <c r="I9" t="s">
        <v>137</v>
      </c>
      <c r="J9" s="2">
        <v>46257</v>
      </c>
      <c r="K9" s="1">
        <v>6.79</v>
      </c>
    </row>
    <row r="10" spans="1:19" x14ac:dyDescent="0.2">
      <c r="A10" s="1">
        <f t="shared" si="0"/>
        <v>2.52</v>
      </c>
      <c r="C10" t="s">
        <v>6</v>
      </c>
      <c r="D10" t="s">
        <v>138</v>
      </c>
      <c r="E10" t="s">
        <v>139</v>
      </c>
      <c r="F10" t="s">
        <v>111</v>
      </c>
      <c r="G10" t="s">
        <v>135</v>
      </c>
      <c r="H10" t="s">
        <v>139</v>
      </c>
      <c r="I10" t="s">
        <v>8</v>
      </c>
      <c r="J10" s="2">
        <v>46257</v>
      </c>
      <c r="K10" s="1">
        <v>2.52</v>
      </c>
    </row>
    <row r="11" spans="1:19" x14ac:dyDescent="0.2">
      <c r="A11" s="1">
        <f t="shared" si="0"/>
        <v>2.6</v>
      </c>
      <c r="C11" t="s">
        <v>6</v>
      </c>
      <c r="D11" t="s">
        <v>140</v>
      </c>
      <c r="E11" t="s">
        <v>141</v>
      </c>
      <c r="F11" t="s">
        <v>111</v>
      </c>
      <c r="G11" t="s">
        <v>135</v>
      </c>
      <c r="H11" t="s">
        <v>141</v>
      </c>
      <c r="I11" t="s">
        <v>8</v>
      </c>
      <c r="J11" s="2">
        <v>46257</v>
      </c>
      <c r="K11" s="1">
        <v>2.6</v>
      </c>
    </row>
    <row r="12" spans="1:19" x14ac:dyDescent="0.2">
      <c r="A12" s="1">
        <f t="shared" si="0"/>
        <v>3.29</v>
      </c>
      <c r="C12" t="s">
        <v>6</v>
      </c>
      <c r="D12" t="s">
        <v>142</v>
      </c>
      <c r="E12" t="s">
        <v>143</v>
      </c>
      <c r="F12" t="s">
        <v>111</v>
      </c>
      <c r="G12" t="s">
        <v>135</v>
      </c>
      <c r="H12" t="s">
        <v>143</v>
      </c>
      <c r="I12" t="s">
        <v>8</v>
      </c>
      <c r="J12" s="2">
        <v>46257</v>
      </c>
      <c r="K12" s="1">
        <v>3.29</v>
      </c>
    </row>
    <row r="13" spans="1:19" x14ac:dyDescent="0.2">
      <c r="A13" s="1">
        <f t="shared" si="0"/>
        <v>0.89</v>
      </c>
      <c r="C13" t="s">
        <v>6</v>
      </c>
      <c r="D13" t="s">
        <v>144</v>
      </c>
      <c r="E13" t="s">
        <v>145</v>
      </c>
      <c r="F13" t="s">
        <v>111</v>
      </c>
      <c r="G13" t="s">
        <v>135</v>
      </c>
      <c r="H13" t="s">
        <v>145</v>
      </c>
      <c r="I13" t="s">
        <v>146</v>
      </c>
      <c r="J13" s="2">
        <v>46257</v>
      </c>
      <c r="K13" s="1">
        <v>0.89</v>
      </c>
    </row>
    <row r="14" spans="1:19" x14ac:dyDescent="0.2">
      <c r="A14" s="1">
        <f t="shared" si="0"/>
        <v>3.41</v>
      </c>
      <c r="C14" t="s">
        <v>6</v>
      </c>
      <c r="D14" t="s">
        <v>147</v>
      </c>
      <c r="E14" t="s">
        <v>148</v>
      </c>
      <c r="F14" t="s">
        <v>111</v>
      </c>
      <c r="G14" t="s">
        <v>135</v>
      </c>
      <c r="H14" t="s">
        <v>148</v>
      </c>
      <c r="I14" t="s">
        <v>8</v>
      </c>
      <c r="J14" s="2">
        <v>46257</v>
      </c>
      <c r="K14" s="1">
        <v>3.41</v>
      </c>
    </row>
    <row r="15" spans="1:19" x14ac:dyDescent="0.2">
      <c r="A15" s="1">
        <f t="shared" si="0"/>
        <v>2.99</v>
      </c>
      <c r="C15" t="s">
        <v>6</v>
      </c>
      <c r="D15" t="s">
        <v>149</v>
      </c>
      <c r="E15" t="s">
        <v>150</v>
      </c>
      <c r="F15" t="s">
        <v>111</v>
      </c>
      <c r="G15" t="s">
        <v>135</v>
      </c>
      <c r="H15" t="s">
        <v>150</v>
      </c>
      <c r="I15" t="s">
        <v>8</v>
      </c>
      <c r="J15" s="2">
        <v>46257</v>
      </c>
      <c r="K15" s="1">
        <v>2.99</v>
      </c>
    </row>
    <row r="16" spans="1:19" x14ac:dyDescent="0.2">
      <c r="A16" s="1">
        <f t="shared" si="0"/>
        <v>8.2899999999999991</v>
      </c>
      <c r="C16" t="s">
        <v>6</v>
      </c>
      <c r="D16" t="s">
        <v>151</v>
      </c>
      <c r="E16" t="s">
        <v>68</v>
      </c>
      <c r="F16" t="s">
        <v>111</v>
      </c>
      <c r="G16" t="s">
        <v>135</v>
      </c>
      <c r="H16" t="s">
        <v>69</v>
      </c>
      <c r="I16" t="s">
        <v>70</v>
      </c>
      <c r="J16" s="2">
        <v>46257</v>
      </c>
      <c r="K16" s="1">
        <v>8.2899999999999991</v>
      </c>
    </row>
    <row r="17" spans="1:13" x14ac:dyDescent="0.2">
      <c r="A17" s="1">
        <f t="shared" si="0"/>
        <v>2.69</v>
      </c>
      <c r="C17" t="s">
        <v>6</v>
      </c>
      <c r="D17" t="s">
        <v>152</v>
      </c>
      <c r="E17" t="s">
        <v>153</v>
      </c>
      <c r="F17" t="s">
        <v>111</v>
      </c>
      <c r="G17" t="s">
        <v>135</v>
      </c>
      <c r="H17" t="s">
        <v>154</v>
      </c>
      <c r="I17" t="s">
        <v>8</v>
      </c>
      <c r="J17" s="2">
        <v>46257</v>
      </c>
      <c r="K17" s="1">
        <v>2.69</v>
      </c>
    </row>
    <row r="18" spans="1:13" x14ac:dyDescent="0.2">
      <c r="A18" s="1">
        <f t="shared" si="0"/>
        <v>3.69</v>
      </c>
      <c r="C18" t="s">
        <v>6</v>
      </c>
      <c r="D18" t="s">
        <v>155</v>
      </c>
      <c r="E18" t="s">
        <v>156</v>
      </c>
      <c r="F18" t="s">
        <v>111</v>
      </c>
      <c r="G18" t="s">
        <v>135</v>
      </c>
      <c r="H18" t="s">
        <v>157</v>
      </c>
      <c r="I18" t="s">
        <v>25</v>
      </c>
      <c r="J18" s="2">
        <v>46257</v>
      </c>
      <c r="K18" s="1">
        <v>3.69</v>
      </c>
    </row>
    <row r="19" spans="1:13" x14ac:dyDescent="0.2">
      <c r="A19" s="1">
        <f t="shared" si="0"/>
        <v>1.29</v>
      </c>
      <c r="C19" t="s">
        <v>6</v>
      </c>
      <c r="D19" t="s">
        <v>158</v>
      </c>
      <c r="E19" t="s">
        <v>159</v>
      </c>
      <c r="F19" t="s">
        <v>111</v>
      </c>
      <c r="G19" t="s">
        <v>135</v>
      </c>
      <c r="H19" t="s">
        <v>159</v>
      </c>
      <c r="I19" t="s">
        <v>8</v>
      </c>
      <c r="J19" s="2">
        <v>46257</v>
      </c>
      <c r="K19" s="1">
        <v>1.29</v>
      </c>
    </row>
    <row r="20" spans="1:13" x14ac:dyDescent="0.2">
      <c r="A20" s="1">
        <f t="shared" si="0"/>
        <v>3.89</v>
      </c>
      <c r="C20" t="s">
        <v>6</v>
      </c>
      <c r="D20" t="s">
        <v>160</v>
      </c>
      <c r="E20" t="s">
        <v>161</v>
      </c>
      <c r="F20" t="s">
        <v>111</v>
      </c>
      <c r="G20" t="s">
        <v>135</v>
      </c>
      <c r="H20" t="s">
        <v>162</v>
      </c>
      <c r="I20" t="s">
        <v>163</v>
      </c>
      <c r="J20" s="2">
        <v>46257</v>
      </c>
      <c r="K20" s="1">
        <v>3.89</v>
      </c>
    </row>
    <row r="21" spans="1:13" x14ac:dyDescent="0.2">
      <c r="A21" s="1">
        <f t="shared" si="0"/>
        <v>2.59</v>
      </c>
      <c r="C21" t="s">
        <v>6</v>
      </c>
      <c r="D21" t="s">
        <v>164</v>
      </c>
      <c r="E21" t="s">
        <v>82</v>
      </c>
      <c r="F21" t="s">
        <v>111</v>
      </c>
      <c r="G21" t="s">
        <v>135</v>
      </c>
      <c r="H21" t="s">
        <v>82</v>
      </c>
      <c r="I21" t="s">
        <v>25</v>
      </c>
      <c r="J21" s="2">
        <v>46257</v>
      </c>
      <c r="K21" s="1">
        <v>2.59</v>
      </c>
    </row>
    <row r="22" spans="1:13" x14ac:dyDescent="0.2">
      <c r="A22" s="1">
        <f t="shared" si="0"/>
        <v>4.3899999999999997</v>
      </c>
      <c r="C22" t="s">
        <v>6</v>
      </c>
      <c r="D22" t="s">
        <v>165</v>
      </c>
      <c r="E22" t="s">
        <v>166</v>
      </c>
      <c r="F22" t="s">
        <v>111</v>
      </c>
      <c r="G22" t="s">
        <v>135</v>
      </c>
      <c r="H22" t="s">
        <v>166</v>
      </c>
      <c r="I22" t="s">
        <v>25</v>
      </c>
      <c r="J22" s="2">
        <v>46257</v>
      </c>
      <c r="K22" s="1">
        <v>4.3899999999999997</v>
      </c>
    </row>
    <row r="23" spans="1:13" x14ac:dyDescent="0.2">
      <c r="A23" s="1">
        <f t="shared" si="0"/>
        <v>3.45</v>
      </c>
      <c r="C23" t="s">
        <v>6</v>
      </c>
      <c r="D23" t="s">
        <v>167</v>
      </c>
      <c r="E23" t="s">
        <v>168</v>
      </c>
      <c r="F23" t="s">
        <v>111</v>
      </c>
      <c r="G23" t="s">
        <v>135</v>
      </c>
      <c r="H23" t="s">
        <v>169</v>
      </c>
      <c r="I23" t="s">
        <v>170</v>
      </c>
      <c r="J23" s="2">
        <v>46257</v>
      </c>
      <c r="K23" s="1">
        <v>3.45</v>
      </c>
    </row>
    <row r="24" spans="1:13" x14ac:dyDescent="0.2">
      <c r="A24" s="1">
        <f t="shared" si="0"/>
        <v>2.39</v>
      </c>
      <c r="C24" t="s">
        <v>6</v>
      </c>
      <c r="D24" t="s">
        <v>111</v>
      </c>
      <c r="E24" t="s">
        <v>171</v>
      </c>
      <c r="F24" t="s">
        <v>111</v>
      </c>
      <c r="G24" t="s">
        <v>135</v>
      </c>
      <c r="H24" t="s">
        <v>171</v>
      </c>
      <c r="I24" t="s">
        <v>172</v>
      </c>
      <c r="J24" s="2">
        <v>46257</v>
      </c>
      <c r="K24" s="1">
        <v>2.39</v>
      </c>
    </row>
    <row r="25" spans="1:13" x14ac:dyDescent="0.2">
      <c r="A25" s="1">
        <f t="shared" si="0"/>
        <v>1.31</v>
      </c>
      <c r="C25" t="s">
        <v>6</v>
      </c>
      <c r="D25" t="s">
        <v>173</v>
      </c>
      <c r="E25" t="s">
        <v>174</v>
      </c>
      <c r="F25" t="s">
        <v>111</v>
      </c>
      <c r="G25" t="s">
        <v>135</v>
      </c>
      <c r="H25" t="s">
        <v>175</v>
      </c>
      <c r="I25" t="s">
        <v>25</v>
      </c>
      <c r="J25" s="2">
        <v>46257</v>
      </c>
      <c r="K25" s="1">
        <v>1.31</v>
      </c>
    </row>
    <row r="26" spans="1:13" x14ac:dyDescent="0.2">
      <c r="A26" s="1">
        <f t="shared" si="0"/>
        <v>3.98</v>
      </c>
      <c r="C26" t="s">
        <v>6</v>
      </c>
      <c r="D26" t="s">
        <v>176</v>
      </c>
      <c r="E26" t="s">
        <v>177</v>
      </c>
      <c r="F26" t="s">
        <v>111</v>
      </c>
      <c r="G26" t="s">
        <v>135</v>
      </c>
      <c r="H26" t="s">
        <v>177</v>
      </c>
      <c r="I26" t="s">
        <v>178</v>
      </c>
      <c r="J26" s="2">
        <v>46257</v>
      </c>
      <c r="K26" s="1">
        <v>1.99</v>
      </c>
      <c r="L26" s="2">
        <v>46257</v>
      </c>
      <c r="M26" s="1">
        <v>1.99</v>
      </c>
    </row>
    <row r="27" spans="1:13" x14ac:dyDescent="0.2">
      <c r="A27" s="1">
        <f t="shared" si="0"/>
        <v>2.4900000000000002</v>
      </c>
      <c r="C27" t="s">
        <v>6</v>
      </c>
      <c r="D27" t="s">
        <v>179</v>
      </c>
      <c r="E27" t="s">
        <v>180</v>
      </c>
      <c r="F27" t="s">
        <v>111</v>
      </c>
      <c r="G27" t="s">
        <v>135</v>
      </c>
      <c r="H27" t="s">
        <v>180</v>
      </c>
      <c r="I27" t="s">
        <v>8</v>
      </c>
      <c r="J27" s="2">
        <v>46257</v>
      </c>
      <c r="K27" s="1">
        <v>2.4900000000000002</v>
      </c>
    </row>
    <row r="28" spans="1:13" x14ac:dyDescent="0.2">
      <c r="A28" s="1">
        <f t="shared" si="0"/>
        <v>1.98</v>
      </c>
      <c r="C28" t="s">
        <v>6</v>
      </c>
      <c r="D28" t="s">
        <v>181</v>
      </c>
      <c r="E28" t="s">
        <v>182</v>
      </c>
      <c r="F28" t="s">
        <v>111</v>
      </c>
      <c r="G28" t="s">
        <v>135</v>
      </c>
      <c r="H28" t="s">
        <v>182</v>
      </c>
      <c r="I28" t="s">
        <v>14</v>
      </c>
      <c r="J28" s="2">
        <v>46257</v>
      </c>
      <c r="K28" s="1">
        <v>0.99</v>
      </c>
      <c r="L28" s="2">
        <v>46257</v>
      </c>
      <c r="M28" s="1">
        <v>0.99</v>
      </c>
    </row>
    <row r="29" spans="1:13" x14ac:dyDescent="0.2">
      <c r="A29" s="1">
        <f t="shared" si="0"/>
        <v>1.7</v>
      </c>
      <c r="C29" t="s">
        <v>6</v>
      </c>
      <c r="D29" t="s">
        <v>183</v>
      </c>
      <c r="E29" t="s">
        <v>16</v>
      </c>
      <c r="F29" t="s">
        <v>111</v>
      </c>
      <c r="G29" t="s">
        <v>135</v>
      </c>
      <c r="H29" t="s">
        <v>17</v>
      </c>
      <c r="I29" t="s">
        <v>14</v>
      </c>
      <c r="J29" s="2">
        <v>46257</v>
      </c>
      <c r="K29" s="1">
        <v>0.85</v>
      </c>
      <c r="L29" s="2">
        <v>46257</v>
      </c>
      <c r="M29" s="1">
        <v>0.85</v>
      </c>
    </row>
    <row r="30" spans="1:13" x14ac:dyDescent="0.2">
      <c r="A30" s="1">
        <f t="shared" si="0"/>
        <v>2.99</v>
      </c>
      <c r="C30" t="s">
        <v>6</v>
      </c>
      <c r="D30" t="s">
        <v>184</v>
      </c>
      <c r="E30" t="s">
        <v>185</v>
      </c>
      <c r="F30" t="s">
        <v>111</v>
      </c>
      <c r="G30" t="s">
        <v>135</v>
      </c>
      <c r="H30" t="s">
        <v>186</v>
      </c>
      <c r="I30" t="s">
        <v>187</v>
      </c>
      <c r="J30" s="2">
        <v>46257</v>
      </c>
      <c r="K30" s="1">
        <v>2.99</v>
      </c>
    </row>
    <row r="31" spans="1:13" x14ac:dyDescent="0.2">
      <c r="A31" s="1">
        <f t="shared" si="0"/>
        <v>0.95</v>
      </c>
      <c r="C31" t="s">
        <v>6</v>
      </c>
      <c r="D31" t="s">
        <v>188</v>
      </c>
      <c r="E31" t="s">
        <v>189</v>
      </c>
      <c r="F31" t="s">
        <v>111</v>
      </c>
      <c r="G31" t="s">
        <v>135</v>
      </c>
      <c r="H31" t="s">
        <v>190</v>
      </c>
      <c r="I31" t="s">
        <v>146</v>
      </c>
      <c r="J31" s="2">
        <v>46257</v>
      </c>
      <c r="K31" s="1">
        <v>0.95</v>
      </c>
    </row>
    <row r="32" spans="1:13" x14ac:dyDescent="0.2">
      <c r="A32" s="1">
        <f t="shared" si="0"/>
        <v>1.99</v>
      </c>
      <c r="C32" t="s">
        <v>6</v>
      </c>
      <c r="D32" t="s">
        <v>191</v>
      </c>
      <c r="E32" t="s">
        <v>192</v>
      </c>
      <c r="F32" t="s">
        <v>111</v>
      </c>
      <c r="G32" t="s">
        <v>135</v>
      </c>
      <c r="H32" t="s">
        <v>193</v>
      </c>
      <c r="I32" t="s">
        <v>194</v>
      </c>
      <c r="J32" s="2">
        <v>46257</v>
      </c>
      <c r="K32" s="1">
        <v>1.99</v>
      </c>
    </row>
    <row r="33" spans="1:13" x14ac:dyDescent="0.2">
      <c r="A33" s="1">
        <f t="shared" si="0"/>
        <v>5.25</v>
      </c>
      <c r="C33" t="s">
        <v>6</v>
      </c>
      <c r="D33" t="s">
        <v>195</v>
      </c>
      <c r="E33" t="s">
        <v>196</v>
      </c>
      <c r="F33" t="s">
        <v>111</v>
      </c>
      <c r="G33" t="s">
        <v>135</v>
      </c>
      <c r="H33" t="s">
        <v>197</v>
      </c>
      <c r="I33" t="s">
        <v>198</v>
      </c>
      <c r="J33" s="2">
        <v>46257</v>
      </c>
      <c r="K33" s="1">
        <v>5.25</v>
      </c>
    </row>
    <row r="34" spans="1:13" x14ac:dyDescent="0.2">
      <c r="A34" s="1">
        <f t="shared" ref="A34:A65" si="1">SUM(K34,M34,O34,Q34,S34)</f>
        <v>3.37</v>
      </c>
      <c r="C34" t="s">
        <v>6</v>
      </c>
      <c r="D34" t="s">
        <v>199</v>
      </c>
      <c r="E34" t="s">
        <v>200</v>
      </c>
      <c r="F34" t="s">
        <v>111</v>
      </c>
      <c r="G34" t="s">
        <v>135</v>
      </c>
      <c r="H34" t="s">
        <v>201</v>
      </c>
      <c r="I34" t="s">
        <v>137</v>
      </c>
      <c r="J34" s="2">
        <v>46257</v>
      </c>
      <c r="K34" s="1">
        <v>3.37</v>
      </c>
    </row>
    <row r="35" spans="1:13" x14ac:dyDescent="0.2">
      <c r="A35" s="1">
        <f t="shared" si="1"/>
        <v>5.99</v>
      </c>
      <c r="C35" t="s">
        <v>6</v>
      </c>
      <c r="D35" t="s">
        <v>202</v>
      </c>
      <c r="E35" t="s">
        <v>203</v>
      </c>
      <c r="F35" t="s">
        <v>111</v>
      </c>
      <c r="G35" t="s">
        <v>135</v>
      </c>
      <c r="H35" t="s">
        <v>204</v>
      </c>
      <c r="I35" t="s">
        <v>205</v>
      </c>
      <c r="J35" s="2">
        <v>46257</v>
      </c>
      <c r="K35" s="1">
        <v>5.99</v>
      </c>
    </row>
    <row r="36" spans="1:13" x14ac:dyDescent="0.2">
      <c r="A36" s="1">
        <f t="shared" si="1"/>
        <v>2.79</v>
      </c>
      <c r="C36" t="s">
        <v>6</v>
      </c>
      <c r="D36" t="s">
        <v>206</v>
      </c>
      <c r="E36" t="s">
        <v>207</v>
      </c>
      <c r="F36" t="s">
        <v>111</v>
      </c>
      <c r="G36" t="s">
        <v>135</v>
      </c>
      <c r="H36" t="s">
        <v>208</v>
      </c>
      <c r="I36" t="s">
        <v>209</v>
      </c>
      <c r="J36" s="2">
        <v>46257</v>
      </c>
      <c r="K36" s="1">
        <v>2.79</v>
      </c>
    </row>
    <row r="37" spans="1:13" x14ac:dyDescent="0.2">
      <c r="A37" s="1">
        <f t="shared" si="1"/>
        <v>1.99</v>
      </c>
      <c r="C37" t="s">
        <v>6</v>
      </c>
      <c r="D37" t="s">
        <v>210</v>
      </c>
      <c r="E37" t="s">
        <v>211</v>
      </c>
      <c r="F37" t="s">
        <v>111</v>
      </c>
      <c r="G37" t="s">
        <v>135</v>
      </c>
      <c r="H37" t="s">
        <v>211</v>
      </c>
      <c r="I37" t="s">
        <v>212</v>
      </c>
      <c r="J37" s="2">
        <v>46257</v>
      </c>
      <c r="K37" s="1">
        <v>1.99</v>
      </c>
    </row>
    <row r="38" spans="1:13" x14ac:dyDescent="0.2">
      <c r="A38" s="1">
        <f t="shared" si="1"/>
        <v>2.89</v>
      </c>
      <c r="C38" t="s">
        <v>6</v>
      </c>
      <c r="D38" t="s">
        <v>213</v>
      </c>
      <c r="E38" t="s">
        <v>214</v>
      </c>
      <c r="F38" t="s">
        <v>111</v>
      </c>
      <c r="G38" t="s">
        <v>135</v>
      </c>
      <c r="H38" t="s">
        <v>215</v>
      </c>
      <c r="I38" t="s">
        <v>212</v>
      </c>
      <c r="J38" s="2">
        <v>46257</v>
      </c>
      <c r="K38" s="1">
        <v>2.89</v>
      </c>
    </row>
    <row r="39" spans="1:13" x14ac:dyDescent="0.2">
      <c r="A39" s="1">
        <f t="shared" si="1"/>
        <v>5.99</v>
      </c>
      <c r="C39" t="s">
        <v>6</v>
      </c>
      <c r="D39" t="s">
        <v>111</v>
      </c>
      <c r="E39" t="s">
        <v>216</v>
      </c>
      <c r="F39" t="s">
        <v>111</v>
      </c>
      <c r="G39" t="s">
        <v>135</v>
      </c>
      <c r="H39" t="s">
        <v>217</v>
      </c>
      <c r="I39" t="s">
        <v>218</v>
      </c>
      <c r="J39" s="2">
        <v>46257</v>
      </c>
      <c r="K39" s="1">
        <v>5.99</v>
      </c>
    </row>
    <row r="40" spans="1:13" x14ac:dyDescent="0.2">
      <c r="A40" s="1">
        <f t="shared" si="1"/>
        <v>13.98</v>
      </c>
      <c r="C40" t="s">
        <v>219</v>
      </c>
      <c r="D40" t="s">
        <v>111</v>
      </c>
      <c r="E40" t="s">
        <v>220</v>
      </c>
      <c r="F40" t="s">
        <v>111</v>
      </c>
      <c r="G40" t="s">
        <v>221</v>
      </c>
      <c r="H40" t="s">
        <v>222</v>
      </c>
      <c r="I40" t="s">
        <v>223</v>
      </c>
      <c r="J40" s="2">
        <v>46258</v>
      </c>
      <c r="K40" s="1">
        <v>6.99</v>
      </c>
      <c r="L40" s="2">
        <v>46258</v>
      </c>
      <c r="M40" s="1">
        <v>6.99</v>
      </c>
    </row>
    <row r="41" spans="1:13" x14ac:dyDescent="0.2">
      <c r="A41" s="1">
        <f t="shared" si="1"/>
        <v>3.99</v>
      </c>
      <c r="C41" t="s">
        <v>219</v>
      </c>
      <c r="D41" t="s">
        <v>111</v>
      </c>
      <c r="E41" t="s">
        <v>224</v>
      </c>
      <c r="F41" t="s">
        <v>111</v>
      </c>
      <c r="G41" t="s">
        <v>221</v>
      </c>
      <c r="H41" t="s">
        <v>225</v>
      </c>
      <c r="I41" t="s">
        <v>25</v>
      </c>
      <c r="J41" s="2">
        <v>46258</v>
      </c>
      <c r="K41" s="1">
        <v>3.99</v>
      </c>
    </row>
    <row r="42" spans="1:13" x14ac:dyDescent="0.2">
      <c r="A42" s="1">
        <f t="shared" si="1"/>
        <v>3.29</v>
      </c>
      <c r="C42" t="s">
        <v>219</v>
      </c>
      <c r="D42" t="s">
        <v>111</v>
      </c>
      <c r="E42" t="s">
        <v>226</v>
      </c>
      <c r="F42" t="s">
        <v>111</v>
      </c>
      <c r="G42" t="s">
        <v>221</v>
      </c>
      <c r="H42" t="s">
        <v>227</v>
      </c>
      <c r="I42" t="s">
        <v>228</v>
      </c>
      <c r="J42" s="2">
        <v>46258</v>
      </c>
      <c r="K42" s="1">
        <v>3.29</v>
      </c>
    </row>
    <row r="43" spans="1:13" x14ac:dyDescent="0.2">
      <c r="A43" s="1">
        <f t="shared" si="1"/>
        <v>2.99</v>
      </c>
      <c r="C43" t="s">
        <v>219</v>
      </c>
      <c r="D43" t="s">
        <v>111</v>
      </c>
      <c r="E43" t="s">
        <v>229</v>
      </c>
      <c r="F43" t="s">
        <v>111</v>
      </c>
      <c r="G43" t="s">
        <v>221</v>
      </c>
      <c r="H43" t="s">
        <v>230</v>
      </c>
      <c r="I43" t="s">
        <v>231</v>
      </c>
      <c r="J43" s="2">
        <v>46258</v>
      </c>
      <c r="K43" s="1">
        <v>2.99</v>
      </c>
    </row>
    <row r="44" spans="1:13" x14ac:dyDescent="0.2">
      <c r="A44" s="1">
        <f t="shared" si="1"/>
        <v>5.99</v>
      </c>
      <c r="C44" t="s">
        <v>219</v>
      </c>
      <c r="D44" t="s">
        <v>111</v>
      </c>
      <c r="E44" t="s">
        <v>232</v>
      </c>
      <c r="F44" t="s">
        <v>111</v>
      </c>
      <c r="G44" t="s">
        <v>221</v>
      </c>
      <c r="H44" t="s">
        <v>233</v>
      </c>
      <c r="I44" t="s">
        <v>234</v>
      </c>
      <c r="J44" s="2">
        <v>46258</v>
      </c>
      <c r="K44" s="1">
        <v>5.99</v>
      </c>
    </row>
    <row r="45" spans="1:13" x14ac:dyDescent="0.2">
      <c r="A45" s="1">
        <f t="shared" si="1"/>
        <v>5.5</v>
      </c>
      <c r="C45" t="s">
        <v>235</v>
      </c>
      <c r="D45" t="s">
        <v>111</v>
      </c>
      <c r="E45" t="s">
        <v>236</v>
      </c>
      <c r="F45" t="s">
        <v>111</v>
      </c>
      <c r="G45" t="s">
        <v>111</v>
      </c>
      <c r="H45" t="s">
        <v>236</v>
      </c>
      <c r="I45" t="s">
        <v>237</v>
      </c>
      <c r="J45" s="2">
        <v>46261</v>
      </c>
      <c r="K45" s="1">
        <v>5.5</v>
      </c>
    </row>
    <row r="46" spans="1:13" x14ac:dyDescent="0.2">
      <c r="A46" s="1">
        <f t="shared" si="1"/>
        <v>5.5</v>
      </c>
      <c r="C46" t="s">
        <v>235</v>
      </c>
      <c r="D46" t="s">
        <v>111</v>
      </c>
      <c r="E46" t="s">
        <v>238</v>
      </c>
      <c r="F46" t="s">
        <v>111</v>
      </c>
      <c r="G46" t="s">
        <v>111</v>
      </c>
      <c r="H46" t="s">
        <v>238</v>
      </c>
      <c r="I46" t="s">
        <v>237</v>
      </c>
      <c r="J46" s="2">
        <v>46261</v>
      </c>
      <c r="K46" s="1">
        <v>5.5</v>
      </c>
    </row>
    <row r="47" spans="1:13" x14ac:dyDescent="0.2">
      <c r="A47" s="1">
        <f t="shared" si="1"/>
        <v>14.9</v>
      </c>
      <c r="C47" t="s">
        <v>235</v>
      </c>
      <c r="D47" t="s">
        <v>111</v>
      </c>
      <c r="E47" t="s">
        <v>239</v>
      </c>
      <c r="F47" t="s">
        <v>240</v>
      </c>
      <c r="G47" t="s">
        <v>111</v>
      </c>
      <c r="H47" t="s">
        <v>239</v>
      </c>
      <c r="I47" t="s">
        <v>241</v>
      </c>
      <c r="J47" s="2">
        <v>46261</v>
      </c>
      <c r="K47" s="1">
        <v>14.9</v>
      </c>
    </row>
    <row r="48" spans="1:13" x14ac:dyDescent="0.2">
      <c r="A48" s="1">
        <f t="shared" si="1"/>
        <v>16.3</v>
      </c>
      <c r="C48" t="s">
        <v>235</v>
      </c>
      <c r="D48" t="s">
        <v>111</v>
      </c>
      <c r="E48" t="s">
        <v>242</v>
      </c>
      <c r="F48" t="s">
        <v>243</v>
      </c>
      <c r="G48" t="s">
        <v>111</v>
      </c>
      <c r="H48" t="s">
        <v>242</v>
      </c>
      <c r="I48" t="s">
        <v>241</v>
      </c>
      <c r="J48" s="2">
        <v>46261</v>
      </c>
      <c r="K48" s="1">
        <v>16.3</v>
      </c>
    </row>
    <row r="49" spans="1:13" x14ac:dyDescent="0.2">
      <c r="A49" s="1">
        <f t="shared" si="1"/>
        <v>2.96</v>
      </c>
      <c r="C49" t="s">
        <v>235</v>
      </c>
      <c r="D49" t="s">
        <v>111</v>
      </c>
      <c r="E49" t="s">
        <v>244</v>
      </c>
      <c r="F49" t="s">
        <v>111</v>
      </c>
      <c r="G49" t="s">
        <v>111</v>
      </c>
      <c r="H49" t="s">
        <v>244</v>
      </c>
      <c r="I49" t="s">
        <v>245</v>
      </c>
      <c r="J49" s="2">
        <v>46261</v>
      </c>
      <c r="K49" s="1">
        <v>2.96</v>
      </c>
    </row>
    <row r="50" spans="1:13" x14ac:dyDescent="0.2">
      <c r="A50" s="1">
        <f t="shared" si="1"/>
        <v>2.96</v>
      </c>
      <c r="C50" t="s">
        <v>235</v>
      </c>
      <c r="D50" t="s">
        <v>111</v>
      </c>
      <c r="E50" t="s">
        <v>246</v>
      </c>
      <c r="F50" t="s">
        <v>111</v>
      </c>
      <c r="G50" t="s">
        <v>111</v>
      </c>
      <c r="H50" t="s">
        <v>246</v>
      </c>
      <c r="I50" t="s">
        <v>245</v>
      </c>
      <c r="J50" s="2">
        <v>46261</v>
      </c>
      <c r="K50" s="1">
        <v>2.96</v>
      </c>
    </row>
    <row r="51" spans="1:13" x14ac:dyDescent="0.2">
      <c r="A51" s="1">
        <f t="shared" si="1"/>
        <v>8.9600000000000009</v>
      </c>
      <c r="C51" t="s">
        <v>247</v>
      </c>
      <c r="D51" t="s">
        <v>111</v>
      </c>
      <c r="E51" t="s">
        <v>248</v>
      </c>
      <c r="F51" t="s">
        <v>111</v>
      </c>
      <c r="G51" t="s">
        <v>249</v>
      </c>
      <c r="H51" t="s">
        <v>250</v>
      </c>
      <c r="I51" t="s">
        <v>251</v>
      </c>
      <c r="J51" s="2">
        <v>46240</v>
      </c>
      <c r="K51" s="1">
        <v>4.4800000000000004</v>
      </c>
      <c r="L51" s="2">
        <v>46241</v>
      </c>
      <c r="M51" s="1">
        <v>4.4800000000000004</v>
      </c>
    </row>
    <row r="52" spans="1:13" x14ac:dyDescent="0.2">
      <c r="A52" s="1">
        <f t="shared" si="1"/>
        <v>13.92</v>
      </c>
      <c r="C52" t="s">
        <v>247</v>
      </c>
      <c r="D52" t="s">
        <v>111</v>
      </c>
      <c r="E52" t="s">
        <v>252</v>
      </c>
      <c r="F52" t="s">
        <v>111</v>
      </c>
      <c r="G52" t="s">
        <v>249</v>
      </c>
      <c r="H52" t="s">
        <v>253</v>
      </c>
      <c r="I52" t="s">
        <v>254</v>
      </c>
      <c r="J52" s="2">
        <v>46240</v>
      </c>
      <c r="K52" s="1">
        <v>6.96</v>
      </c>
      <c r="L52" s="2">
        <v>46241</v>
      </c>
      <c r="M52" s="1">
        <v>6.96</v>
      </c>
    </row>
    <row r="53" spans="1:13" x14ac:dyDescent="0.2">
      <c r="A53" s="1">
        <f t="shared" si="1"/>
        <v>16.739999999999998</v>
      </c>
      <c r="C53" t="s">
        <v>247</v>
      </c>
      <c r="D53" t="s">
        <v>111</v>
      </c>
      <c r="E53" t="s">
        <v>255</v>
      </c>
      <c r="F53" t="s">
        <v>111</v>
      </c>
      <c r="G53" t="s">
        <v>249</v>
      </c>
      <c r="H53" t="s">
        <v>256</v>
      </c>
      <c r="I53" t="s">
        <v>62</v>
      </c>
      <c r="J53" s="2">
        <v>46240</v>
      </c>
      <c r="K53" s="1">
        <v>8.3699999999999992</v>
      </c>
      <c r="L53" s="2">
        <v>46241</v>
      </c>
      <c r="M53" s="1">
        <v>8.3699999999999992</v>
      </c>
    </row>
    <row r="54" spans="1:13" x14ac:dyDescent="0.2">
      <c r="A54" s="1">
        <f t="shared" si="1"/>
        <v>6.67</v>
      </c>
      <c r="C54" t="s">
        <v>247</v>
      </c>
      <c r="D54" t="s">
        <v>111</v>
      </c>
      <c r="E54" t="s">
        <v>257</v>
      </c>
      <c r="F54" t="s">
        <v>111</v>
      </c>
      <c r="G54" t="s">
        <v>249</v>
      </c>
      <c r="H54" t="s">
        <v>258</v>
      </c>
      <c r="I54" t="s">
        <v>259</v>
      </c>
      <c r="J54" s="2">
        <v>46240</v>
      </c>
      <c r="K54" s="1">
        <v>6.67</v>
      </c>
    </row>
    <row r="55" spans="1:13" x14ac:dyDescent="0.2">
      <c r="A55" s="1">
        <f t="shared" si="1"/>
        <v>47.88</v>
      </c>
      <c r="C55" t="s">
        <v>247</v>
      </c>
      <c r="D55" t="s">
        <v>111</v>
      </c>
      <c r="E55" t="s">
        <v>260</v>
      </c>
      <c r="F55" t="s">
        <v>111</v>
      </c>
      <c r="G55" t="s">
        <v>249</v>
      </c>
      <c r="H55" t="s">
        <v>261</v>
      </c>
      <c r="I55" t="s">
        <v>262</v>
      </c>
      <c r="J55" s="2">
        <v>46240</v>
      </c>
      <c r="K55" s="1">
        <v>23.94</v>
      </c>
      <c r="L55" s="2">
        <v>46241</v>
      </c>
      <c r="M55" s="1">
        <v>23.94</v>
      </c>
    </row>
    <row r="56" spans="1:13" x14ac:dyDescent="0.2">
      <c r="A56" s="1">
        <f t="shared" si="1"/>
        <v>6.32</v>
      </c>
      <c r="C56" t="s">
        <v>247</v>
      </c>
      <c r="D56" t="s">
        <v>111</v>
      </c>
      <c r="E56" t="s">
        <v>263</v>
      </c>
      <c r="F56" t="s">
        <v>111</v>
      </c>
      <c r="G56" t="s">
        <v>249</v>
      </c>
      <c r="H56" t="s">
        <v>264</v>
      </c>
      <c r="I56" t="s">
        <v>265</v>
      </c>
      <c r="J56" s="2">
        <v>46240</v>
      </c>
      <c r="K56" s="1">
        <v>3.16</v>
      </c>
      <c r="L56" s="2">
        <v>46241</v>
      </c>
      <c r="M56" s="1">
        <v>3.16</v>
      </c>
    </row>
    <row r="57" spans="1:13" x14ac:dyDescent="0.2">
      <c r="A57" s="1">
        <f t="shared" si="1"/>
        <v>11.64</v>
      </c>
      <c r="C57" t="s">
        <v>247</v>
      </c>
      <c r="D57" t="s">
        <v>111</v>
      </c>
      <c r="E57" t="s">
        <v>266</v>
      </c>
      <c r="F57" t="s">
        <v>111</v>
      </c>
      <c r="G57" t="s">
        <v>249</v>
      </c>
      <c r="H57" t="s">
        <v>267</v>
      </c>
      <c r="I57" t="s">
        <v>251</v>
      </c>
      <c r="J57" s="2">
        <v>46240</v>
      </c>
      <c r="K57" s="1">
        <v>5.82</v>
      </c>
      <c r="L57" s="2">
        <v>46241</v>
      </c>
      <c r="M57" s="1">
        <v>5.82</v>
      </c>
    </row>
    <row r="58" spans="1:13" x14ac:dyDescent="0.2">
      <c r="A58" s="1">
        <f t="shared" si="1"/>
        <v>39.770000000000003</v>
      </c>
      <c r="C58" t="s">
        <v>247</v>
      </c>
      <c r="D58" t="s">
        <v>111</v>
      </c>
      <c r="E58" t="s">
        <v>268</v>
      </c>
      <c r="F58" t="s">
        <v>111</v>
      </c>
      <c r="G58" t="s">
        <v>249</v>
      </c>
      <c r="H58" t="s">
        <v>269</v>
      </c>
      <c r="I58" t="s">
        <v>251</v>
      </c>
      <c r="J58" s="2">
        <v>46240</v>
      </c>
      <c r="K58" s="1">
        <v>39.770000000000003</v>
      </c>
    </row>
    <row r="59" spans="1:13" x14ac:dyDescent="0.2">
      <c r="A59" s="1">
        <f t="shared" si="1"/>
        <v>4.17</v>
      </c>
      <c r="C59" t="s">
        <v>247</v>
      </c>
      <c r="D59" t="s">
        <v>111</v>
      </c>
      <c r="E59" t="s">
        <v>270</v>
      </c>
      <c r="F59" t="s">
        <v>111</v>
      </c>
      <c r="G59" t="s">
        <v>249</v>
      </c>
      <c r="H59" t="s">
        <v>271</v>
      </c>
      <c r="I59" t="s">
        <v>129</v>
      </c>
      <c r="J59" s="2">
        <v>46240</v>
      </c>
      <c r="K59" s="1">
        <v>4.17</v>
      </c>
    </row>
    <row r="60" spans="1:13" x14ac:dyDescent="0.2">
      <c r="A60" s="1">
        <f t="shared" si="1"/>
        <v>15.94</v>
      </c>
      <c r="C60" t="s">
        <v>247</v>
      </c>
      <c r="D60" t="s">
        <v>111</v>
      </c>
      <c r="E60" t="s">
        <v>272</v>
      </c>
      <c r="F60" t="s">
        <v>111</v>
      </c>
      <c r="G60" t="s">
        <v>249</v>
      </c>
      <c r="H60" t="s">
        <v>273</v>
      </c>
      <c r="I60" t="s">
        <v>251</v>
      </c>
      <c r="J60" s="2">
        <v>46240</v>
      </c>
      <c r="K60" s="1">
        <v>7.97</v>
      </c>
      <c r="L60" s="2">
        <v>46241</v>
      </c>
      <c r="M60" s="1">
        <v>7.97</v>
      </c>
    </row>
    <row r="61" spans="1:13" x14ac:dyDescent="0.2">
      <c r="A61" s="1">
        <f t="shared" si="1"/>
        <v>10.64</v>
      </c>
      <c r="C61" t="s">
        <v>247</v>
      </c>
      <c r="D61" t="s">
        <v>111</v>
      </c>
      <c r="E61" t="s">
        <v>274</v>
      </c>
      <c r="F61" t="s">
        <v>111</v>
      </c>
      <c r="G61" t="s">
        <v>249</v>
      </c>
      <c r="H61" t="s">
        <v>275</v>
      </c>
      <c r="I61" t="s">
        <v>276</v>
      </c>
      <c r="J61" s="2">
        <v>46240</v>
      </c>
      <c r="K61" s="1">
        <v>5.32</v>
      </c>
      <c r="L61" s="2">
        <v>46241</v>
      </c>
      <c r="M61" s="1">
        <v>5.32</v>
      </c>
    </row>
    <row r="62" spans="1:13" x14ac:dyDescent="0.2">
      <c r="A62" s="1">
        <f t="shared" si="1"/>
        <v>4.96</v>
      </c>
      <c r="C62" t="s">
        <v>247</v>
      </c>
      <c r="D62" t="s">
        <v>111</v>
      </c>
      <c r="E62" t="s">
        <v>277</v>
      </c>
      <c r="F62" t="s">
        <v>111</v>
      </c>
      <c r="G62" t="s">
        <v>249</v>
      </c>
      <c r="H62" t="s">
        <v>278</v>
      </c>
      <c r="I62" t="s">
        <v>62</v>
      </c>
      <c r="J62" s="2">
        <v>46240</v>
      </c>
      <c r="K62" s="1">
        <v>4.96</v>
      </c>
    </row>
    <row r="63" spans="1:13" x14ac:dyDescent="0.2">
      <c r="A63" s="1">
        <f t="shared" si="1"/>
        <v>9.94</v>
      </c>
      <c r="C63" t="s">
        <v>247</v>
      </c>
      <c r="D63" t="s">
        <v>111</v>
      </c>
      <c r="E63" t="s">
        <v>279</v>
      </c>
      <c r="F63" t="s">
        <v>111</v>
      </c>
      <c r="G63" t="s">
        <v>249</v>
      </c>
      <c r="H63" t="s">
        <v>280</v>
      </c>
      <c r="I63" t="s">
        <v>281</v>
      </c>
      <c r="J63" s="2">
        <v>46240</v>
      </c>
      <c r="K63">
        <v>4.97</v>
      </c>
      <c r="L63" s="2">
        <v>46241</v>
      </c>
      <c r="M63" s="1">
        <v>4.97</v>
      </c>
    </row>
    <row r="64" spans="1:13" x14ac:dyDescent="0.2">
      <c r="A64" s="1">
        <f t="shared" si="1"/>
        <v>9.94</v>
      </c>
      <c r="C64" t="s">
        <v>247</v>
      </c>
      <c r="D64" t="s">
        <v>111</v>
      </c>
      <c r="E64" t="s">
        <v>282</v>
      </c>
      <c r="F64" t="s">
        <v>111</v>
      </c>
      <c r="G64" t="s">
        <v>249</v>
      </c>
      <c r="H64" t="s">
        <v>280</v>
      </c>
      <c r="I64" t="s">
        <v>281</v>
      </c>
      <c r="J64" s="2">
        <v>46240</v>
      </c>
      <c r="K64" s="1">
        <v>4.97</v>
      </c>
      <c r="L64" s="2">
        <v>46241</v>
      </c>
      <c r="M64" s="1">
        <v>4.97</v>
      </c>
    </row>
    <row r="65" spans="1:19" x14ac:dyDescent="0.2">
      <c r="A65" s="1">
        <f t="shared" si="1"/>
        <v>9.76</v>
      </c>
      <c r="C65" t="s">
        <v>247</v>
      </c>
      <c r="D65" t="s">
        <v>111</v>
      </c>
      <c r="E65" t="s">
        <v>283</v>
      </c>
      <c r="F65" t="s">
        <v>111</v>
      </c>
      <c r="G65" t="s">
        <v>249</v>
      </c>
      <c r="H65" t="s">
        <v>284</v>
      </c>
      <c r="I65" t="s">
        <v>89</v>
      </c>
      <c r="J65" s="2">
        <v>46240</v>
      </c>
      <c r="K65" s="1">
        <v>4.88</v>
      </c>
      <c r="L65" s="2">
        <v>46241</v>
      </c>
      <c r="M65" s="1">
        <v>4.88</v>
      </c>
    </row>
    <row r="66" spans="1:19" x14ac:dyDescent="0.2">
      <c r="A66" s="1">
        <f t="shared" ref="A66:A97" si="2">SUM(K66,M66,O66,Q66,S66)</f>
        <v>19.34</v>
      </c>
      <c r="C66" t="s">
        <v>247</v>
      </c>
      <c r="D66" t="s">
        <v>111</v>
      </c>
      <c r="E66" t="s">
        <v>285</v>
      </c>
      <c r="F66" t="s">
        <v>111</v>
      </c>
      <c r="G66" t="s">
        <v>249</v>
      </c>
      <c r="H66" t="s">
        <v>286</v>
      </c>
      <c r="I66" t="s">
        <v>116</v>
      </c>
      <c r="J66" s="2">
        <v>46240</v>
      </c>
      <c r="K66" s="1">
        <v>9.67</v>
      </c>
      <c r="L66" s="2">
        <v>46241</v>
      </c>
      <c r="M66" s="1">
        <v>9.67</v>
      </c>
    </row>
    <row r="67" spans="1:19" x14ac:dyDescent="0.2">
      <c r="A67" s="1">
        <f t="shared" si="2"/>
        <v>2.54</v>
      </c>
      <c r="C67" t="s">
        <v>247</v>
      </c>
      <c r="D67" t="s">
        <v>111</v>
      </c>
      <c r="E67" t="s">
        <v>287</v>
      </c>
      <c r="F67" t="s">
        <v>111</v>
      </c>
      <c r="G67" t="s">
        <v>249</v>
      </c>
      <c r="H67" t="s">
        <v>288</v>
      </c>
      <c r="I67" t="s">
        <v>265</v>
      </c>
      <c r="J67" s="2">
        <v>46240</v>
      </c>
      <c r="K67" s="1">
        <v>2.54</v>
      </c>
    </row>
    <row r="68" spans="1:19" x14ac:dyDescent="0.2">
      <c r="A68" s="1">
        <f t="shared" si="2"/>
        <v>15.92</v>
      </c>
      <c r="C68" t="s">
        <v>247</v>
      </c>
      <c r="D68" t="s">
        <v>111</v>
      </c>
      <c r="E68" t="s">
        <v>289</v>
      </c>
      <c r="F68" t="s">
        <v>111</v>
      </c>
      <c r="G68" t="s">
        <v>249</v>
      </c>
      <c r="H68" t="s">
        <v>24</v>
      </c>
      <c r="I68" t="s">
        <v>25</v>
      </c>
      <c r="J68" s="2">
        <v>46240</v>
      </c>
      <c r="K68" s="1">
        <v>7.96</v>
      </c>
      <c r="L68" s="2">
        <v>46241</v>
      </c>
      <c r="M68" s="1">
        <v>7.96</v>
      </c>
    </row>
    <row r="69" spans="1:19" x14ac:dyDescent="0.2">
      <c r="A69" s="1">
        <f t="shared" si="2"/>
        <v>9.94</v>
      </c>
      <c r="C69" t="s">
        <v>247</v>
      </c>
      <c r="D69" t="s">
        <v>111</v>
      </c>
      <c r="E69" t="s">
        <v>290</v>
      </c>
      <c r="F69" t="s">
        <v>111</v>
      </c>
      <c r="G69" t="s">
        <v>249</v>
      </c>
      <c r="H69" t="s">
        <v>157</v>
      </c>
      <c r="I69" t="s">
        <v>25</v>
      </c>
      <c r="J69" s="2">
        <v>46240</v>
      </c>
      <c r="K69" s="1">
        <v>4.97</v>
      </c>
      <c r="L69" s="2">
        <v>46241</v>
      </c>
      <c r="M69" s="1">
        <v>4.97</v>
      </c>
    </row>
    <row r="70" spans="1:19" x14ac:dyDescent="0.2">
      <c r="A70" s="1">
        <f t="shared" si="2"/>
        <v>5.49</v>
      </c>
      <c r="C70" t="s">
        <v>247</v>
      </c>
      <c r="D70" t="s">
        <v>111</v>
      </c>
      <c r="E70" t="s">
        <v>291</v>
      </c>
      <c r="F70" t="s">
        <v>111</v>
      </c>
      <c r="G70" t="s">
        <v>249</v>
      </c>
      <c r="H70" t="s">
        <v>175</v>
      </c>
      <c r="I70" t="s">
        <v>25</v>
      </c>
      <c r="J70" s="2">
        <v>46240</v>
      </c>
      <c r="K70" s="1">
        <v>1.83</v>
      </c>
      <c r="L70" s="2">
        <v>46241</v>
      </c>
      <c r="M70" s="1">
        <v>1.83</v>
      </c>
      <c r="N70" s="2">
        <v>46241</v>
      </c>
      <c r="O70" s="1">
        <v>1.83</v>
      </c>
    </row>
    <row r="71" spans="1:19" x14ac:dyDescent="0.2">
      <c r="A71" s="1">
        <f t="shared" si="2"/>
        <v>19.96</v>
      </c>
      <c r="C71" t="s">
        <v>247</v>
      </c>
      <c r="D71" t="s">
        <v>111</v>
      </c>
      <c r="E71" t="s">
        <v>292</v>
      </c>
      <c r="F71" t="s">
        <v>111</v>
      </c>
      <c r="G71" t="s">
        <v>249</v>
      </c>
      <c r="H71" t="s">
        <v>293</v>
      </c>
      <c r="I71" t="s">
        <v>251</v>
      </c>
      <c r="J71" s="2">
        <v>46240</v>
      </c>
      <c r="K71" s="1">
        <v>9.98</v>
      </c>
      <c r="L71" s="2">
        <v>46241</v>
      </c>
      <c r="M71" s="1">
        <v>9.98</v>
      </c>
    </row>
    <row r="72" spans="1:19" x14ac:dyDescent="0.2">
      <c r="A72" s="1">
        <f t="shared" si="2"/>
        <v>3.48</v>
      </c>
      <c r="C72" t="s">
        <v>247</v>
      </c>
      <c r="D72" t="s">
        <v>111</v>
      </c>
      <c r="E72" t="s">
        <v>291</v>
      </c>
      <c r="F72" t="s">
        <v>111</v>
      </c>
      <c r="G72" t="s">
        <v>249</v>
      </c>
      <c r="H72" t="s">
        <v>175</v>
      </c>
      <c r="I72" t="s">
        <v>25</v>
      </c>
      <c r="J72" s="2">
        <v>46240</v>
      </c>
      <c r="K72" s="1">
        <v>3.48</v>
      </c>
    </row>
    <row r="73" spans="1:19" x14ac:dyDescent="0.2">
      <c r="A73" s="1">
        <f t="shared" si="2"/>
        <v>21.42</v>
      </c>
      <c r="C73" t="s">
        <v>247</v>
      </c>
      <c r="D73" t="s">
        <v>111</v>
      </c>
      <c r="E73" t="s">
        <v>244</v>
      </c>
      <c r="F73" t="s">
        <v>111</v>
      </c>
      <c r="G73" t="s">
        <v>249</v>
      </c>
      <c r="H73" t="s">
        <v>244</v>
      </c>
      <c r="I73" t="s">
        <v>245</v>
      </c>
      <c r="J73" s="2">
        <v>46240</v>
      </c>
      <c r="K73" s="1">
        <v>3.48</v>
      </c>
      <c r="L73" s="2">
        <v>46241</v>
      </c>
      <c r="M73" s="1">
        <v>3.48</v>
      </c>
      <c r="N73" s="2">
        <v>46247</v>
      </c>
      <c r="O73" s="1">
        <v>1.76</v>
      </c>
      <c r="P73" s="2">
        <v>46260</v>
      </c>
      <c r="Q73" s="1">
        <v>6.35</v>
      </c>
      <c r="R73" s="2">
        <v>46260</v>
      </c>
      <c r="S73" s="1">
        <v>6.35</v>
      </c>
    </row>
    <row r="74" spans="1:19" x14ac:dyDescent="0.2">
      <c r="A74" s="1">
        <f t="shared" si="2"/>
        <v>46.78</v>
      </c>
      <c r="C74" t="s">
        <v>247</v>
      </c>
      <c r="D74" t="s">
        <v>111</v>
      </c>
      <c r="E74" t="s">
        <v>294</v>
      </c>
      <c r="F74" t="s">
        <v>111</v>
      </c>
      <c r="G74" t="s">
        <v>249</v>
      </c>
      <c r="H74" t="s">
        <v>295</v>
      </c>
      <c r="I74" t="s">
        <v>245</v>
      </c>
      <c r="J74" s="2">
        <v>46240</v>
      </c>
      <c r="K74" s="1">
        <v>16.920000000000002</v>
      </c>
      <c r="L74" s="2">
        <v>46247</v>
      </c>
      <c r="M74" s="1">
        <v>17.72</v>
      </c>
      <c r="N74" s="2">
        <v>46260</v>
      </c>
      <c r="O74" s="1">
        <v>12.14</v>
      </c>
    </row>
    <row r="75" spans="1:19" x14ac:dyDescent="0.2">
      <c r="A75" s="1">
        <f t="shared" si="2"/>
        <v>5</v>
      </c>
      <c r="C75" t="s">
        <v>247</v>
      </c>
      <c r="D75" t="s">
        <v>111</v>
      </c>
      <c r="E75" t="s">
        <v>296</v>
      </c>
      <c r="F75" t="s">
        <v>111</v>
      </c>
      <c r="G75" t="s">
        <v>249</v>
      </c>
      <c r="H75" t="s">
        <v>297</v>
      </c>
      <c r="I75" t="s">
        <v>245</v>
      </c>
      <c r="J75" s="2">
        <v>46240</v>
      </c>
      <c r="K75" s="1">
        <v>5</v>
      </c>
    </row>
    <row r="76" spans="1:19" x14ac:dyDescent="0.2">
      <c r="A76" s="1">
        <f t="shared" si="2"/>
        <v>2.77</v>
      </c>
      <c r="C76" t="s">
        <v>247</v>
      </c>
      <c r="D76" t="s">
        <v>111</v>
      </c>
      <c r="E76" t="s">
        <v>298</v>
      </c>
      <c r="F76" t="s">
        <v>111</v>
      </c>
      <c r="G76" t="s">
        <v>249</v>
      </c>
      <c r="H76" t="s">
        <v>299</v>
      </c>
      <c r="I76" t="s">
        <v>245</v>
      </c>
      <c r="J76" s="2">
        <v>46240</v>
      </c>
      <c r="K76" s="1">
        <v>2.77</v>
      </c>
    </row>
    <row r="77" spans="1:19" x14ac:dyDescent="0.2">
      <c r="A77" s="1">
        <f t="shared" si="2"/>
        <v>6.67</v>
      </c>
      <c r="C77" t="s">
        <v>247</v>
      </c>
      <c r="D77" t="s">
        <v>111</v>
      </c>
      <c r="E77" t="s">
        <v>300</v>
      </c>
      <c r="F77" t="s">
        <v>111</v>
      </c>
      <c r="G77" t="s">
        <v>249</v>
      </c>
      <c r="H77" t="s">
        <v>258</v>
      </c>
      <c r="I77" t="s">
        <v>259</v>
      </c>
      <c r="J77" s="2">
        <v>46241</v>
      </c>
      <c r="K77" s="1">
        <v>6.67</v>
      </c>
    </row>
    <row r="78" spans="1:19" x14ac:dyDescent="0.2">
      <c r="A78" s="1">
        <f t="shared" si="2"/>
        <v>39.770000000000003</v>
      </c>
      <c r="C78" t="s">
        <v>247</v>
      </c>
      <c r="D78" t="s">
        <v>111</v>
      </c>
      <c r="E78" t="s">
        <v>301</v>
      </c>
      <c r="F78" t="s">
        <v>111</v>
      </c>
      <c r="G78" t="s">
        <v>249</v>
      </c>
      <c r="H78" t="s">
        <v>269</v>
      </c>
      <c r="I78" t="s">
        <v>251</v>
      </c>
      <c r="J78" s="2">
        <v>46241</v>
      </c>
      <c r="K78" s="1">
        <v>39.770000000000003</v>
      </c>
    </row>
    <row r="79" spans="1:19" x14ac:dyDescent="0.2">
      <c r="A79" s="1">
        <f t="shared" si="2"/>
        <v>4.17</v>
      </c>
      <c r="C79" t="s">
        <v>247</v>
      </c>
      <c r="D79" t="s">
        <v>111</v>
      </c>
      <c r="E79" t="s">
        <v>302</v>
      </c>
      <c r="F79" t="s">
        <v>111</v>
      </c>
      <c r="G79" t="s">
        <v>249</v>
      </c>
      <c r="H79" t="s">
        <v>271</v>
      </c>
      <c r="I79" t="s">
        <v>129</v>
      </c>
      <c r="J79" s="2">
        <v>46241</v>
      </c>
      <c r="K79" s="1">
        <v>4.17</v>
      </c>
    </row>
    <row r="80" spans="1:19" x14ac:dyDescent="0.2">
      <c r="A80" s="1">
        <f t="shared" si="2"/>
        <v>4.96</v>
      </c>
      <c r="C80" t="s">
        <v>247</v>
      </c>
      <c r="D80" t="s">
        <v>111</v>
      </c>
      <c r="E80" t="s">
        <v>303</v>
      </c>
      <c r="F80" t="s">
        <v>111</v>
      </c>
      <c r="G80" t="s">
        <v>249</v>
      </c>
      <c r="H80" t="s">
        <v>278</v>
      </c>
      <c r="I80" t="s">
        <v>62</v>
      </c>
      <c r="J80" s="2">
        <v>46241</v>
      </c>
      <c r="K80" s="1">
        <v>4.96</v>
      </c>
    </row>
    <row r="81" spans="1:13" x14ac:dyDescent="0.2">
      <c r="A81" s="1">
        <f t="shared" si="2"/>
        <v>11.76</v>
      </c>
      <c r="C81" t="s">
        <v>247</v>
      </c>
      <c r="D81" t="s">
        <v>111</v>
      </c>
      <c r="E81" t="s">
        <v>304</v>
      </c>
      <c r="F81" t="s">
        <v>111</v>
      </c>
      <c r="G81" t="s">
        <v>249</v>
      </c>
      <c r="H81" t="s">
        <v>305</v>
      </c>
      <c r="I81" t="s">
        <v>306</v>
      </c>
      <c r="J81" s="2">
        <v>46241</v>
      </c>
      <c r="K81" s="1">
        <v>11.76</v>
      </c>
    </row>
    <row r="82" spans="1:13" x14ac:dyDescent="0.2">
      <c r="A82" s="1">
        <f t="shared" si="2"/>
        <v>2.54</v>
      </c>
      <c r="C82" t="s">
        <v>247</v>
      </c>
      <c r="D82" t="s">
        <v>111</v>
      </c>
      <c r="E82" t="s">
        <v>307</v>
      </c>
      <c r="F82" t="s">
        <v>111</v>
      </c>
      <c r="G82" t="s">
        <v>249</v>
      </c>
      <c r="H82" t="s">
        <v>288</v>
      </c>
      <c r="I82" t="s">
        <v>265</v>
      </c>
      <c r="J82" s="2">
        <v>46241</v>
      </c>
      <c r="K82" s="1">
        <v>2.54</v>
      </c>
    </row>
    <row r="83" spans="1:13" x14ac:dyDescent="0.2">
      <c r="A83" s="1">
        <f t="shared" si="2"/>
        <v>5</v>
      </c>
      <c r="C83" t="s">
        <v>247</v>
      </c>
      <c r="D83" t="s">
        <v>111</v>
      </c>
      <c r="E83" t="s">
        <v>308</v>
      </c>
      <c r="F83" t="s">
        <v>111</v>
      </c>
      <c r="G83" t="s">
        <v>249</v>
      </c>
      <c r="H83" t="s">
        <v>297</v>
      </c>
      <c r="I83" t="s">
        <v>245</v>
      </c>
      <c r="J83" s="2">
        <v>46241</v>
      </c>
      <c r="K83" s="1">
        <v>5</v>
      </c>
    </row>
    <row r="84" spans="1:13" x14ac:dyDescent="0.2">
      <c r="A84" s="1">
        <f t="shared" si="2"/>
        <v>5.97</v>
      </c>
      <c r="C84" t="s">
        <v>247</v>
      </c>
      <c r="D84" t="s">
        <v>111</v>
      </c>
      <c r="E84" t="s">
        <v>309</v>
      </c>
      <c r="F84" t="s">
        <v>111</v>
      </c>
      <c r="G84" t="s">
        <v>249</v>
      </c>
      <c r="H84" t="s">
        <v>310</v>
      </c>
      <c r="I84" t="s">
        <v>178</v>
      </c>
      <c r="J84" s="2">
        <v>46247</v>
      </c>
      <c r="K84" s="1">
        <v>5.97</v>
      </c>
    </row>
    <row r="85" spans="1:13" x14ac:dyDescent="0.2">
      <c r="A85" s="1">
        <f t="shared" si="2"/>
        <v>6.88</v>
      </c>
      <c r="C85" t="s">
        <v>247</v>
      </c>
      <c r="D85" t="s">
        <v>111</v>
      </c>
      <c r="E85" t="s">
        <v>311</v>
      </c>
      <c r="F85" t="s">
        <v>111</v>
      </c>
      <c r="G85" t="s">
        <v>249</v>
      </c>
      <c r="H85" t="s">
        <v>312</v>
      </c>
      <c r="I85" t="s">
        <v>313</v>
      </c>
      <c r="J85" s="2">
        <v>46247</v>
      </c>
      <c r="K85" s="1">
        <v>6.88</v>
      </c>
    </row>
    <row r="86" spans="1:13" x14ac:dyDescent="0.2">
      <c r="A86" s="1">
        <f t="shared" si="2"/>
        <v>6.48</v>
      </c>
      <c r="C86" t="s">
        <v>247</v>
      </c>
      <c r="D86" t="s">
        <v>111</v>
      </c>
      <c r="E86" t="s">
        <v>314</v>
      </c>
      <c r="F86" t="s">
        <v>111</v>
      </c>
      <c r="G86" t="s">
        <v>249</v>
      </c>
      <c r="H86" t="s">
        <v>315</v>
      </c>
      <c r="I86" t="s">
        <v>316</v>
      </c>
      <c r="J86" s="2">
        <v>46247</v>
      </c>
      <c r="K86" s="1">
        <v>6.48</v>
      </c>
    </row>
    <row r="87" spans="1:13" x14ac:dyDescent="0.2">
      <c r="A87" s="1">
        <f t="shared" si="2"/>
        <v>5.74</v>
      </c>
      <c r="C87" t="s">
        <v>247</v>
      </c>
      <c r="D87" t="s">
        <v>111</v>
      </c>
      <c r="E87" t="s">
        <v>317</v>
      </c>
      <c r="F87" t="s">
        <v>111</v>
      </c>
      <c r="G87" t="s">
        <v>249</v>
      </c>
      <c r="H87" t="s">
        <v>318</v>
      </c>
      <c r="I87" t="s">
        <v>319</v>
      </c>
      <c r="J87" s="2">
        <v>46247</v>
      </c>
      <c r="K87" s="1">
        <v>5.74</v>
      </c>
    </row>
    <row r="88" spans="1:13" x14ac:dyDescent="0.2">
      <c r="A88" s="1">
        <f t="shared" si="2"/>
        <v>5.98</v>
      </c>
      <c r="C88" t="s">
        <v>247</v>
      </c>
      <c r="D88" t="s">
        <v>111</v>
      </c>
      <c r="E88" t="s">
        <v>320</v>
      </c>
      <c r="F88" t="s">
        <v>111</v>
      </c>
      <c r="G88" t="s">
        <v>249</v>
      </c>
      <c r="H88" t="s">
        <v>321</v>
      </c>
      <c r="I88" t="s">
        <v>137</v>
      </c>
      <c r="J88" s="2">
        <v>46247</v>
      </c>
      <c r="K88" s="1">
        <v>5.98</v>
      </c>
    </row>
    <row r="89" spans="1:13" x14ac:dyDescent="0.2">
      <c r="A89" s="1">
        <f t="shared" si="2"/>
        <v>1.27</v>
      </c>
      <c r="C89" t="s">
        <v>247</v>
      </c>
      <c r="D89" t="s">
        <v>111</v>
      </c>
      <c r="E89" t="s">
        <v>322</v>
      </c>
      <c r="F89" t="s">
        <v>111</v>
      </c>
      <c r="G89" t="s">
        <v>249</v>
      </c>
      <c r="H89" t="s">
        <v>323</v>
      </c>
      <c r="I89" t="s">
        <v>39</v>
      </c>
      <c r="J89" s="2">
        <v>46247</v>
      </c>
      <c r="K89" s="1">
        <v>1.27</v>
      </c>
    </row>
    <row r="90" spans="1:13" x14ac:dyDescent="0.2">
      <c r="A90" s="1">
        <f t="shared" si="2"/>
        <v>11.93</v>
      </c>
      <c r="C90" t="s">
        <v>247</v>
      </c>
      <c r="D90" t="s">
        <v>111</v>
      </c>
      <c r="E90" t="s">
        <v>324</v>
      </c>
      <c r="F90" t="s">
        <v>111</v>
      </c>
      <c r="G90" t="s">
        <v>249</v>
      </c>
      <c r="H90" t="s">
        <v>325</v>
      </c>
      <c r="I90" t="s">
        <v>48</v>
      </c>
      <c r="J90" s="2">
        <v>46247</v>
      </c>
      <c r="K90" s="1">
        <v>11.93</v>
      </c>
    </row>
    <row r="91" spans="1:13" x14ac:dyDescent="0.2">
      <c r="A91" s="1">
        <f t="shared" si="2"/>
        <v>7.98</v>
      </c>
      <c r="C91" t="s">
        <v>247</v>
      </c>
      <c r="D91" t="s">
        <v>111</v>
      </c>
      <c r="E91" t="s">
        <v>326</v>
      </c>
      <c r="F91" t="s">
        <v>111</v>
      </c>
      <c r="G91" t="s">
        <v>249</v>
      </c>
      <c r="H91" t="s">
        <v>327</v>
      </c>
      <c r="I91" t="s">
        <v>328</v>
      </c>
      <c r="J91" s="2">
        <v>46247</v>
      </c>
      <c r="K91" s="1">
        <v>7.98</v>
      </c>
    </row>
    <row r="92" spans="1:13" x14ac:dyDescent="0.2">
      <c r="A92" s="1">
        <f t="shared" si="2"/>
        <v>6.48</v>
      </c>
      <c r="C92" t="s">
        <v>247</v>
      </c>
      <c r="D92" t="s">
        <v>111</v>
      </c>
      <c r="E92" t="s">
        <v>329</v>
      </c>
      <c r="F92" t="s">
        <v>111</v>
      </c>
      <c r="G92" t="s">
        <v>249</v>
      </c>
      <c r="H92" t="s">
        <v>330</v>
      </c>
      <c r="I92" t="s">
        <v>328</v>
      </c>
      <c r="J92" s="2">
        <v>46247</v>
      </c>
      <c r="K92" s="1">
        <v>6.48</v>
      </c>
    </row>
    <row r="93" spans="1:13" x14ac:dyDescent="0.2">
      <c r="A93" s="1">
        <f t="shared" si="2"/>
        <v>2.08</v>
      </c>
      <c r="C93" t="s">
        <v>247</v>
      </c>
      <c r="D93" t="s">
        <v>111</v>
      </c>
      <c r="E93" t="s">
        <v>331</v>
      </c>
      <c r="F93" t="s">
        <v>111</v>
      </c>
      <c r="G93" t="s">
        <v>249</v>
      </c>
      <c r="H93" t="s">
        <v>56</v>
      </c>
      <c r="I93" t="s">
        <v>8</v>
      </c>
      <c r="J93" s="2">
        <v>46247</v>
      </c>
      <c r="K93" s="1">
        <v>2.08</v>
      </c>
    </row>
    <row r="94" spans="1:13" x14ac:dyDescent="0.2">
      <c r="A94" s="1">
        <f t="shared" si="2"/>
        <v>3.16</v>
      </c>
      <c r="C94" t="s">
        <v>247</v>
      </c>
      <c r="D94" t="s">
        <v>111</v>
      </c>
      <c r="E94" t="s">
        <v>332</v>
      </c>
      <c r="F94" t="s">
        <v>243</v>
      </c>
      <c r="G94" t="s">
        <v>249</v>
      </c>
      <c r="H94" t="s">
        <v>333</v>
      </c>
      <c r="I94" t="s">
        <v>334</v>
      </c>
      <c r="J94" s="2">
        <v>46247</v>
      </c>
      <c r="K94" s="1">
        <v>3.16</v>
      </c>
    </row>
    <row r="95" spans="1:13" x14ac:dyDescent="0.2">
      <c r="A95" s="1">
        <f t="shared" si="2"/>
        <v>0.84</v>
      </c>
      <c r="C95" t="s">
        <v>247</v>
      </c>
      <c r="D95" t="s">
        <v>111</v>
      </c>
      <c r="E95" t="s">
        <v>335</v>
      </c>
      <c r="F95" t="s">
        <v>111</v>
      </c>
      <c r="G95" t="s">
        <v>249</v>
      </c>
      <c r="H95" t="s">
        <v>141</v>
      </c>
      <c r="I95" t="s">
        <v>8</v>
      </c>
      <c r="J95" s="2">
        <v>46247</v>
      </c>
      <c r="K95" s="1">
        <v>0.42</v>
      </c>
      <c r="L95" s="2">
        <v>46247</v>
      </c>
      <c r="M95" s="1">
        <v>0.42</v>
      </c>
    </row>
    <row r="96" spans="1:13" x14ac:dyDescent="0.2">
      <c r="A96" s="1">
        <f t="shared" si="2"/>
        <v>1.2</v>
      </c>
      <c r="C96" t="s">
        <v>247</v>
      </c>
      <c r="D96" t="s">
        <v>111</v>
      </c>
      <c r="E96" t="s">
        <v>336</v>
      </c>
      <c r="F96" t="s">
        <v>111</v>
      </c>
      <c r="G96" t="s">
        <v>249</v>
      </c>
      <c r="H96" t="s">
        <v>139</v>
      </c>
      <c r="I96" t="s">
        <v>8</v>
      </c>
      <c r="J96" s="2">
        <v>46247</v>
      </c>
      <c r="K96" s="1">
        <v>0.6</v>
      </c>
      <c r="L96" s="2">
        <v>46247</v>
      </c>
      <c r="M96" s="1">
        <v>0.6</v>
      </c>
    </row>
    <row r="97" spans="1:13" x14ac:dyDescent="0.2">
      <c r="A97" s="1">
        <f t="shared" si="2"/>
        <v>1.76</v>
      </c>
      <c r="C97" t="s">
        <v>247</v>
      </c>
      <c r="D97" t="s">
        <v>111</v>
      </c>
      <c r="E97" t="s">
        <v>337</v>
      </c>
      <c r="F97" t="s">
        <v>111</v>
      </c>
      <c r="G97" t="s">
        <v>249</v>
      </c>
      <c r="H97" t="s">
        <v>338</v>
      </c>
      <c r="I97" t="s">
        <v>8</v>
      </c>
      <c r="J97" s="2">
        <v>46247</v>
      </c>
      <c r="K97" s="1">
        <v>0.88</v>
      </c>
      <c r="L97" s="2">
        <v>46247</v>
      </c>
      <c r="M97" s="1">
        <v>0.88</v>
      </c>
    </row>
    <row r="98" spans="1:13" x14ac:dyDescent="0.2">
      <c r="A98" s="1">
        <f t="shared" ref="A98:A124" si="3">SUM(K98,M98,O98,Q98,S98)</f>
        <v>3.85</v>
      </c>
      <c r="C98" t="s">
        <v>247</v>
      </c>
      <c r="D98" t="s">
        <v>111</v>
      </c>
      <c r="E98" t="s">
        <v>339</v>
      </c>
      <c r="F98" t="s">
        <v>111</v>
      </c>
      <c r="G98" t="s">
        <v>249</v>
      </c>
      <c r="H98" t="s">
        <v>340</v>
      </c>
      <c r="I98" t="s">
        <v>8</v>
      </c>
      <c r="J98" s="2">
        <v>46247</v>
      </c>
      <c r="K98" s="1">
        <v>3.85</v>
      </c>
    </row>
    <row r="99" spans="1:13" x14ac:dyDescent="0.2">
      <c r="A99" s="1">
        <f t="shared" si="3"/>
        <v>3.52</v>
      </c>
      <c r="C99" t="s">
        <v>247</v>
      </c>
      <c r="D99" t="s">
        <v>111</v>
      </c>
      <c r="E99" t="s">
        <v>341</v>
      </c>
      <c r="F99" t="s">
        <v>111</v>
      </c>
      <c r="G99" t="s">
        <v>249</v>
      </c>
      <c r="H99" t="s">
        <v>175</v>
      </c>
      <c r="I99" t="s">
        <v>25</v>
      </c>
      <c r="J99" s="2">
        <v>46247</v>
      </c>
      <c r="K99" s="1">
        <v>1.76</v>
      </c>
      <c r="L99" s="2">
        <v>46247</v>
      </c>
      <c r="M99" s="1">
        <v>1.76</v>
      </c>
    </row>
    <row r="100" spans="1:13" x14ac:dyDescent="0.2">
      <c r="A100" s="1">
        <f t="shared" si="3"/>
        <v>28.54</v>
      </c>
      <c r="C100" t="s">
        <v>247</v>
      </c>
      <c r="D100" t="s">
        <v>111</v>
      </c>
      <c r="E100" t="s">
        <v>342</v>
      </c>
      <c r="F100" t="s">
        <v>111</v>
      </c>
      <c r="G100" t="s">
        <v>249</v>
      </c>
      <c r="H100" t="s">
        <v>343</v>
      </c>
      <c r="I100" t="s">
        <v>344</v>
      </c>
      <c r="J100" s="2">
        <v>46260</v>
      </c>
      <c r="K100" s="1">
        <v>28.54</v>
      </c>
    </row>
    <row r="101" spans="1:13" x14ac:dyDescent="0.2">
      <c r="A101" s="1">
        <f t="shared" si="3"/>
        <v>0</v>
      </c>
      <c r="C101" t="s">
        <v>247</v>
      </c>
      <c r="D101" t="s">
        <v>111</v>
      </c>
      <c r="E101" t="s">
        <v>345</v>
      </c>
      <c r="F101" t="s">
        <v>111</v>
      </c>
      <c r="G101" t="s">
        <v>249</v>
      </c>
      <c r="H101" t="s">
        <v>346</v>
      </c>
      <c r="I101" t="s">
        <v>347</v>
      </c>
      <c r="J101" s="2">
        <v>46260</v>
      </c>
      <c r="K101" t="s">
        <v>111</v>
      </c>
    </row>
    <row r="102" spans="1:13" x14ac:dyDescent="0.2">
      <c r="A102" s="1">
        <f t="shared" si="3"/>
        <v>4.46</v>
      </c>
      <c r="C102" t="s">
        <v>247</v>
      </c>
      <c r="D102" t="s">
        <v>111</v>
      </c>
      <c r="E102" t="s">
        <v>348</v>
      </c>
      <c r="F102" t="s">
        <v>111</v>
      </c>
      <c r="G102" t="s">
        <v>249</v>
      </c>
      <c r="H102" t="s">
        <v>349</v>
      </c>
      <c r="I102" t="s">
        <v>350</v>
      </c>
      <c r="J102" s="2">
        <v>46260</v>
      </c>
      <c r="K102" s="1">
        <v>4.46</v>
      </c>
    </row>
    <row r="103" spans="1:13" x14ac:dyDescent="0.2">
      <c r="A103" s="1">
        <f t="shared" si="3"/>
        <v>9.98</v>
      </c>
      <c r="C103" t="s">
        <v>247</v>
      </c>
      <c r="D103" t="s">
        <v>111</v>
      </c>
      <c r="E103" t="s">
        <v>351</v>
      </c>
      <c r="F103" t="s">
        <v>111</v>
      </c>
      <c r="G103" t="s">
        <v>249</v>
      </c>
      <c r="H103" t="s">
        <v>352</v>
      </c>
      <c r="I103" t="s">
        <v>353</v>
      </c>
      <c r="J103" s="2">
        <v>46260</v>
      </c>
      <c r="K103" s="1">
        <v>9.98</v>
      </c>
    </row>
    <row r="104" spans="1:13" x14ac:dyDescent="0.2">
      <c r="A104" s="1">
        <f t="shared" si="3"/>
        <v>6.24</v>
      </c>
      <c r="C104" t="s">
        <v>247</v>
      </c>
      <c r="D104" t="s">
        <v>111</v>
      </c>
      <c r="E104" t="s">
        <v>354</v>
      </c>
      <c r="F104" t="s">
        <v>111</v>
      </c>
      <c r="G104" t="s">
        <v>249</v>
      </c>
      <c r="H104" t="s">
        <v>355</v>
      </c>
      <c r="I104" t="s">
        <v>356</v>
      </c>
      <c r="J104" s="2">
        <v>46260</v>
      </c>
      <c r="K104" s="1">
        <v>6.24</v>
      </c>
    </row>
    <row r="105" spans="1:13" x14ac:dyDescent="0.2">
      <c r="A105" s="1">
        <f t="shared" si="3"/>
        <v>4.67</v>
      </c>
      <c r="C105" t="s">
        <v>247</v>
      </c>
      <c r="D105" t="s">
        <v>111</v>
      </c>
      <c r="E105" t="s">
        <v>357</v>
      </c>
      <c r="F105" t="s">
        <v>111</v>
      </c>
      <c r="G105" t="s">
        <v>249</v>
      </c>
      <c r="H105" t="s">
        <v>358</v>
      </c>
      <c r="I105" t="s">
        <v>116</v>
      </c>
      <c r="J105" s="2">
        <v>46260</v>
      </c>
      <c r="K105" s="1">
        <v>4.67</v>
      </c>
    </row>
    <row r="106" spans="1:13" x14ac:dyDescent="0.2">
      <c r="A106" s="1">
        <f t="shared" si="3"/>
        <v>1.2</v>
      </c>
      <c r="C106" t="s">
        <v>247</v>
      </c>
      <c r="D106" t="s">
        <v>111</v>
      </c>
      <c r="E106" t="s">
        <v>359</v>
      </c>
      <c r="F106" t="s">
        <v>111</v>
      </c>
      <c r="G106" t="s">
        <v>249</v>
      </c>
      <c r="H106" t="s">
        <v>175</v>
      </c>
      <c r="I106" t="s">
        <v>25</v>
      </c>
      <c r="J106" s="2">
        <v>46260</v>
      </c>
      <c r="K106" s="1">
        <v>0.6</v>
      </c>
      <c r="L106" s="2">
        <v>46260</v>
      </c>
      <c r="M106" s="1">
        <v>0.6</v>
      </c>
    </row>
    <row r="107" spans="1:13" x14ac:dyDescent="0.2">
      <c r="A107" s="1">
        <f t="shared" si="3"/>
        <v>3.69</v>
      </c>
      <c r="C107" t="s">
        <v>110</v>
      </c>
      <c r="D107" t="s">
        <v>111</v>
      </c>
      <c r="E107" t="s">
        <v>360</v>
      </c>
      <c r="F107" t="s">
        <v>113</v>
      </c>
      <c r="G107" t="s">
        <v>361</v>
      </c>
      <c r="H107" t="s">
        <v>362</v>
      </c>
      <c r="I107" t="s">
        <v>363</v>
      </c>
      <c r="J107" s="2">
        <v>46262</v>
      </c>
      <c r="K107" s="1">
        <v>3.69</v>
      </c>
    </row>
    <row r="108" spans="1:13" x14ac:dyDescent="0.2">
      <c r="A108" s="1">
        <f t="shared" si="3"/>
        <v>5.15</v>
      </c>
      <c r="C108" t="s">
        <v>110</v>
      </c>
      <c r="D108" t="s">
        <v>111</v>
      </c>
      <c r="E108" t="s">
        <v>364</v>
      </c>
      <c r="F108" t="s">
        <v>113</v>
      </c>
      <c r="G108" t="s">
        <v>361</v>
      </c>
      <c r="H108" t="s">
        <v>365</v>
      </c>
      <c r="I108" t="s">
        <v>259</v>
      </c>
      <c r="J108" s="2">
        <v>46262</v>
      </c>
      <c r="K108" s="1">
        <v>5.15</v>
      </c>
    </row>
    <row r="109" spans="1:13" x14ac:dyDescent="0.2">
      <c r="A109" s="1">
        <f t="shared" si="3"/>
        <v>2.99</v>
      </c>
      <c r="C109" t="s">
        <v>110</v>
      </c>
      <c r="D109" t="s">
        <v>111</v>
      </c>
      <c r="E109" t="s">
        <v>366</v>
      </c>
      <c r="F109" t="s">
        <v>113</v>
      </c>
      <c r="G109" t="s">
        <v>361</v>
      </c>
      <c r="H109" t="s">
        <v>367</v>
      </c>
      <c r="I109" t="s">
        <v>8</v>
      </c>
      <c r="J109" s="2">
        <v>46262</v>
      </c>
      <c r="K109" s="1">
        <v>2.99</v>
      </c>
    </row>
    <row r="110" spans="1:13" x14ac:dyDescent="0.2">
      <c r="A110" s="1">
        <f t="shared" si="3"/>
        <v>5.15</v>
      </c>
      <c r="C110" t="s">
        <v>110</v>
      </c>
      <c r="D110" t="s">
        <v>111</v>
      </c>
      <c r="E110" t="s">
        <v>368</v>
      </c>
      <c r="F110" t="s">
        <v>113</v>
      </c>
      <c r="G110" t="s">
        <v>361</v>
      </c>
      <c r="H110" t="s">
        <v>369</v>
      </c>
      <c r="I110" t="s">
        <v>8</v>
      </c>
      <c r="J110" s="2">
        <v>46262</v>
      </c>
      <c r="K110" s="1">
        <v>5.15</v>
      </c>
    </row>
    <row r="111" spans="1:13" x14ac:dyDescent="0.2">
      <c r="A111" s="1">
        <f t="shared" si="3"/>
        <v>3.19</v>
      </c>
      <c r="C111" t="s">
        <v>110</v>
      </c>
      <c r="D111" t="s">
        <v>111</v>
      </c>
      <c r="E111" t="s">
        <v>370</v>
      </c>
      <c r="F111" t="s">
        <v>113</v>
      </c>
      <c r="G111" t="s">
        <v>361</v>
      </c>
      <c r="H111" t="s">
        <v>371</v>
      </c>
      <c r="I111" t="s">
        <v>372</v>
      </c>
      <c r="J111" s="2">
        <v>46262</v>
      </c>
      <c r="K111" s="1">
        <v>3.19</v>
      </c>
    </row>
    <row r="112" spans="1:13" x14ac:dyDescent="0.2">
      <c r="A112" s="1">
        <f t="shared" si="3"/>
        <v>6.79</v>
      </c>
      <c r="C112" t="s">
        <v>110</v>
      </c>
      <c r="D112" t="s">
        <v>111</v>
      </c>
      <c r="E112" t="s">
        <v>373</v>
      </c>
      <c r="F112" t="s">
        <v>113</v>
      </c>
      <c r="G112" t="s">
        <v>361</v>
      </c>
      <c r="H112" t="s">
        <v>374</v>
      </c>
      <c r="I112" t="s">
        <v>265</v>
      </c>
      <c r="J112" s="2">
        <v>46262</v>
      </c>
      <c r="K112" s="1">
        <v>6.79</v>
      </c>
    </row>
    <row r="113" spans="1:13" x14ac:dyDescent="0.2">
      <c r="A113" s="1">
        <f t="shared" si="3"/>
        <v>3.99</v>
      </c>
      <c r="C113" t="s">
        <v>110</v>
      </c>
      <c r="D113" t="s">
        <v>111</v>
      </c>
      <c r="E113" t="s">
        <v>375</v>
      </c>
      <c r="F113" t="s">
        <v>113</v>
      </c>
      <c r="G113" t="s">
        <v>361</v>
      </c>
      <c r="H113" t="s">
        <v>376</v>
      </c>
      <c r="I113" t="s">
        <v>377</v>
      </c>
      <c r="J113" s="2">
        <v>46262</v>
      </c>
      <c r="K113" s="1">
        <v>3.99</v>
      </c>
    </row>
    <row r="114" spans="1:13" x14ac:dyDescent="0.2">
      <c r="A114" s="1">
        <f t="shared" si="3"/>
        <v>3.99</v>
      </c>
      <c r="C114" t="s">
        <v>110</v>
      </c>
      <c r="D114" t="s">
        <v>111</v>
      </c>
      <c r="E114" t="s">
        <v>378</v>
      </c>
      <c r="F114" t="s">
        <v>113</v>
      </c>
      <c r="G114" t="s">
        <v>361</v>
      </c>
      <c r="H114" t="s">
        <v>376</v>
      </c>
      <c r="I114" t="s">
        <v>377</v>
      </c>
      <c r="J114" s="2">
        <v>46262</v>
      </c>
      <c r="K114" s="1">
        <v>3.99</v>
      </c>
    </row>
    <row r="115" spans="1:13" x14ac:dyDescent="0.2">
      <c r="A115" s="1">
        <f t="shared" si="3"/>
        <v>5.45</v>
      </c>
      <c r="C115" t="s">
        <v>110</v>
      </c>
      <c r="D115" t="s">
        <v>111</v>
      </c>
      <c r="E115" t="s">
        <v>379</v>
      </c>
      <c r="F115" t="s">
        <v>113</v>
      </c>
      <c r="G115" t="s">
        <v>361</v>
      </c>
      <c r="H115" t="s">
        <v>380</v>
      </c>
      <c r="I115" t="s">
        <v>377</v>
      </c>
      <c r="J115" s="2">
        <v>46262</v>
      </c>
      <c r="K115" s="1">
        <v>5.45</v>
      </c>
    </row>
    <row r="116" spans="1:13" x14ac:dyDescent="0.2">
      <c r="A116" s="1">
        <f t="shared" si="3"/>
        <v>5.45</v>
      </c>
      <c r="C116" t="s">
        <v>110</v>
      </c>
      <c r="D116" t="s">
        <v>111</v>
      </c>
      <c r="E116" t="s">
        <v>381</v>
      </c>
      <c r="F116" t="s">
        <v>113</v>
      </c>
      <c r="G116" t="s">
        <v>361</v>
      </c>
      <c r="H116" t="s">
        <v>380</v>
      </c>
      <c r="I116" t="s">
        <v>377</v>
      </c>
      <c r="J116" s="2">
        <v>46262</v>
      </c>
      <c r="K116" s="1">
        <v>5.45</v>
      </c>
    </row>
    <row r="117" spans="1:13" x14ac:dyDescent="0.2">
      <c r="A117" s="1">
        <f t="shared" si="3"/>
        <v>14.29</v>
      </c>
      <c r="C117" t="s">
        <v>110</v>
      </c>
      <c r="D117" t="s">
        <v>111</v>
      </c>
      <c r="E117" t="s">
        <v>382</v>
      </c>
      <c r="F117" t="s">
        <v>113</v>
      </c>
      <c r="G117" t="s">
        <v>361</v>
      </c>
      <c r="H117" t="s">
        <v>383</v>
      </c>
      <c r="I117" t="s">
        <v>384</v>
      </c>
      <c r="J117" s="2">
        <v>46262</v>
      </c>
      <c r="K117" s="1">
        <v>14.29</v>
      </c>
    </row>
    <row r="118" spans="1:13" x14ac:dyDescent="0.2">
      <c r="A118" s="1">
        <f t="shared" si="3"/>
        <v>1.53</v>
      </c>
      <c r="C118" t="s">
        <v>110</v>
      </c>
      <c r="D118" t="s">
        <v>111</v>
      </c>
      <c r="E118" t="s">
        <v>175</v>
      </c>
      <c r="F118" t="s">
        <v>111</v>
      </c>
      <c r="G118" t="s">
        <v>361</v>
      </c>
      <c r="H118" t="s">
        <v>175</v>
      </c>
      <c r="I118" t="s">
        <v>25</v>
      </c>
      <c r="J118" s="2">
        <v>46262</v>
      </c>
      <c r="K118">
        <v>1.53</v>
      </c>
    </row>
    <row r="119" spans="1:13" x14ac:dyDescent="0.2">
      <c r="A119" s="1">
        <f t="shared" si="3"/>
        <v>5.65</v>
      </c>
      <c r="C119" t="s">
        <v>110</v>
      </c>
      <c r="D119" t="s">
        <v>111</v>
      </c>
      <c r="E119" t="s">
        <v>385</v>
      </c>
      <c r="F119" t="s">
        <v>113</v>
      </c>
      <c r="G119" t="s">
        <v>361</v>
      </c>
      <c r="H119" t="s">
        <v>386</v>
      </c>
      <c r="I119" t="s">
        <v>387</v>
      </c>
      <c r="J119" s="2">
        <v>46262</v>
      </c>
      <c r="K119" s="1">
        <v>5.65</v>
      </c>
      <c r="L119" s="2">
        <v>46262</v>
      </c>
      <c r="M119" s="1">
        <v>0</v>
      </c>
    </row>
    <row r="120" spans="1:13" x14ac:dyDescent="0.2">
      <c r="A120" s="1">
        <f t="shared" si="3"/>
        <v>3.33</v>
      </c>
      <c r="C120" t="s">
        <v>110</v>
      </c>
      <c r="D120" t="s">
        <v>111</v>
      </c>
      <c r="E120" t="s">
        <v>388</v>
      </c>
      <c r="F120" t="s">
        <v>111</v>
      </c>
      <c r="G120" t="s">
        <v>361</v>
      </c>
      <c r="H120" t="s">
        <v>389</v>
      </c>
      <c r="I120" t="s">
        <v>390</v>
      </c>
      <c r="J120" s="2">
        <v>46262</v>
      </c>
      <c r="K120">
        <v>3.33</v>
      </c>
    </row>
    <row r="121" spans="1:13" x14ac:dyDescent="0.2">
      <c r="A121" s="1">
        <f t="shared" si="3"/>
        <v>3.33</v>
      </c>
      <c r="C121" t="s">
        <v>110</v>
      </c>
      <c r="D121" t="s">
        <v>111</v>
      </c>
      <c r="E121" t="s">
        <v>391</v>
      </c>
      <c r="F121" t="s">
        <v>392</v>
      </c>
      <c r="G121" t="s">
        <v>361</v>
      </c>
      <c r="H121" t="s">
        <v>393</v>
      </c>
      <c r="I121" t="s">
        <v>390</v>
      </c>
      <c r="J121" s="2">
        <v>46262</v>
      </c>
      <c r="K121">
        <v>3.33</v>
      </c>
    </row>
    <row r="122" spans="1:13" x14ac:dyDescent="0.2">
      <c r="A122" s="1">
        <f t="shared" si="3"/>
        <v>7.19</v>
      </c>
      <c r="C122" t="s">
        <v>110</v>
      </c>
      <c r="D122" t="s">
        <v>111</v>
      </c>
      <c r="E122" t="s">
        <v>394</v>
      </c>
      <c r="F122" t="s">
        <v>243</v>
      </c>
      <c r="G122" t="s">
        <v>361</v>
      </c>
      <c r="H122" t="s">
        <v>395</v>
      </c>
      <c r="I122" t="s">
        <v>396</v>
      </c>
      <c r="J122" s="2">
        <v>46262</v>
      </c>
      <c r="K122" s="1">
        <v>7.19</v>
      </c>
    </row>
    <row r="123" spans="1:13" x14ac:dyDescent="0.2">
      <c r="A123" s="1">
        <f t="shared" si="3"/>
        <v>0.5</v>
      </c>
      <c r="C123" t="s">
        <v>110</v>
      </c>
      <c r="D123" t="s">
        <v>111</v>
      </c>
      <c r="E123" t="s">
        <v>244</v>
      </c>
      <c r="F123" t="s">
        <v>111</v>
      </c>
      <c r="G123" t="s">
        <v>361</v>
      </c>
      <c r="H123" t="s">
        <v>244</v>
      </c>
      <c r="I123" t="s">
        <v>245</v>
      </c>
      <c r="J123" s="2">
        <v>46262</v>
      </c>
      <c r="K123">
        <v>0.5</v>
      </c>
    </row>
    <row r="124" spans="1:13" x14ac:dyDescent="0.2">
      <c r="A124" s="1">
        <f t="shared" si="3"/>
        <v>3.34</v>
      </c>
      <c r="C124" t="s">
        <v>110</v>
      </c>
      <c r="D124" t="s">
        <v>111</v>
      </c>
      <c r="E124" t="s">
        <v>391</v>
      </c>
      <c r="F124" t="s">
        <v>392</v>
      </c>
      <c r="G124" t="s">
        <v>361</v>
      </c>
      <c r="H124" t="s">
        <v>393</v>
      </c>
      <c r="I124" t="s">
        <v>390</v>
      </c>
      <c r="J124" s="2">
        <v>46262</v>
      </c>
      <c r="K124">
        <v>3.34</v>
      </c>
    </row>
  </sheetData>
  <autoFilter ref="A1:S1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20" width="34" customWidth="1"/>
  </cols>
  <sheetData>
    <row r="1" spans="1:20" ht="24" customHeight="1" x14ac:dyDescent="0.2">
      <c r="A1" s="46" t="s">
        <v>398</v>
      </c>
      <c r="B1" s="46" t="s">
        <v>99</v>
      </c>
      <c r="C1" s="46" t="s">
        <v>399</v>
      </c>
      <c r="D1" s="46" t="s">
        <v>400</v>
      </c>
      <c r="E1" s="46" t="s">
        <v>401</v>
      </c>
      <c r="F1" s="46" t="s">
        <v>402</v>
      </c>
      <c r="G1" s="46" t="s">
        <v>403</v>
      </c>
      <c r="H1" s="46" t="s">
        <v>404</v>
      </c>
      <c r="I1" s="46" t="s">
        <v>405</v>
      </c>
      <c r="J1" s="46" t="s">
        <v>406</v>
      </c>
      <c r="K1" s="46" t="s">
        <v>407</v>
      </c>
      <c r="L1" s="46" t="s">
        <v>408</v>
      </c>
      <c r="M1" s="46" t="s">
        <v>409</v>
      </c>
      <c r="N1" s="46" t="s">
        <v>410</v>
      </c>
      <c r="O1" s="46" t="s">
        <v>411</v>
      </c>
      <c r="P1" s="46" t="s">
        <v>412</v>
      </c>
      <c r="Q1" s="46" t="s">
        <v>413</v>
      </c>
      <c r="R1" s="46" t="s">
        <v>414</v>
      </c>
      <c r="S1" s="46" t="s">
        <v>415</v>
      </c>
      <c r="T1" s="46" t="s">
        <v>416</v>
      </c>
    </row>
    <row r="2" spans="1:20" ht="36" customHeight="1" x14ac:dyDescent="0.2">
      <c r="A2" s="47" t="s">
        <v>251</v>
      </c>
      <c r="B2" s="47" t="s">
        <v>353</v>
      </c>
      <c r="C2" s="48" t="s">
        <v>352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 ht="36" customHeight="1" x14ac:dyDescent="0.2">
      <c r="A3" s="49" t="s">
        <v>251</v>
      </c>
      <c r="B3" s="49" t="s">
        <v>251</v>
      </c>
      <c r="C3" s="50" t="s">
        <v>293</v>
      </c>
      <c r="D3" s="50" t="s">
        <v>273</v>
      </c>
      <c r="E3" s="50" t="s">
        <v>267</v>
      </c>
      <c r="F3" s="50" t="s">
        <v>269</v>
      </c>
      <c r="G3" s="50" t="s">
        <v>250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ht="36" customHeight="1" x14ac:dyDescent="0.2">
      <c r="A4" s="51" t="s">
        <v>417</v>
      </c>
      <c r="B4" s="51" t="s">
        <v>62</v>
      </c>
      <c r="C4" s="52" t="s">
        <v>92</v>
      </c>
      <c r="D4" s="52" t="s">
        <v>256</v>
      </c>
      <c r="E4" s="52" t="s">
        <v>278</v>
      </c>
      <c r="F4" s="52" t="s">
        <v>61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ht="36" customHeight="1" x14ac:dyDescent="0.2">
      <c r="A5" s="53" t="s">
        <v>418</v>
      </c>
      <c r="B5" s="53" t="s">
        <v>259</v>
      </c>
      <c r="C5" s="54" t="s">
        <v>258</v>
      </c>
      <c r="D5" s="54" t="s">
        <v>365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36" customHeight="1" x14ac:dyDescent="0.2">
      <c r="A6" s="55" t="s">
        <v>419</v>
      </c>
      <c r="B6" s="55" t="s">
        <v>281</v>
      </c>
      <c r="C6" s="56" t="s">
        <v>280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36" customHeight="1" x14ac:dyDescent="0.2">
      <c r="A7" s="57" t="s">
        <v>420</v>
      </c>
      <c r="B7" s="57" t="s">
        <v>137</v>
      </c>
      <c r="C7" s="58" t="s">
        <v>321</v>
      </c>
      <c r="D7" s="58" t="s">
        <v>136</v>
      </c>
      <c r="E7" s="58" t="s">
        <v>201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</row>
    <row r="8" spans="1:20" ht="36" customHeight="1" x14ac:dyDescent="0.2">
      <c r="A8" s="47" t="s">
        <v>417</v>
      </c>
      <c r="B8" s="47" t="s">
        <v>14</v>
      </c>
      <c r="C8" s="48" t="s">
        <v>13</v>
      </c>
      <c r="D8" s="48" t="s">
        <v>17</v>
      </c>
      <c r="E8" s="48" t="s">
        <v>182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</row>
    <row r="9" spans="1:20" ht="36" customHeight="1" x14ac:dyDescent="0.2">
      <c r="A9" s="59" t="s">
        <v>417</v>
      </c>
      <c r="B9" s="49" t="s">
        <v>21</v>
      </c>
      <c r="C9" s="50" t="s">
        <v>20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1:20" ht="36" customHeight="1" x14ac:dyDescent="0.2">
      <c r="A10" s="51" t="s">
        <v>421</v>
      </c>
      <c r="B10" s="51" t="s">
        <v>262</v>
      </c>
      <c r="C10" s="52" t="s">
        <v>261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1:20" ht="36" customHeight="1" x14ac:dyDescent="0.2">
      <c r="A11" s="53" t="s">
        <v>422</v>
      </c>
      <c r="B11" s="53" t="s">
        <v>48</v>
      </c>
      <c r="C11" s="54" t="s">
        <v>325</v>
      </c>
      <c r="D11" s="54" t="s">
        <v>47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1:20" ht="36" customHeight="1" x14ac:dyDescent="0.2">
      <c r="A12" s="60" t="s">
        <v>423</v>
      </c>
      <c r="B12" s="55" t="s">
        <v>29</v>
      </c>
      <c r="C12" s="56" t="s">
        <v>58</v>
      </c>
      <c r="D12" s="56" t="s">
        <v>28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36" customHeight="1" x14ac:dyDescent="0.2">
      <c r="A13" s="57" t="s">
        <v>417</v>
      </c>
      <c r="B13" s="57" t="s">
        <v>209</v>
      </c>
      <c r="C13" s="58" t="s">
        <v>208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spans="1:20" ht="36" customHeight="1" x14ac:dyDescent="0.2">
      <c r="A14" s="47" t="s">
        <v>422</v>
      </c>
      <c r="B14" s="47" t="s">
        <v>132</v>
      </c>
      <c r="C14" s="48" t="s">
        <v>131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5" spans="1:20" ht="36" customHeight="1" x14ac:dyDescent="0.2">
      <c r="A15" s="59" t="s">
        <v>422</v>
      </c>
      <c r="B15" s="49" t="s">
        <v>45</v>
      </c>
      <c r="C15" s="50" t="s">
        <v>44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spans="1:20" ht="36" customHeight="1" x14ac:dyDescent="0.2">
      <c r="A16" s="51" t="s">
        <v>417</v>
      </c>
      <c r="B16" s="51" t="s">
        <v>194</v>
      </c>
      <c r="C16" s="52" t="s">
        <v>193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</row>
    <row r="17" spans="1:20" ht="36" customHeight="1" x14ac:dyDescent="0.2">
      <c r="A17" s="53" t="s">
        <v>424</v>
      </c>
      <c r="B17" s="53" t="s">
        <v>316</v>
      </c>
      <c r="C17" s="54" t="s">
        <v>315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1:20" ht="36" customHeight="1" x14ac:dyDescent="0.2">
      <c r="A18" s="55" t="s">
        <v>419</v>
      </c>
      <c r="B18" s="55" t="s">
        <v>347</v>
      </c>
      <c r="C18" s="56" t="s">
        <v>346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</row>
    <row r="19" spans="1:20" ht="36" customHeight="1" x14ac:dyDescent="0.2">
      <c r="A19" s="57" t="s">
        <v>423</v>
      </c>
      <c r="B19" s="57" t="s">
        <v>170</v>
      </c>
      <c r="C19" s="58" t="s">
        <v>169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spans="1:20" ht="36" customHeight="1" x14ac:dyDescent="0.2">
      <c r="A20" s="47" t="s">
        <v>419</v>
      </c>
      <c r="B20" s="47" t="s">
        <v>350</v>
      </c>
      <c r="C20" s="48" t="s">
        <v>349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</row>
    <row r="21" spans="1:20" ht="36" customHeight="1" x14ac:dyDescent="0.2">
      <c r="A21" s="49" t="s">
        <v>419</v>
      </c>
      <c r="B21" s="49" t="s">
        <v>198</v>
      </c>
      <c r="C21" s="50" t="s">
        <v>197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spans="1:20" ht="36" customHeight="1" x14ac:dyDescent="0.2">
      <c r="A22" s="51" t="s">
        <v>89</v>
      </c>
      <c r="B22" s="51" t="s">
        <v>89</v>
      </c>
      <c r="C22" s="52" t="s">
        <v>284</v>
      </c>
      <c r="D22" s="52" t="s">
        <v>88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</row>
    <row r="23" spans="1:20" ht="36" customHeight="1" x14ac:dyDescent="0.2">
      <c r="A23" s="53" t="s">
        <v>425</v>
      </c>
      <c r="B23" s="53" t="s">
        <v>245</v>
      </c>
      <c r="C23" s="54" t="s">
        <v>295</v>
      </c>
      <c r="D23" s="54" t="s">
        <v>297</v>
      </c>
      <c r="E23" s="54" t="s">
        <v>299</v>
      </c>
      <c r="F23" s="54" t="s">
        <v>244</v>
      </c>
      <c r="G23" s="54" t="s">
        <v>246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ht="36" customHeight="1" x14ac:dyDescent="0.2">
      <c r="A24" s="55" t="s">
        <v>419</v>
      </c>
      <c r="B24" s="55" t="s">
        <v>328</v>
      </c>
      <c r="C24" s="56" t="s">
        <v>327</v>
      </c>
      <c r="D24" s="56" t="s">
        <v>330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</row>
    <row r="25" spans="1:20" ht="36" customHeight="1" x14ac:dyDescent="0.2">
      <c r="A25" s="57" t="s">
        <v>426</v>
      </c>
      <c r="B25" s="57" t="s">
        <v>25</v>
      </c>
      <c r="C25" s="58" t="s">
        <v>72</v>
      </c>
      <c r="D25" s="58" t="s">
        <v>80</v>
      </c>
      <c r="E25" s="58" t="s">
        <v>175</v>
      </c>
      <c r="F25" s="58" t="s">
        <v>82</v>
      </c>
      <c r="G25" s="58" t="s">
        <v>166</v>
      </c>
      <c r="H25" s="58" t="s">
        <v>24</v>
      </c>
      <c r="I25" s="58" t="s">
        <v>157</v>
      </c>
      <c r="J25" s="58" t="s">
        <v>54</v>
      </c>
      <c r="K25" s="58" t="s">
        <v>225</v>
      </c>
      <c r="L25" s="58"/>
      <c r="M25" s="58"/>
      <c r="N25" s="58"/>
      <c r="O25" s="58"/>
      <c r="P25" s="58"/>
      <c r="Q25" s="58"/>
      <c r="R25" s="58"/>
      <c r="S25" s="58"/>
      <c r="T25" s="58"/>
    </row>
    <row r="26" spans="1:20" ht="36" customHeight="1" x14ac:dyDescent="0.2">
      <c r="A26" s="47" t="s">
        <v>426</v>
      </c>
      <c r="B26" s="47" t="s">
        <v>146</v>
      </c>
      <c r="C26" s="48" t="s">
        <v>145</v>
      </c>
      <c r="D26" s="48" t="s">
        <v>190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 spans="1:20" ht="36" customHeight="1" x14ac:dyDescent="0.2">
      <c r="A27" s="49" t="s">
        <v>424</v>
      </c>
      <c r="B27" s="49" t="s">
        <v>223</v>
      </c>
      <c r="C27" s="50" t="s">
        <v>222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36" customHeight="1" x14ac:dyDescent="0.2">
      <c r="A28" s="51" t="s">
        <v>427</v>
      </c>
      <c r="B28" s="51" t="s">
        <v>384</v>
      </c>
      <c r="C28" s="52" t="s">
        <v>383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</row>
    <row r="29" spans="1:20" ht="36" customHeight="1" x14ac:dyDescent="0.2">
      <c r="A29" s="53" t="s">
        <v>426</v>
      </c>
      <c r="B29" s="53" t="s">
        <v>8</v>
      </c>
      <c r="C29" s="54" t="s">
        <v>159</v>
      </c>
      <c r="D29" s="54" t="s">
        <v>150</v>
      </c>
      <c r="E29" s="54" t="s">
        <v>148</v>
      </c>
      <c r="F29" s="54" t="s">
        <v>31</v>
      </c>
      <c r="G29" s="54" t="s">
        <v>10</v>
      </c>
      <c r="H29" s="54" t="s">
        <v>367</v>
      </c>
      <c r="I29" s="54" t="s">
        <v>143</v>
      </c>
      <c r="J29" s="54" t="s">
        <v>56</v>
      </c>
      <c r="K29" s="54" t="s">
        <v>154</v>
      </c>
      <c r="L29" s="54" t="s">
        <v>78</v>
      </c>
      <c r="M29" s="54" t="s">
        <v>338</v>
      </c>
      <c r="N29" s="54" t="s">
        <v>180</v>
      </c>
      <c r="O29" s="54" t="s">
        <v>41</v>
      </c>
      <c r="P29" s="54" t="s">
        <v>369</v>
      </c>
      <c r="Q29" s="54" t="s">
        <v>7</v>
      </c>
      <c r="R29" s="54" t="s">
        <v>340</v>
      </c>
      <c r="S29" s="54" t="s">
        <v>141</v>
      </c>
      <c r="T29" s="54" t="s">
        <v>139</v>
      </c>
    </row>
    <row r="30" spans="1:20" ht="36" customHeight="1" x14ac:dyDescent="0.2">
      <c r="A30" s="55" t="s">
        <v>426</v>
      </c>
      <c r="B30" s="55" t="s">
        <v>163</v>
      </c>
      <c r="C30" s="56" t="s">
        <v>162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</row>
    <row r="31" spans="1:20" ht="36" customHeight="1" x14ac:dyDescent="0.2">
      <c r="A31" s="57" t="s">
        <v>428</v>
      </c>
      <c r="B31" s="57" t="s">
        <v>124</v>
      </c>
      <c r="C31" s="58" t="s">
        <v>123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spans="1:20" ht="36" customHeight="1" x14ac:dyDescent="0.2">
      <c r="A32" s="47" t="s">
        <v>424</v>
      </c>
      <c r="B32" s="47" t="s">
        <v>306</v>
      </c>
      <c r="C32" s="48" t="s">
        <v>305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</row>
    <row r="33" spans="1:20" ht="36" customHeight="1" x14ac:dyDescent="0.2">
      <c r="A33" s="49" t="s">
        <v>429</v>
      </c>
      <c r="B33" s="49" t="s">
        <v>70</v>
      </c>
      <c r="C33" s="50" t="s">
        <v>69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spans="1:20" ht="36" customHeight="1" x14ac:dyDescent="0.2">
      <c r="A34" s="61" t="s">
        <v>429</v>
      </c>
      <c r="B34" s="51" t="s">
        <v>35</v>
      </c>
      <c r="C34" s="52" t="s">
        <v>34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</row>
    <row r="35" spans="1:20" ht="36" customHeight="1" x14ac:dyDescent="0.2">
      <c r="A35" s="62" t="s">
        <v>429</v>
      </c>
      <c r="B35" s="53" t="s">
        <v>66</v>
      </c>
      <c r="C35" s="54" t="s">
        <v>65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36" customHeight="1" x14ac:dyDescent="0.2">
      <c r="A36" s="55" t="s">
        <v>429</v>
      </c>
      <c r="B36" s="55" t="s">
        <v>39</v>
      </c>
      <c r="C36" s="56" t="s">
        <v>323</v>
      </c>
      <c r="D36" s="56" t="s">
        <v>38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</row>
    <row r="37" spans="1:20" ht="36" customHeight="1" x14ac:dyDescent="0.2">
      <c r="A37" s="57" t="s">
        <v>430</v>
      </c>
      <c r="B37" s="57" t="s">
        <v>254</v>
      </c>
      <c r="C37" s="58" t="s">
        <v>253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 spans="1:20" ht="36" customHeight="1" x14ac:dyDescent="0.2">
      <c r="A38" s="47" t="s">
        <v>344</v>
      </c>
      <c r="B38" s="47" t="s">
        <v>344</v>
      </c>
      <c r="C38" s="48" t="s">
        <v>343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</row>
    <row r="39" spans="1:20" ht="36" customHeight="1" x14ac:dyDescent="0.2">
      <c r="A39" s="49" t="s">
        <v>424</v>
      </c>
      <c r="B39" s="49" t="s">
        <v>319</v>
      </c>
      <c r="C39" s="50" t="s">
        <v>318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spans="1:20" ht="36" customHeight="1" x14ac:dyDescent="0.2">
      <c r="A40" s="51" t="s">
        <v>419</v>
      </c>
      <c r="B40" s="51" t="s">
        <v>356</v>
      </c>
      <c r="C40" s="52" t="s">
        <v>355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</row>
    <row r="41" spans="1:20" ht="36" customHeight="1" x14ac:dyDescent="0.2">
      <c r="A41" s="53" t="s">
        <v>417</v>
      </c>
      <c r="B41" s="53" t="s">
        <v>228</v>
      </c>
      <c r="C41" s="54" t="s">
        <v>227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36" customHeight="1" x14ac:dyDescent="0.2">
      <c r="A42" s="55" t="s">
        <v>431</v>
      </c>
      <c r="B42" s="55" t="s">
        <v>334</v>
      </c>
      <c r="C42" s="56" t="s">
        <v>333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</row>
    <row r="43" spans="1:20" ht="36" customHeight="1" x14ac:dyDescent="0.2">
      <c r="A43" s="57" t="s">
        <v>417</v>
      </c>
      <c r="B43" s="57" t="s">
        <v>377</v>
      </c>
      <c r="C43" s="58" t="s">
        <v>380</v>
      </c>
      <c r="D43" s="58" t="s">
        <v>376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spans="1:20" ht="36" customHeight="1" x14ac:dyDescent="0.2">
      <c r="A44" s="47" t="s">
        <v>422</v>
      </c>
      <c r="B44" s="47" t="s">
        <v>276</v>
      </c>
      <c r="C44" s="48" t="s">
        <v>275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</row>
    <row r="45" spans="1:20" ht="36" customHeight="1" x14ac:dyDescent="0.2">
      <c r="A45" s="49" t="s">
        <v>420</v>
      </c>
      <c r="B45" s="49" t="s">
        <v>234</v>
      </c>
      <c r="C45" s="50" t="s">
        <v>233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 spans="1:20" ht="36" customHeight="1" x14ac:dyDescent="0.2">
      <c r="A46" s="51" t="s">
        <v>417</v>
      </c>
      <c r="B46" s="51" t="s">
        <v>231</v>
      </c>
      <c r="C46" s="52" t="s">
        <v>230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</row>
    <row r="47" spans="1:20" ht="36" customHeight="1" x14ac:dyDescent="0.2">
      <c r="A47" s="53" t="s">
        <v>417</v>
      </c>
      <c r="B47" s="53" t="s">
        <v>363</v>
      </c>
      <c r="C47" s="54" t="s">
        <v>362</v>
      </c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36" customHeight="1" x14ac:dyDescent="0.2">
      <c r="A48" s="55" t="s">
        <v>422</v>
      </c>
      <c r="B48" s="55" t="s">
        <v>387</v>
      </c>
      <c r="C48" s="56" t="s">
        <v>386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</row>
    <row r="49" spans="1:20" ht="36" customHeight="1" x14ac:dyDescent="0.2">
      <c r="A49" s="57" t="s">
        <v>422</v>
      </c>
      <c r="B49" s="57" t="s">
        <v>129</v>
      </c>
      <c r="C49" s="58" t="s">
        <v>271</v>
      </c>
      <c r="D49" s="58" t="s">
        <v>128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 spans="1:20" ht="36" customHeight="1" x14ac:dyDescent="0.2">
      <c r="A50" s="47" t="s">
        <v>417</v>
      </c>
      <c r="B50" s="47" t="s">
        <v>172</v>
      </c>
      <c r="C50" s="48" t="s">
        <v>171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 spans="1:20" ht="36" customHeight="1" x14ac:dyDescent="0.2">
      <c r="A51" s="49" t="s">
        <v>432</v>
      </c>
      <c r="B51" s="49" t="s">
        <v>237</v>
      </c>
      <c r="C51" s="50" t="s">
        <v>236</v>
      </c>
      <c r="D51" s="50" t="s">
        <v>238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spans="1:20" ht="36" customHeight="1" x14ac:dyDescent="0.2">
      <c r="A52" s="51" t="s">
        <v>432</v>
      </c>
      <c r="B52" s="51" t="s">
        <v>241</v>
      </c>
      <c r="C52" s="52" t="s">
        <v>242</v>
      </c>
      <c r="D52" s="52" t="s">
        <v>239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</row>
    <row r="53" spans="1:20" ht="36" customHeight="1" x14ac:dyDescent="0.2">
      <c r="A53" s="53" t="s">
        <v>418</v>
      </c>
      <c r="B53" s="53" t="s">
        <v>121</v>
      </c>
      <c r="C53" s="54" t="s">
        <v>120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36" customHeight="1" x14ac:dyDescent="0.2">
      <c r="A54" s="55" t="s">
        <v>417</v>
      </c>
      <c r="B54" s="55" t="s">
        <v>313</v>
      </c>
      <c r="C54" s="56" t="s">
        <v>312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spans="1:20" ht="36" customHeight="1" x14ac:dyDescent="0.2">
      <c r="A55" s="57" t="s">
        <v>417</v>
      </c>
      <c r="B55" s="57" t="s">
        <v>187</v>
      </c>
      <c r="C55" s="58" t="s">
        <v>186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 spans="1:20" ht="36" customHeight="1" x14ac:dyDescent="0.2">
      <c r="A56" s="47" t="s">
        <v>426</v>
      </c>
      <c r="B56" s="47" t="s">
        <v>390</v>
      </c>
      <c r="C56" s="48" t="s">
        <v>389</v>
      </c>
      <c r="D56" s="48" t="s">
        <v>393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</row>
    <row r="57" spans="1:20" ht="36" customHeight="1" x14ac:dyDescent="0.2">
      <c r="A57" s="49" t="s">
        <v>423</v>
      </c>
      <c r="B57" s="49" t="s">
        <v>372</v>
      </c>
      <c r="C57" s="50" t="s">
        <v>371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spans="1:20" ht="36" customHeight="1" x14ac:dyDescent="0.2">
      <c r="A58" s="51" t="s">
        <v>423</v>
      </c>
      <c r="B58" s="51" t="s">
        <v>265</v>
      </c>
      <c r="C58" s="52" t="s">
        <v>264</v>
      </c>
      <c r="D58" s="52" t="s">
        <v>374</v>
      </c>
      <c r="E58" s="52" t="s">
        <v>288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</row>
    <row r="59" spans="1:20" ht="36" customHeight="1" x14ac:dyDescent="0.2">
      <c r="A59" s="53" t="s">
        <v>417</v>
      </c>
      <c r="B59" s="53" t="s">
        <v>178</v>
      </c>
      <c r="C59" s="54" t="s">
        <v>177</v>
      </c>
      <c r="D59" s="54" t="s">
        <v>310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36" customHeight="1" x14ac:dyDescent="0.2">
      <c r="A60" s="60" t="s">
        <v>418</v>
      </c>
      <c r="B60" s="55" t="s">
        <v>86</v>
      </c>
      <c r="C60" s="56" t="s">
        <v>85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spans="1:20" ht="36" customHeight="1" x14ac:dyDescent="0.2">
      <c r="A61" s="57" t="s">
        <v>422</v>
      </c>
      <c r="B61" s="57" t="s">
        <v>212</v>
      </c>
      <c r="C61" s="58" t="s">
        <v>215</v>
      </c>
      <c r="D61" s="58" t="s">
        <v>211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</row>
    <row r="62" spans="1:20" ht="36" customHeight="1" x14ac:dyDescent="0.2">
      <c r="A62" s="47" t="s">
        <v>419</v>
      </c>
      <c r="B62" s="47" t="s">
        <v>218</v>
      </c>
      <c r="C62" s="48" t="s">
        <v>217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</row>
    <row r="63" spans="1:20" ht="36" customHeight="1" x14ac:dyDescent="0.2">
      <c r="A63" s="59" t="s">
        <v>417</v>
      </c>
      <c r="B63" s="49" t="s">
        <v>52</v>
      </c>
      <c r="C63" s="50" t="s">
        <v>51</v>
      </c>
      <c r="D63" s="50" t="s">
        <v>75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spans="1:20" ht="36" customHeight="1" x14ac:dyDescent="0.2">
      <c r="A64" s="51" t="s">
        <v>396</v>
      </c>
      <c r="B64" s="51" t="s">
        <v>396</v>
      </c>
      <c r="C64" s="52" t="s">
        <v>395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</row>
    <row r="65" spans="1:20" ht="36" customHeight="1" x14ac:dyDescent="0.2">
      <c r="A65" s="53" t="s">
        <v>433</v>
      </c>
      <c r="B65" s="53" t="s">
        <v>205</v>
      </c>
      <c r="C65" s="54" t="s">
        <v>204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36" customHeight="1" x14ac:dyDescent="0.2">
      <c r="A66" s="55" t="s">
        <v>422</v>
      </c>
      <c r="B66" s="55" t="s">
        <v>116</v>
      </c>
      <c r="C66" s="56" t="s">
        <v>126</v>
      </c>
      <c r="D66" s="56" t="s">
        <v>286</v>
      </c>
      <c r="E66" s="56" t="s">
        <v>358</v>
      </c>
      <c r="F66" s="56" t="s">
        <v>118</v>
      </c>
      <c r="G66" s="56" t="s">
        <v>115</v>
      </c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</row>
  </sheetData>
  <autoFilter ref="A1:T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5" width="10" customWidth="1"/>
    <col min="16" max="16" width="2" customWidth="1"/>
    <col min="17" max="17" width="4" customWidth="1"/>
    <col min="18" max="18" width="5" customWidth="1"/>
    <col min="19" max="22" width="15" customWidth="1"/>
    <col min="23" max="23" width="14" customWidth="1"/>
    <col min="24" max="24" width="2" customWidth="1"/>
    <col min="25" max="33" width="13" customWidth="1"/>
  </cols>
  <sheetData>
    <row r="1" spans="1:33" ht="28" customHeight="1" x14ac:dyDescent="0.2">
      <c r="A1" s="90" t="s">
        <v>434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 ht="28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4" spans="1:33" x14ac:dyDescent="0.2">
      <c r="A4" s="27" t="s">
        <v>435</v>
      </c>
      <c r="G4" s="27" t="s">
        <v>436</v>
      </c>
      <c r="M4" s="27" t="s">
        <v>437</v>
      </c>
      <c r="T4" s="27" t="s">
        <v>438</v>
      </c>
      <c r="Z4" s="27" t="s">
        <v>439</v>
      </c>
    </row>
    <row r="5" spans="1:33" ht="16" customHeight="1" x14ac:dyDescent="0.2">
      <c r="A5" s="28">
        <v>979.80000000000007</v>
      </c>
      <c r="G5" s="29">
        <v>187</v>
      </c>
      <c r="M5" s="29" t="s">
        <v>440</v>
      </c>
      <c r="T5" s="29">
        <v>5</v>
      </c>
      <c r="Z5" s="29">
        <v>64</v>
      </c>
    </row>
    <row r="8" spans="1:33" ht="16" customHeight="1" x14ac:dyDescent="0.2">
      <c r="Q8" s="88" t="s">
        <v>441</v>
      </c>
      <c r="R8" s="87"/>
      <c r="S8" s="87"/>
      <c r="T8" s="87"/>
      <c r="U8" s="87"/>
      <c r="V8" s="87"/>
      <c r="W8" s="87"/>
      <c r="Y8" s="88" t="s">
        <v>442</v>
      </c>
      <c r="Z8" s="87"/>
      <c r="AA8" s="87"/>
      <c r="AB8" s="87"/>
      <c r="AC8" s="87"/>
      <c r="AD8" s="87"/>
      <c r="AE8" s="87"/>
      <c r="AF8" s="87"/>
      <c r="AG8" s="87"/>
    </row>
    <row r="9" spans="1:33" x14ac:dyDescent="0.2">
      <c r="Q9" s="30"/>
      <c r="R9" s="30" t="s">
        <v>443</v>
      </c>
      <c r="S9" s="30" t="s">
        <v>444</v>
      </c>
      <c r="W9" s="30" t="s">
        <v>445</v>
      </c>
    </row>
    <row r="10" spans="1:33" ht="22" customHeight="1" x14ac:dyDescent="0.2">
      <c r="Q10" s="31"/>
      <c r="R10" s="32">
        <v>1</v>
      </c>
      <c r="S10" s="86" t="s">
        <v>446</v>
      </c>
      <c r="T10" s="87"/>
      <c r="U10" s="87"/>
      <c r="V10" s="87"/>
      <c r="W10" s="6" t="s">
        <v>447</v>
      </c>
      <c r="Y10" s="89" t="s">
        <v>448</v>
      </c>
      <c r="Z10" s="87"/>
      <c r="AA10" s="87"/>
      <c r="AB10" s="87"/>
      <c r="AC10" s="87"/>
      <c r="AD10" s="87"/>
      <c r="AE10" s="87"/>
      <c r="AF10" s="87"/>
      <c r="AG10" s="87"/>
    </row>
    <row r="11" spans="1:33" x14ac:dyDescent="0.2">
      <c r="Y11" s="86" t="s">
        <v>449</v>
      </c>
      <c r="Z11" s="87"/>
      <c r="AA11" s="87"/>
      <c r="AB11" s="87"/>
      <c r="AC11" s="87"/>
      <c r="AD11" s="87"/>
      <c r="AE11" s="87"/>
      <c r="AF11" s="87"/>
      <c r="AG11" s="87"/>
    </row>
    <row r="12" spans="1:33" x14ac:dyDescent="0.2">
      <c r="Y12" s="87"/>
      <c r="Z12" s="87"/>
      <c r="AA12" s="87"/>
      <c r="AB12" s="87"/>
      <c r="AC12" s="87"/>
      <c r="AD12" s="87"/>
      <c r="AE12" s="87"/>
      <c r="AF12" s="87"/>
      <c r="AG12" s="87"/>
    </row>
    <row r="13" spans="1:33" x14ac:dyDescent="0.2">
      <c r="Y13" s="87"/>
      <c r="Z13" s="87"/>
      <c r="AA13" s="87"/>
      <c r="AB13" s="87"/>
      <c r="AC13" s="87"/>
      <c r="AD13" s="87"/>
      <c r="AE13" s="87"/>
      <c r="AF13" s="87"/>
      <c r="AG13" s="87"/>
    </row>
    <row r="14" spans="1:33" x14ac:dyDescent="0.2">
      <c r="Y14" s="87"/>
      <c r="Z14" s="87"/>
      <c r="AA14" s="87"/>
      <c r="AB14" s="87"/>
      <c r="AC14" s="87"/>
      <c r="AD14" s="87"/>
      <c r="AE14" s="87"/>
      <c r="AF14" s="87"/>
      <c r="AG14" s="87"/>
    </row>
    <row r="16" spans="1:33" x14ac:dyDescent="0.2">
      <c r="Y16" s="89" t="s">
        <v>450</v>
      </c>
      <c r="Z16" s="87"/>
      <c r="AA16" s="87"/>
      <c r="AB16" s="87"/>
      <c r="AC16" s="87"/>
      <c r="AD16" s="87"/>
      <c r="AE16" s="87"/>
      <c r="AF16" s="87"/>
      <c r="AG16" s="87"/>
    </row>
    <row r="17" spans="25:33" x14ac:dyDescent="0.2">
      <c r="Y17" s="86" t="s">
        <v>451</v>
      </c>
      <c r="Z17" s="87"/>
      <c r="AA17" s="87"/>
      <c r="AB17" s="87"/>
      <c r="AC17" s="87"/>
      <c r="AD17" s="87"/>
      <c r="AE17" s="87"/>
      <c r="AF17" s="87"/>
      <c r="AG17" s="87"/>
    </row>
    <row r="18" spans="25:33" x14ac:dyDescent="0.2">
      <c r="Y18" s="87"/>
      <c r="Z18" s="87"/>
      <c r="AA18" s="87"/>
      <c r="AB18" s="87"/>
      <c r="AC18" s="87"/>
      <c r="AD18" s="87"/>
      <c r="AE18" s="87"/>
      <c r="AF18" s="87"/>
      <c r="AG18" s="87"/>
    </row>
    <row r="19" spans="25:33" x14ac:dyDescent="0.2">
      <c r="Y19" s="87"/>
      <c r="Z19" s="87"/>
      <c r="AA19" s="87"/>
      <c r="AB19" s="87"/>
      <c r="AC19" s="87"/>
      <c r="AD19" s="87"/>
      <c r="AE19" s="87"/>
      <c r="AF19" s="87"/>
      <c r="AG19" s="87"/>
    </row>
    <row r="20" spans="25:33" x14ac:dyDescent="0.2">
      <c r="Y20" s="87"/>
      <c r="Z20" s="87"/>
      <c r="AA20" s="87"/>
      <c r="AB20" s="87"/>
      <c r="AC20" s="87"/>
      <c r="AD20" s="87"/>
      <c r="AE20" s="87"/>
      <c r="AF20" s="87"/>
      <c r="AG20" s="87"/>
    </row>
    <row r="22" spans="25:33" x14ac:dyDescent="0.2">
      <c r="Y22" s="89" t="s">
        <v>452</v>
      </c>
      <c r="Z22" s="87"/>
      <c r="AA22" s="87"/>
      <c r="AB22" s="87"/>
      <c r="AC22" s="87"/>
      <c r="AD22" s="87"/>
      <c r="AE22" s="87"/>
      <c r="AF22" s="87"/>
      <c r="AG22" s="87"/>
    </row>
    <row r="23" spans="25:33" x14ac:dyDescent="0.2">
      <c r="Y23" s="86" t="s">
        <v>453</v>
      </c>
      <c r="Z23" s="87"/>
      <c r="AA23" s="87"/>
      <c r="AB23" s="87"/>
      <c r="AC23" s="87"/>
      <c r="AD23" s="87"/>
      <c r="AE23" s="87"/>
      <c r="AF23" s="87"/>
      <c r="AG23" s="87"/>
    </row>
    <row r="24" spans="25:33" x14ac:dyDescent="0.2">
      <c r="Y24" s="87"/>
      <c r="Z24" s="87"/>
      <c r="AA24" s="87"/>
      <c r="AB24" s="87"/>
      <c r="AC24" s="87"/>
      <c r="AD24" s="87"/>
      <c r="AE24" s="87"/>
      <c r="AF24" s="87"/>
      <c r="AG24" s="87"/>
    </row>
    <row r="25" spans="25:33" x14ac:dyDescent="0.2">
      <c r="Y25" s="87"/>
      <c r="Z25" s="87"/>
      <c r="AA25" s="87"/>
      <c r="AB25" s="87"/>
      <c r="AC25" s="87"/>
      <c r="AD25" s="87"/>
      <c r="AE25" s="87"/>
      <c r="AF25" s="87"/>
      <c r="AG25" s="87"/>
    </row>
    <row r="26" spans="25:33" x14ac:dyDescent="0.2">
      <c r="Y26" s="87"/>
      <c r="Z26" s="87"/>
      <c r="AA26" s="87"/>
      <c r="AB26" s="87"/>
      <c r="AC26" s="87"/>
      <c r="AD26" s="87"/>
      <c r="AE26" s="87"/>
      <c r="AF26" s="87"/>
      <c r="AG26" s="87"/>
    </row>
    <row r="28" spans="25:33" x14ac:dyDescent="0.2">
      <c r="Y28" s="89" t="s">
        <v>454</v>
      </c>
      <c r="Z28" s="87"/>
      <c r="AA28" s="87"/>
      <c r="AB28" s="87"/>
      <c r="AC28" s="87"/>
      <c r="AD28" s="87"/>
      <c r="AE28" s="87"/>
      <c r="AF28" s="87"/>
      <c r="AG28" s="87"/>
    </row>
    <row r="29" spans="25:33" x14ac:dyDescent="0.2">
      <c r="Y29" s="86" t="s">
        <v>455</v>
      </c>
      <c r="Z29" s="87"/>
      <c r="AA29" s="87"/>
      <c r="AB29" s="87"/>
      <c r="AC29" s="87"/>
      <c r="AD29" s="87"/>
      <c r="AE29" s="87"/>
      <c r="AF29" s="87"/>
      <c r="AG29" s="87"/>
    </row>
    <row r="30" spans="25:33" x14ac:dyDescent="0.2">
      <c r="Y30" s="87"/>
      <c r="Z30" s="87"/>
      <c r="AA30" s="87"/>
      <c r="AB30" s="87"/>
      <c r="AC30" s="87"/>
      <c r="AD30" s="87"/>
      <c r="AE30" s="87"/>
      <c r="AF30" s="87"/>
      <c r="AG30" s="87"/>
    </row>
    <row r="31" spans="25:33" x14ac:dyDescent="0.2">
      <c r="Y31" s="87"/>
      <c r="Z31" s="87"/>
      <c r="AA31" s="87"/>
      <c r="AB31" s="87"/>
      <c r="AC31" s="87"/>
      <c r="AD31" s="87"/>
      <c r="AE31" s="87"/>
      <c r="AF31" s="87"/>
      <c r="AG31" s="87"/>
    </row>
    <row r="32" spans="25:33" x14ac:dyDescent="0.2">
      <c r="Y32" s="87"/>
      <c r="Z32" s="87"/>
      <c r="AA32" s="87"/>
      <c r="AB32" s="87"/>
      <c r="AC32" s="87"/>
      <c r="AD32" s="87"/>
      <c r="AE32" s="87"/>
      <c r="AF32" s="87"/>
      <c r="AG32" s="87"/>
    </row>
    <row r="44" spans="17:33" ht="16" customHeight="1" x14ac:dyDescent="0.2">
      <c r="Q44" s="88" t="s">
        <v>456</v>
      </c>
      <c r="R44" s="87"/>
      <c r="S44" s="87"/>
      <c r="T44" s="87"/>
      <c r="U44" s="87"/>
      <c r="V44" s="87"/>
      <c r="W44" s="87"/>
      <c r="Y44" s="88" t="s">
        <v>442</v>
      </c>
      <c r="Z44" s="87"/>
      <c r="AA44" s="87"/>
      <c r="AB44" s="87"/>
      <c r="AC44" s="87"/>
      <c r="AD44" s="87"/>
      <c r="AE44" s="87"/>
      <c r="AF44" s="87"/>
      <c r="AG44" s="87"/>
    </row>
    <row r="45" spans="17:33" x14ac:dyDescent="0.2">
      <c r="Q45" s="30"/>
      <c r="R45" s="30" t="s">
        <v>443</v>
      </c>
      <c r="S45" s="30" t="s">
        <v>444</v>
      </c>
      <c r="W45" s="30" t="s">
        <v>445</v>
      </c>
    </row>
    <row r="46" spans="17:33" ht="22" customHeight="1" x14ac:dyDescent="0.2">
      <c r="Q46" s="31"/>
      <c r="R46" s="32">
        <v>1</v>
      </c>
      <c r="S46" s="86" t="s">
        <v>251</v>
      </c>
      <c r="T46" s="87"/>
      <c r="U46" s="87"/>
      <c r="V46" s="87"/>
      <c r="W46" s="6" t="s">
        <v>457</v>
      </c>
      <c r="Y46" s="89" t="s">
        <v>448</v>
      </c>
      <c r="Z46" s="87"/>
      <c r="AA46" s="87"/>
      <c r="AB46" s="87"/>
      <c r="AC46" s="87"/>
      <c r="AD46" s="87"/>
      <c r="AE46" s="87"/>
      <c r="AF46" s="87"/>
      <c r="AG46" s="87"/>
    </row>
    <row r="47" spans="17:33" ht="22" customHeight="1" x14ac:dyDescent="0.2">
      <c r="Q47" s="33"/>
      <c r="R47" s="32">
        <v>2</v>
      </c>
      <c r="S47" s="86" t="s">
        <v>245</v>
      </c>
      <c r="T47" s="87"/>
      <c r="U47" s="87"/>
      <c r="V47" s="87"/>
      <c r="W47" s="6" t="s">
        <v>458</v>
      </c>
      <c r="Y47" s="86" t="s">
        <v>459</v>
      </c>
      <c r="Z47" s="87"/>
      <c r="AA47" s="87"/>
      <c r="AB47" s="87"/>
      <c r="AC47" s="87"/>
      <c r="AD47" s="87"/>
      <c r="AE47" s="87"/>
      <c r="AF47" s="87"/>
      <c r="AG47" s="87"/>
    </row>
    <row r="48" spans="17:33" ht="22" customHeight="1" x14ac:dyDescent="0.2">
      <c r="Q48" s="34"/>
      <c r="R48" s="32">
        <v>3</v>
      </c>
      <c r="S48" s="86" t="s">
        <v>25</v>
      </c>
      <c r="T48" s="87"/>
      <c r="U48" s="87"/>
      <c r="V48" s="87"/>
      <c r="W48" s="6" t="s">
        <v>460</v>
      </c>
      <c r="Y48" s="87"/>
      <c r="Z48" s="87"/>
      <c r="AA48" s="87"/>
      <c r="AB48" s="87"/>
      <c r="AC48" s="87"/>
      <c r="AD48" s="87"/>
      <c r="AE48" s="87"/>
      <c r="AF48" s="87"/>
      <c r="AG48" s="87"/>
    </row>
    <row r="49" spans="17:33" ht="22" customHeight="1" x14ac:dyDescent="0.2">
      <c r="Q49" s="35"/>
      <c r="R49" s="32">
        <v>4</v>
      </c>
      <c r="S49" s="86" t="s">
        <v>8</v>
      </c>
      <c r="T49" s="87"/>
      <c r="U49" s="87"/>
      <c r="V49" s="87"/>
      <c r="W49" s="6" t="s">
        <v>461</v>
      </c>
      <c r="Y49" s="87"/>
      <c r="Z49" s="87"/>
      <c r="AA49" s="87"/>
      <c r="AB49" s="87"/>
      <c r="AC49" s="87"/>
      <c r="AD49" s="87"/>
      <c r="AE49" s="87"/>
      <c r="AF49" s="87"/>
      <c r="AG49" s="87"/>
    </row>
    <row r="50" spans="17:33" ht="22" customHeight="1" x14ac:dyDescent="0.2">
      <c r="Q50" s="36"/>
      <c r="R50" s="32">
        <v>5</v>
      </c>
      <c r="S50" s="86" t="s">
        <v>262</v>
      </c>
      <c r="T50" s="87"/>
      <c r="U50" s="87"/>
      <c r="V50" s="87"/>
      <c r="W50" s="6" t="s">
        <v>462</v>
      </c>
      <c r="Y50" s="87"/>
      <c r="Z50" s="87"/>
      <c r="AA50" s="87"/>
      <c r="AB50" s="87"/>
      <c r="AC50" s="87"/>
      <c r="AD50" s="87"/>
      <c r="AE50" s="87"/>
      <c r="AF50" s="87"/>
      <c r="AG50" s="87"/>
    </row>
    <row r="51" spans="17:33" ht="22" customHeight="1" x14ac:dyDescent="0.2">
      <c r="Q51" s="37"/>
      <c r="R51" s="32">
        <v>6</v>
      </c>
      <c r="S51" s="86" t="s">
        <v>116</v>
      </c>
      <c r="T51" s="87"/>
      <c r="U51" s="87"/>
      <c r="V51" s="87"/>
      <c r="W51" s="6" t="s">
        <v>463</v>
      </c>
    </row>
    <row r="52" spans="17:33" ht="22" customHeight="1" x14ac:dyDescent="0.2">
      <c r="Q52" s="38"/>
      <c r="R52" s="32">
        <v>7</v>
      </c>
      <c r="S52" s="86" t="s">
        <v>62</v>
      </c>
      <c r="T52" s="87"/>
      <c r="U52" s="87"/>
      <c r="V52" s="87"/>
      <c r="W52" s="6" t="s">
        <v>464</v>
      </c>
      <c r="Y52" s="89" t="s">
        <v>450</v>
      </c>
      <c r="Z52" s="87"/>
      <c r="AA52" s="87"/>
      <c r="AB52" s="87"/>
      <c r="AC52" s="87"/>
      <c r="AD52" s="87"/>
      <c r="AE52" s="87"/>
      <c r="AF52" s="87"/>
      <c r="AG52" s="87"/>
    </row>
    <row r="53" spans="17:33" ht="22" customHeight="1" x14ac:dyDescent="0.2">
      <c r="Q53" s="39"/>
      <c r="R53" s="32">
        <v>8</v>
      </c>
      <c r="S53" s="86" t="s">
        <v>241</v>
      </c>
      <c r="T53" s="87"/>
      <c r="U53" s="87"/>
      <c r="V53" s="87"/>
      <c r="W53" s="6" t="s">
        <v>465</v>
      </c>
      <c r="Y53" s="86" t="s">
        <v>466</v>
      </c>
      <c r="Z53" s="87"/>
      <c r="AA53" s="87"/>
      <c r="AB53" s="87"/>
      <c r="AC53" s="87"/>
      <c r="AD53" s="87"/>
      <c r="AE53" s="87"/>
      <c r="AF53" s="87"/>
      <c r="AG53" s="87"/>
    </row>
    <row r="54" spans="17:33" ht="22" customHeight="1" x14ac:dyDescent="0.2">
      <c r="Q54" s="40"/>
      <c r="R54" s="32">
        <v>9</v>
      </c>
      <c r="S54" s="86" t="s">
        <v>344</v>
      </c>
      <c r="T54" s="87"/>
      <c r="U54" s="87"/>
      <c r="V54" s="87"/>
      <c r="W54" s="6" t="s">
        <v>467</v>
      </c>
      <c r="Y54" s="87"/>
      <c r="Z54" s="87"/>
      <c r="AA54" s="87"/>
      <c r="AB54" s="87"/>
      <c r="AC54" s="87"/>
      <c r="AD54" s="87"/>
      <c r="AE54" s="87"/>
      <c r="AF54" s="87"/>
      <c r="AG54" s="87"/>
    </row>
    <row r="55" spans="17:33" ht="22" customHeight="1" x14ac:dyDescent="0.2">
      <c r="Q55" s="41"/>
      <c r="R55" s="32">
        <v>10</v>
      </c>
      <c r="S55" s="86" t="s">
        <v>129</v>
      </c>
      <c r="T55" s="87"/>
      <c r="U55" s="87"/>
      <c r="V55" s="87"/>
      <c r="W55" s="6" t="s">
        <v>468</v>
      </c>
      <c r="Y55" s="87"/>
      <c r="Z55" s="87"/>
      <c r="AA55" s="87"/>
      <c r="AB55" s="87"/>
      <c r="AC55" s="87"/>
      <c r="AD55" s="87"/>
      <c r="AE55" s="87"/>
      <c r="AF55" s="87"/>
      <c r="AG55" s="87"/>
    </row>
    <row r="56" spans="17:33" ht="22" customHeight="1" x14ac:dyDescent="0.2">
      <c r="Q56" s="42"/>
      <c r="R56" s="32">
        <v>11</v>
      </c>
      <c r="S56" s="86" t="s">
        <v>281</v>
      </c>
      <c r="T56" s="87"/>
      <c r="U56" s="87"/>
      <c r="V56" s="87"/>
      <c r="W56" s="6" t="s">
        <v>469</v>
      </c>
      <c r="Y56" s="87"/>
      <c r="Z56" s="87"/>
      <c r="AA56" s="87"/>
      <c r="AB56" s="87"/>
      <c r="AC56" s="87"/>
      <c r="AD56" s="87"/>
      <c r="AE56" s="87"/>
      <c r="AF56" s="87"/>
      <c r="AG56" s="87"/>
    </row>
    <row r="57" spans="17:33" ht="22" customHeight="1" x14ac:dyDescent="0.2">
      <c r="Q57" s="43"/>
      <c r="R57" s="32">
        <v>12</v>
      </c>
      <c r="S57" s="86" t="s">
        <v>377</v>
      </c>
      <c r="T57" s="87"/>
      <c r="U57" s="87"/>
      <c r="V57" s="87"/>
      <c r="W57" s="6" t="s">
        <v>470</v>
      </c>
    </row>
    <row r="58" spans="17:33" ht="22" customHeight="1" x14ac:dyDescent="0.2">
      <c r="Q58" s="31"/>
      <c r="R58" s="32">
        <v>13</v>
      </c>
      <c r="S58" s="86" t="s">
        <v>259</v>
      </c>
      <c r="T58" s="87"/>
      <c r="U58" s="87"/>
      <c r="V58" s="87"/>
      <c r="W58" s="6" t="s">
        <v>471</v>
      </c>
      <c r="Y58" s="89" t="s">
        <v>452</v>
      </c>
      <c r="Z58" s="87"/>
      <c r="AA58" s="87"/>
      <c r="AB58" s="87"/>
      <c r="AC58" s="87"/>
      <c r="AD58" s="87"/>
      <c r="AE58" s="87"/>
      <c r="AF58" s="87"/>
      <c r="AG58" s="87"/>
    </row>
    <row r="59" spans="17:33" ht="22" customHeight="1" x14ac:dyDescent="0.2">
      <c r="Q59" s="33"/>
      <c r="R59" s="32">
        <v>14</v>
      </c>
      <c r="S59" s="86" t="s">
        <v>265</v>
      </c>
      <c r="T59" s="87"/>
      <c r="U59" s="87"/>
      <c r="V59" s="87"/>
      <c r="W59" s="6" t="s">
        <v>472</v>
      </c>
      <c r="Y59" s="86" t="s">
        <v>473</v>
      </c>
      <c r="Z59" s="87"/>
      <c r="AA59" s="87"/>
      <c r="AB59" s="87"/>
      <c r="AC59" s="87"/>
      <c r="AD59" s="87"/>
      <c r="AE59" s="87"/>
      <c r="AF59" s="87"/>
      <c r="AG59" s="87"/>
    </row>
    <row r="60" spans="17:33" ht="22" customHeight="1" x14ac:dyDescent="0.2">
      <c r="Q60" s="34"/>
      <c r="R60" s="32">
        <v>15</v>
      </c>
      <c r="S60" s="86" t="s">
        <v>70</v>
      </c>
      <c r="T60" s="87"/>
      <c r="U60" s="87"/>
      <c r="V60" s="87"/>
      <c r="W60" s="6" t="s">
        <v>474</v>
      </c>
      <c r="Y60" s="87"/>
      <c r="Z60" s="87"/>
      <c r="AA60" s="87"/>
      <c r="AB60" s="87"/>
      <c r="AC60" s="87"/>
      <c r="AD60" s="87"/>
      <c r="AE60" s="87"/>
      <c r="AF60" s="87"/>
      <c r="AG60" s="87"/>
    </row>
    <row r="61" spans="17:33" ht="22" customHeight="1" x14ac:dyDescent="0.2">
      <c r="Q61" s="35"/>
      <c r="R61" s="32">
        <v>16</v>
      </c>
      <c r="S61" s="86" t="s">
        <v>137</v>
      </c>
      <c r="T61" s="87"/>
      <c r="U61" s="87"/>
      <c r="V61" s="87"/>
      <c r="W61" s="6" t="s">
        <v>475</v>
      </c>
      <c r="Y61" s="87"/>
      <c r="Z61" s="87"/>
      <c r="AA61" s="87"/>
      <c r="AB61" s="87"/>
      <c r="AC61" s="87"/>
      <c r="AD61" s="87"/>
      <c r="AE61" s="87"/>
      <c r="AF61" s="87"/>
      <c r="AG61" s="87"/>
    </row>
    <row r="62" spans="17:33" ht="22" customHeight="1" x14ac:dyDescent="0.2">
      <c r="Q62" s="36"/>
      <c r="R62" s="32">
        <v>17</v>
      </c>
      <c r="S62" s="86" t="s">
        <v>328</v>
      </c>
      <c r="T62" s="87"/>
      <c r="U62" s="87"/>
      <c r="V62" s="87"/>
      <c r="W62" s="6" t="s">
        <v>476</v>
      </c>
      <c r="Y62" s="87"/>
      <c r="Z62" s="87"/>
      <c r="AA62" s="87"/>
      <c r="AB62" s="87"/>
      <c r="AC62" s="87"/>
      <c r="AD62" s="87"/>
      <c r="AE62" s="87"/>
      <c r="AF62" s="87"/>
      <c r="AG62" s="87"/>
    </row>
    <row r="63" spans="17:33" ht="22" customHeight="1" x14ac:dyDescent="0.2">
      <c r="Q63" s="37"/>
      <c r="R63" s="32">
        <v>18</v>
      </c>
      <c r="S63" s="86" t="s">
        <v>384</v>
      </c>
      <c r="T63" s="87"/>
      <c r="U63" s="87"/>
      <c r="V63" s="87"/>
      <c r="W63" s="6" t="s">
        <v>477</v>
      </c>
    </row>
    <row r="64" spans="17:33" ht="22" customHeight="1" x14ac:dyDescent="0.2">
      <c r="Q64" s="38"/>
      <c r="R64" s="32">
        <v>19</v>
      </c>
      <c r="S64" s="86" t="s">
        <v>223</v>
      </c>
      <c r="T64" s="87"/>
      <c r="U64" s="87"/>
      <c r="V64" s="87"/>
      <c r="W64" s="6" t="s">
        <v>478</v>
      </c>
    </row>
    <row r="65" spans="17:23" ht="22" customHeight="1" x14ac:dyDescent="0.2">
      <c r="Q65" s="39"/>
      <c r="R65" s="32">
        <v>20</v>
      </c>
      <c r="S65" s="86" t="s">
        <v>254</v>
      </c>
      <c r="T65" s="87"/>
      <c r="U65" s="87"/>
      <c r="V65" s="87"/>
      <c r="W65" s="6" t="s">
        <v>479</v>
      </c>
    </row>
    <row r="66" spans="17:23" ht="22" customHeight="1" x14ac:dyDescent="0.2">
      <c r="Q66" s="40"/>
      <c r="R66" s="32">
        <v>21</v>
      </c>
      <c r="S66" s="86" t="s">
        <v>48</v>
      </c>
      <c r="T66" s="87"/>
      <c r="U66" s="87"/>
      <c r="V66" s="87"/>
      <c r="W66" s="6" t="s">
        <v>480</v>
      </c>
    </row>
    <row r="67" spans="17:23" ht="22" customHeight="1" x14ac:dyDescent="0.2">
      <c r="Q67" s="41"/>
      <c r="R67" s="32">
        <v>22</v>
      </c>
      <c r="S67" s="86" t="s">
        <v>89</v>
      </c>
      <c r="T67" s="87"/>
      <c r="U67" s="87"/>
      <c r="V67" s="87"/>
      <c r="W67" s="6" t="s">
        <v>481</v>
      </c>
    </row>
    <row r="68" spans="17:23" ht="22" customHeight="1" x14ac:dyDescent="0.2">
      <c r="Q68" s="42"/>
      <c r="R68" s="32">
        <v>23</v>
      </c>
      <c r="S68" s="86" t="s">
        <v>306</v>
      </c>
      <c r="T68" s="87"/>
      <c r="U68" s="87"/>
      <c r="V68" s="87"/>
      <c r="W68" s="6" t="s">
        <v>482</v>
      </c>
    </row>
    <row r="69" spans="17:23" ht="22" customHeight="1" x14ac:dyDescent="0.2">
      <c r="Q69" s="43"/>
      <c r="R69" s="32">
        <v>24</v>
      </c>
      <c r="S69" s="86" t="s">
        <v>237</v>
      </c>
      <c r="T69" s="87"/>
      <c r="U69" s="87"/>
      <c r="V69" s="87"/>
      <c r="W69" s="6" t="s">
        <v>483</v>
      </c>
    </row>
    <row r="70" spans="17:23" ht="22" customHeight="1" x14ac:dyDescent="0.2">
      <c r="Q70" s="31"/>
      <c r="R70" s="32">
        <v>25</v>
      </c>
      <c r="S70" s="86" t="s">
        <v>276</v>
      </c>
      <c r="T70" s="87"/>
      <c r="U70" s="87"/>
      <c r="V70" s="87"/>
      <c r="W70" s="6" t="s">
        <v>484</v>
      </c>
    </row>
    <row r="71" spans="17:23" ht="22" customHeight="1" x14ac:dyDescent="0.2">
      <c r="Q71" s="33"/>
      <c r="R71" s="32">
        <v>26</v>
      </c>
      <c r="S71" s="86" t="s">
        <v>390</v>
      </c>
      <c r="T71" s="87"/>
      <c r="U71" s="87"/>
      <c r="V71" s="87"/>
      <c r="W71" s="6" t="s">
        <v>485</v>
      </c>
    </row>
    <row r="72" spans="17:23" ht="22" customHeight="1" x14ac:dyDescent="0.2">
      <c r="Q72" s="34"/>
      <c r="R72" s="32">
        <v>27</v>
      </c>
      <c r="S72" s="86" t="s">
        <v>353</v>
      </c>
      <c r="T72" s="87"/>
      <c r="U72" s="87"/>
      <c r="V72" s="87"/>
      <c r="W72" s="6" t="s">
        <v>486</v>
      </c>
    </row>
    <row r="73" spans="17:23" ht="22" customHeight="1" x14ac:dyDescent="0.2">
      <c r="Q73" s="35"/>
      <c r="R73" s="32">
        <v>28</v>
      </c>
      <c r="S73" s="86" t="s">
        <v>178</v>
      </c>
      <c r="T73" s="87"/>
      <c r="U73" s="87"/>
      <c r="V73" s="87"/>
      <c r="W73" s="6" t="s">
        <v>487</v>
      </c>
    </row>
    <row r="74" spans="17:23" ht="22" customHeight="1" x14ac:dyDescent="0.2">
      <c r="Q74" s="36"/>
      <c r="R74" s="32">
        <v>29</v>
      </c>
      <c r="S74" s="86" t="s">
        <v>29</v>
      </c>
      <c r="T74" s="87"/>
      <c r="U74" s="87"/>
      <c r="V74" s="87"/>
      <c r="W74" s="6" t="s">
        <v>488</v>
      </c>
    </row>
    <row r="75" spans="17:23" ht="22" customHeight="1" x14ac:dyDescent="0.2">
      <c r="Q75" s="37"/>
      <c r="R75" s="32">
        <v>30</v>
      </c>
      <c r="S75" s="86" t="s">
        <v>124</v>
      </c>
      <c r="T75" s="87"/>
      <c r="U75" s="87"/>
      <c r="V75" s="87"/>
      <c r="W75" s="6" t="s">
        <v>489</v>
      </c>
    </row>
    <row r="76" spans="17:23" ht="22" customHeight="1" x14ac:dyDescent="0.2">
      <c r="Q76" s="38"/>
      <c r="R76" s="32">
        <v>31</v>
      </c>
      <c r="S76" s="86" t="s">
        <v>396</v>
      </c>
      <c r="T76" s="87"/>
      <c r="U76" s="87"/>
      <c r="V76" s="87"/>
      <c r="W76" s="6" t="s">
        <v>490</v>
      </c>
    </row>
    <row r="77" spans="17:23" ht="22" customHeight="1" x14ac:dyDescent="0.2">
      <c r="Q77" s="39"/>
      <c r="R77" s="32">
        <v>32</v>
      </c>
      <c r="S77" s="86" t="s">
        <v>52</v>
      </c>
      <c r="T77" s="87"/>
      <c r="U77" s="87"/>
      <c r="V77" s="87"/>
      <c r="W77" s="6" t="s">
        <v>491</v>
      </c>
    </row>
    <row r="78" spans="17:23" ht="22" customHeight="1" x14ac:dyDescent="0.2">
      <c r="Q78" s="40"/>
      <c r="R78" s="32">
        <v>33</v>
      </c>
      <c r="S78" s="86" t="s">
        <v>121</v>
      </c>
      <c r="T78" s="87"/>
      <c r="U78" s="87"/>
      <c r="V78" s="87"/>
      <c r="W78" s="6" t="s">
        <v>492</v>
      </c>
    </row>
    <row r="79" spans="17:23" ht="22" customHeight="1" x14ac:dyDescent="0.2">
      <c r="Q79" s="41"/>
      <c r="R79" s="32">
        <v>34</v>
      </c>
      <c r="S79" s="86" t="s">
        <v>313</v>
      </c>
      <c r="T79" s="87"/>
      <c r="U79" s="87"/>
      <c r="V79" s="87"/>
      <c r="W79" s="6" t="s">
        <v>493</v>
      </c>
    </row>
    <row r="80" spans="17:23" ht="22" customHeight="1" x14ac:dyDescent="0.2">
      <c r="Q80" s="42"/>
      <c r="R80" s="32">
        <v>35</v>
      </c>
      <c r="S80" s="86" t="s">
        <v>316</v>
      </c>
      <c r="T80" s="87"/>
      <c r="U80" s="87"/>
      <c r="V80" s="87"/>
      <c r="W80" s="6" t="s">
        <v>494</v>
      </c>
    </row>
    <row r="81" spans="17:23" ht="22" customHeight="1" x14ac:dyDescent="0.2">
      <c r="Q81" s="43"/>
      <c r="R81" s="32">
        <v>36</v>
      </c>
      <c r="S81" s="86" t="s">
        <v>35</v>
      </c>
      <c r="T81" s="87"/>
      <c r="U81" s="87"/>
      <c r="V81" s="87"/>
      <c r="W81" s="6" t="s">
        <v>495</v>
      </c>
    </row>
    <row r="82" spans="17:23" ht="22" customHeight="1" x14ac:dyDescent="0.2">
      <c r="Q82" s="31"/>
      <c r="R82" s="32">
        <v>37</v>
      </c>
      <c r="S82" s="86" t="s">
        <v>356</v>
      </c>
      <c r="T82" s="87"/>
      <c r="U82" s="87"/>
      <c r="V82" s="87"/>
      <c r="W82" s="6" t="s">
        <v>496</v>
      </c>
    </row>
    <row r="83" spans="17:23" ht="22" customHeight="1" x14ac:dyDescent="0.2">
      <c r="Q83" s="33"/>
      <c r="R83" s="32">
        <v>38</v>
      </c>
      <c r="S83" s="86" t="s">
        <v>234</v>
      </c>
      <c r="T83" s="87"/>
      <c r="U83" s="87"/>
      <c r="V83" s="87"/>
      <c r="W83" s="6" t="s">
        <v>497</v>
      </c>
    </row>
    <row r="84" spans="17:23" ht="22" customHeight="1" x14ac:dyDescent="0.2">
      <c r="Q84" s="34"/>
      <c r="R84" s="32">
        <v>39</v>
      </c>
      <c r="S84" s="86" t="s">
        <v>218</v>
      </c>
      <c r="T84" s="87"/>
      <c r="U84" s="87"/>
      <c r="V84" s="87"/>
      <c r="W84" s="6" t="s">
        <v>497</v>
      </c>
    </row>
    <row r="85" spans="17:23" ht="22" customHeight="1" x14ac:dyDescent="0.2">
      <c r="Q85" s="35"/>
      <c r="R85" s="32">
        <v>40</v>
      </c>
      <c r="S85" s="86" t="s">
        <v>205</v>
      </c>
      <c r="T85" s="87"/>
      <c r="U85" s="87"/>
      <c r="V85" s="87"/>
      <c r="W85" s="6" t="s">
        <v>497</v>
      </c>
    </row>
    <row r="86" spans="17:23" ht="22" customHeight="1" x14ac:dyDescent="0.2">
      <c r="Q86" s="36"/>
      <c r="R86" s="32">
        <v>41</v>
      </c>
      <c r="S86" s="86" t="s">
        <v>132</v>
      </c>
      <c r="T86" s="87"/>
      <c r="U86" s="87"/>
      <c r="V86" s="87"/>
      <c r="W86" s="6" t="s">
        <v>498</v>
      </c>
    </row>
    <row r="87" spans="17:23" ht="22" customHeight="1" x14ac:dyDescent="0.2">
      <c r="Q87" s="37"/>
      <c r="R87" s="32">
        <v>42</v>
      </c>
      <c r="S87" s="86" t="s">
        <v>319</v>
      </c>
      <c r="T87" s="87"/>
      <c r="U87" s="87"/>
      <c r="V87" s="87"/>
      <c r="W87" s="6" t="s">
        <v>499</v>
      </c>
    </row>
    <row r="88" spans="17:23" ht="22" customHeight="1" x14ac:dyDescent="0.2">
      <c r="Q88" s="38"/>
      <c r="R88" s="32">
        <v>43</v>
      </c>
      <c r="S88" s="86" t="s">
        <v>387</v>
      </c>
      <c r="T88" s="87"/>
      <c r="U88" s="87"/>
      <c r="V88" s="87"/>
      <c r="W88" s="6" t="s">
        <v>500</v>
      </c>
    </row>
    <row r="89" spans="17:23" ht="22" customHeight="1" x14ac:dyDescent="0.2">
      <c r="Q89" s="39"/>
      <c r="R89" s="32">
        <v>44</v>
      </c>
      <c r="S89" s="86" t="s">
        <v>14</v>
      </c>
      <c r="T89" s="87"/>
      <c r="U89" s="87"/>
      <c r="V89" s="87"/>
      <c r="W89" s="6" t="s">
        <v>501</v>
      </c>
    </row>
    <row r="90" spans="17:23" ht="22" customHeight="1" x14ac:dyDescent="0.2">
      <c r="Q90" s="40"/>
      <c r="R90" s="32">
        <v>45</v>
      </c>
      <c r="S90" s="86" t="s">
        <v>198</v>
      </c>
      <c r="T90" s="87"/>
      <c r="U90" s="87"/>
      <c r="V90" s="87"/>
      <c r="W90" s="6" t="s">
        <v>502</v>
      </c>
    </row>
    <row r="91" spans="17:23" ht="22" customHeight="1" x14ac:dyDescent="0.2">
      <c r="Q91" s="41"/>
      <c r="R91" s="32">
        <v>46</v>
      </c>
      <c r="S91" s="86" t="s">
        <v>212</v>
      </c>
      <c r="T91" s="87"/>
      <c r="U91" s="87"/>
      <c r="V91" s="87"/>
      <c r="W91" s="6" t="s">
        <v>503</v>
      </c>
    </row>
    <row r="92" spans="17:23" ht="22" customHeight="1" x14ac:dyDescent="0.2">
      <c r="Q92" s="42"/>
      <c r="R92" s="32">
        <v>47</v>
      </c>
      <c r="S92" s="86" t="s">
        <v>350</v>
      </c>
      <c r="T92" s="87"/>
      <c r="U92" s="87"/>
      <c r="V92" s="87"/>
      <c r="W92" s="6" t="s">
        <v>504</v>
      </c>
    </row>
    <row r="93" spans="17:23" ht="22" customHeight="1" x14ac:dyDescent="0.2">
      <c r="Q93" s="43"/>
      <c r="R93" s="32">
        <v>48</v>
      </c>
      <c r="S93" s="86" t="s">
        <v>163</v>
      </c>
      <c r="T93" s="87"/>
      <c r="U93" s="87"/>
      <c r="V93" s="87"/>
      <c r="W93" s="6" t="s">
        <v>505</v>
      </c>
    </row>
    <row r="94" spans="17:23" ht="22" customHeight="1" x14ac:dyDescent="0.2">
      <c r="Q94" s="31"/>
      <c r="R94" s="32">
        <v>49</v>
      </c>
      <c r="S94" s="86" t="s">
        <v>363</v>
      </c>
      <c r="T94" s="87"/>
      <c r="U94" s="87"/>
      <c r="V94" s="87"/>
      <c r="W94" s="6" t="s">
        <v>506</v>
      </c>
    </row>
    <row r="95" spans="17:23" ht="22" customHeight="1" x14ac:dyDescent="0.2">
      <c r="Q95" s="33"/>
      <c r="R95" s="32">
        <v>50</v>
      </c>
      <c r="S95" s="86" t="s">
        <v>170</v>
      </c>
      <c r="T95" s="87"/>
      <c r="U95" s="87"/>
      <c r="V95" s="87"/>
      <c r="W95" s="6" t="s">
        <v>507</v>
      </c>
    </row>
    <row r="96" spans="17:23" ht="22" customHeight="1" x14ac:dyDescent="0.2">
      <c r="Q96" s="34"/>
      <c r="R96" s="32">
        <v>51</v>
      </c>
      <c r="S96" s="86" t="s">
        <v>228</v>
      </c>
      <c r="T96" s="87"/>
      <c r="U96" s="87"/>
      <c r="V96" s="87"/>
      <c r="W96" s="6" t="s">
        <v>508</v>
      </c>
    </row>
    <row r="97" spans="17:23" ht="22" customHeight="1" x14ac:dyDescent="0.2">
      <c r="Q97" s="35"/>
      <c r="R97" s="32">
        <v>52</v>
      </c>
      <c r="S97" s="86" t="s">
        <v>372</v>
      </c>
      <c r="T97" s="87"/>
      <c r="U97" s="87"/>
      <c r="V97" s="87"/>
      <c r="W97" s="6" t="s">
        <v>509</v>
      </c>
    </row>
    <row r="98" spans="17:23" ht="22" customHeight="1" x14ac:dyDescent="0.2">
      <c r="Q98" s="36"/>
      <c r="R98" s="32">
        <v>53</v>
      </c>
      <c r="S98" s="86" t="s">
        <v>334</v>
      </c>
      <c r="T98" s="87"/>
      <c r="U98" s="87"/>
      <c r="V98" s="87"/>
      <c r="W98" s="6" t="s">
        <v>510</v>
      </c>
    </row>
    <row r="99" spans="17:23" ht="22" customHeight="1" x14ac:dyDescent="0.2">
      <c r="Q99" s="37"/>
      <c r="R99" s="32">
        <v>54</v>
      </c>
      <c r="S99" s="86" t="s">
        <v>86</v>
      </c>
      <c r="T99" s="87"/>
      <c r="U99" s="87"/>
      <c r="V99" s="87"/>
      <c r="W99" s="6" t="s">
        <v>511</v>
      </c>
    </row>
    <row r="100" spans="17:23" ht="22" customHeight="1" x14ac:dyDescent="0.2">
      <c r="Q100" s="38"/>
      <c r="R100" s="32">
        <v>55</v>
      </c>
      <c r="S100" s="86" t="s">
        <v>66</v>
      </c>
      <c r="T100" s="87"/>
      <c r="U100" s="87"/>
      <c r="V100" s="87"/>
      <c r="W100" s="6" t="s">
        <v>512</v>
      </c>
    </row>
    <row r="101" spans="17:23" ht="22" customHeight="1" x14ac:dyDescent="0.2">
      <c r="Q101" s="39"/>
      <c r="R101" s="32">
        <v>56</v>
      </c>
      <c r="S101" s="86" t="s">
        <v>231</v>
      </c>
      <c r="T101" s="87"/>
      <c r="U101" s="87"/>
      <c r="V101" s="87"/>
      <c r="W101" s="6" t="s">
        <v>512</v>
      </c>
    </row>
    <row r="102" spans="17:23" ht="22" customHeight="1" x14ac:dyDescent="0.2">
      <c r="Q102" s="40"/>
      <c r="R102" s="32">
        <v>57</v>
      </c>
      <c r="S102" s="86" t="s">
        <v>187</v>
      </c>
      <c r="T102" s="87"/>
      <c r="U102" s="87"/>
      <c r="V102" s="87"/>
      <c r="W102" s="6" t="s">
        <v>512</v>
      </c>
    </row>
    <row r="103" spans="17:23" ht="22" customHeight="1" x14ac:dyDescent="0.2">
      <c r="Q103" s="41"/>
      <c r="R103" s="32">
        <v>58</v>
      </c>
      <c r="S103" s="86" t="s">
        <v>39</v>
      </c>
      <c r="T103" s="87"/>
      <c r="U103" s="87"/>
      <c r="V103" s="87"/>
      <c r="W103" s="6" t="s">
        <v>513</v>
      </c>
    </row>
    <row r="104" spans="17:23" ht="22" customHeight="1" x14ac:dyDescent="0.2">
      <c r="Q104" s="42"/>
      <c r="R104" s="32">
        <v>59</v>
      </c>
      <c r="S104" s="86" t="s">
        <v>209</v>
      </c>
      <c r="T104" s="87"/>
      <c r="U104" s="87"/>
      <c r="V104" s="87"/>
      <c r="W104" s="6" t="s">
        <v>514</v>
      </c>
    </row>
    <row r="105" spans="17:23" ht="22" customHeight="1" x14ac:dyDescent="0.2">
      <c r="Q105" s="43"/>
      <c r="R105" s="32">
        <v>60</v>
      </c>
      <c r="S105" s="86" t="s">
        <v>172</v>
      </c>
      <c r="T105" s="87"/>
      <c r="U105" s="87"/>
      <c r="V105" s="87"/>
      <c r="W105" s="6" t="s">
        <v>515</v>
      </c>
    </row>
    <row r="106" spans="17:23" ht="22" customHeight="1" x14ac:dyDescent="0.2">
      <c r="Q106" s="31"/>
      <c r="R106" s="32">
        <v>61</v>
      </c>
      <c r="S106" s="86" t="s">
        <v>194</v>
      </c>
      <c r="T106" s="87"/>
      <c r="U106" s="87"/>
      <c r="V106" s="87"/>
      <c r="W106" s="6" t="s">
        <v>516</v>
      </c>
    </row>
    <row r="107" spans="17:23" ht="22" customHeight="1" x14ac:dyDescent="0.2">
      <c r="Q107" s="33"/>
      <c r="R107" s="32">
        <v>62</v>
      </c>
      <c r="S107" s="86" t="s">
        <v>146</v>
      </c>
      <c r="T107" s="87"/>
      <c r="U107" s="87"/>
      <c r="V107" s="87"/>
      <c r="W107" s="6" t="s">
        <v>517</v>
      </c>
    </row>
    <row r="108" spans="17:23" ht="22" customHeight="1" x14ac:dyDescent="0.2">
      <c r="Q108" s="34"/>
      <c r="R108" s="32">
        <v>63</v>
      </c>
      <c r="S108" s="86" t="s">
        <v>45</v>
      </c>
      <c r="T108" s="87"/>
      <c r="U108" s="87"/>
      <c r="V108" s="87"/>
      <c r="W108" s="6" t="s">
        <v>518</v>
      </c>
    </row>
    <row r="109" spans="17:23" ht="22" customHeight="1" x14ac:dyDescent="0.2">
      <c r="Q109" s="35"/>
      <c r="R109" s="32">
        <v>64</v>
      </c>
      <c r="S109" s="86" t="s">
        <v>21</v>
      </c>
      <c r="T109" s="87"/>
      <c r="U109" s="87"/>
      <c r="V109" s="87"/>
      <c r="W109" s="6" t="s">
        <v>519</v>
      </c>
    </row>
    <row r="113" spans="17:33" ht="16" customHeight="1" x14ac:dyDescent="0.2">
      <c r="Q113" s="88" t="s">
        <v>520</v>
      </c>
      <c r="R113" s="87"/>
      <c r="S113" s="87"/>
      <c r="T113" s="87"/>
      <c r="U113" s="87"/>
      <c r="V113" s="87"/>
      <c r="W113" s="87"/>
      <c r="Y113" s="88" t="s">
        <v>442</v>
      </c>
      <c r="Z113" s="87"/>
      <c r="AA113" s="87"/>
      <c r="AB113" s="87"/>
      <c r="AC113" s="87"/>
      <c r="AD113" s="87"/>
      <c r="AE113" s="87"/>
      <c r="AF113" s="87"/>
      <c r="AG113" s="87"/>
    </row>
    <row r="114" spans="17:33" x14ac:dyDescent="0.2">
      <c r="Q114" s="30"/>
      <c r="R114" s="30" t="s">
        <v>443</v>
      </c>
      <c r="S114" s="30" t="s">
        <v>444</v>
      </c>
      <c r="W114" s="30" t="s">
        <v>445</v>
      </c>
    </row>
    <row r="115" spans="17:33" ht="22" customHeight="1" x14ac:dyDescent="0.2">
      <c r="Q115" s="31"/>
      <c r="R115" s="32">
        <v>1</v>
      </c>
      <c r="S115" s="86" t="s">
        <v>247</v>
      </c>
      <c r="T115" s="87"/>
      <c r="U115" s="87"/>
      <c r="V115" s="87"/>
      <c r="W115" s="6" t="s">
        <v>521</v>
      </c>
      <c r="Y115" s="89" t="s">
        <v>448</v>
      </c>
      <c r="Z115" s="87"/>
      <c r="AA115" s="87"/>
      <c r="AB115" s="87"/>
      <c r="AC115" s="87"/>
      <c r="AD115" s="87"/>
      <c r="AE115" s="87"/>
      <c r="AF115" s="87"/>
      <c r="AG115" s="87"/>
    </row>
    <row r="116" spans="17:33" ht="22" customHeight="1" x14ac:dyDescent="0.2">
      <c r="Q116" s="33"/>
      <c r="R116" s="32">
        <v>2</v>
      </c>
      <c r="S116" s="86" t="s">
        <v>6</v>
      </c>
      <c r="T116" s="87"/>
      <c r="U116" s="87"/>
      <c r="V116" s="87"/>
      <c r="W116" s="6" t="s">
        <v>522</v>
      </c>
      <c r="Y116" s="86" t="s">
        <v>523</v>
      </c>
      <c r="Z116" s="87"/>
      <c r="AA116" s="87"/>
      <c r="AB116" s="87"/>
      <c r="AC116" s="87"/>
      <c r="AD116" s="87"/>
      <c r="AE116" s="87"/>
      <c r="AF116" s="87"/>
      <c r="AG116" s="87"/>
    </row>
    <row r="117" spans="17:33" ht="22" customHeight="1" x14ac:dyDescent="0.2">
      <c r="Q117" s="34"/>
      <c r="R117" s="32">
        <v>3</v>
      </c>
      <c r="S117" s="86" t="s">
        <v>110</v>
      </c>
      <c r="T117" s="87"/>
      <c r="U117" s="87"/>
      <c r="V117" s="87"/>
      <c r="W117" s="6" t="s">
        <v>524</v>
      </c>
      <c r="Y117" s="87"/>
      <c r="Z117" s="87"/>
      <c r="AA117" s="87"/>
      <c r="AB117" s="87"/>
      <c r="AC117" s="87"/>
      <c r="AD117" s="87"/>
      <c r="AE117" s="87"/>
      <c r="AF117" s="87"/>
      <c r="AG117" s="87"/>
    </row>
    <row r="118" spans="17:33" ht="22" customHeight="1" x14ac:dyDescent="0.2">
      <c r="Q118" s="35"/>
      <c r="R118" s="32">
        <v>4</v>
      </c>
      <c r="S118" s="86" t="s">
        <v>235</v>
      </c>
      <c r="T118" s="87"/>
      <c r="U118" s="87"/>
      <c r="V118" s="87"/>
      <c r="W118" s="6" t="s">
        <v>525</v>
      </c>
      <c r="Y118" s="87"/>
      <c r="Z118" s="87"/>
      <c r="AA118" s="87"/>
      <c r="AB118" s="87"/>
      <c r="AC118" s="87"/>
      <c r="AD118" s="87"/>
      <c r="AE118" s="87"/>
      <c r="AF118" s="87"/>
      <c r="AG118" s="87"/>
    </row>
    <row r="119" spans="17:33" ht="22" customHeight="1" x14ac:dyDescent="0.2">
      <c r="Q119" s="36"/>
      <c r="R119" s="32">
        <v>5</v>
      </c>
      <c r="S119" s="86" t="s">
        <v>219</v>
      </c>
      <c r="T119" s="87"/>
      <c r="U119" s="87"/>
      <c r="V119" s="87"/>
      <c r="W119" s="6" t="s">
        <v>526</v>
      </c>
      <c r="Y119" s="87"/>
      <c r="Z119" s="87"/>
      <c r="AA119" s="87"/>
      <c r="AB119" s="87"/>
      <c r="AC119" s="87"/>
      <c r="AD119" s="87"/>
      <c r="AE119" s="87"/>
      <c r="AF119" s="87"/>
      <c r="AG119" s="87"/>
    </row>
    <row r="121" spans="17:33" x14ac:dyDescent="0.2">
      <c r="Y121" s="89" t="s">
        <v>450</v>
      </c>
      <c r="Z121" s="87"/>
      <c r="AA121" s="87"/>
      <c r="AB121" s="87"/>
      <c r="AC121" s="87"/>
      <c r="AD121" s="87"/>
      <c r="AE121" s="87"/>
      <c r="AF121" s="87"/>
      <c r="AG121" s="87"/>
    </row>
    <row r="122" spans="17:33" x14ac:dyDescent="0.2">
      <c r="Y122" s="86" t="s">
        <v>527</v>
      </c>
      <c r="Z122" s="87"/>
      <c r="AA122" s="87"/>
      <c r="AB122" s="87"/>
      <c r="AC122" s="87"/>
      <c r="AD122" s="87"/>
      <c r="AE122" s="87"/>
      <c r="AF122" s="87"/>
      <c r="AG122" s="87"/>
    </row>
    <row r="123" spans="17:33" x14ac:dyDescent="0.2">
      <c r="Y123" s="87"/>
      <c r="Z123" s="87"/>
      <c r="AA123" s="87"/>
      <c r="AB123" s="87"/>
      <c r="AC123" s="87"/>
      <c r="AD123" s="87"/>
      <c r="AE123" s="87"/>
      <c r="AF123" s="87"/>
      <c r="AG123" s="87"/>
    </row>
    <row r="124" spans="17:33" x14ac:dyDescent="0.2">
      <c r="Y124" s="87"/>
      <c r="Z124" s="87"/>
      <c r="AA124" s="87"/>
      <c r="AB124" s="87"/>
      <c r="AC124" s="87"/>
      <c r="AD124" s="87"/>
      <c r="AE124" s="87"/>
      <c r="AF124" s="87"/>
      <c r="AG124" s="87"/>
    </row>
    <row r="125" spans="17:33" x14ac:dyDescent="0.2">
      <c r="Y125" s="87"/>
      <c r="Z125" s="87"/>
      <c r="AA125" s="87"/>
      <c r="AB125" s="87"/>
      <c r="AC125" s="87"/>
      <c r="AD125" s="87"/>
      <c r="AE125" s="87"/>
      <c r="AF125" s="87"/>
      <c r="AG125" s="87"/>
    </row>
    <row r="127" spans="17:33" x14ac:dyDescent="0.2">
      <c r="Y127" s="89" t="s">
        <v>452</v>
      </c>
      <c r="Z127" s="87"/>
      <c r="AA127" s="87"/>
      <c r="AB127" s="87"/>
      <c r="AC127" s="87"/>
      <c r="AD127" s="87"/>
      <c r="AE127" s="87"/>
      <c r="AF127" s="87"/>
      <c r="AG127" s="87"/>
    </row>
    <row r="128" spans="17:33" x14ac:dyDescent="0.2">
      <c r="Y128" s="86" t="s">
        <v>528</v>
      </c>
      <c r="Z128" s="87"/>
      <c r="AA128" s="87"/>
      <c r="AB128" s="87"/>
      <c r="AC128" s="87"/>
      <c r="AD128" s="87"/>
      <c r="AE128" s="87"/>
      <c r="AF128" s="87"/>
      <c r="AG128" s="87"/>
    </row>
    <row r="129" spans="25:33" x14ac:dyDescent="0.2">
      <c r="Y129" s="87"/>
      <c r="Z129" s="87"/>
      <c r="AA129" s="87"/>
      <c r="AB129" s="87"/>
      <c r="AC129" s="87"/>
      <c r="AD129" s="87"/>
      <c r="AE129" s="87"/>
      <c r="AF129" s="87"/>
      <c r="AG129" s="87"/>
    </row>
    <row r="130" spans="25:33" x14ac:dyDescent="0.2">
      <c r="Y130" s="87"/>
      <c r="Z130" s="87"/>
      <c r="AA130" s="87"/>
      <c r="AB130" s="87"/>
      <c r="AC130" s="87"/>
      <c r="AD130" s="87"/>
      <c r="AE130" s="87"/>
      <c r="AF130" s="87"/>
      <c r="AG130" s="87"/>
    </row>
    <row r="131" spans="25:33" x14ac:dyDescent="0.2">
      <c r="Y131" s="87"/>
      <c r="Z131" s="87"/>
      <c r="AA131" s="87"/>
      <c r="AB131" s="87"/>
      <c r="AC131" s="87"/>
      <c r="AD131" s="87"/>
      <c r="AE131" s="87"/>
      <c r="AF131" s="87"/>
      <c r="AG131" s="87"/>
    </row>
    <row r="133" spans="25:33" x14ac:dyDescent="0.2">
      <c r="Y133" s="89" t="s">
        <v>454</v>
      </c>
      <c r="Z133" s="87"/>
      <c r="AA133" s="87"/>
      <c r="AB133" s="87"/>
      <c r="AC133" s="87"/>
      <c r="AD133" s="87"/>
      <c r="AE133" s="87"/>
      <c r="AF133" s="87"/>
      <c r="AG133" s="87"/>
    </row>
    <row r="134" spans="25:33" x14ac:dyDescent="0.2">
      <c r="Y134" s="86" t="s">
        <v>529</v>
      </c>
      <c r="Z134" s="87"/>
      <c r="AA134" s="87"/>
      <c r="AB134" s="87"/>
      <c r="AC134" s="87"/>
      <c r="AD134" s="87"/>
      <c r="AE134" s="87"/>
      <c r="AF134" s="87"/>
      <c r="AG134" s="87"/>
    </row>
    <row r="135" spans="25:33" x14ac:dyDescent="0.2">
      <c r="Y135" s="87"/>
      <c r="Z135" s="87"/>
      <c r="AA135" s="87"/>
      <c r="AB135" s="87"/>
      <c r="AC135" s="87"/>
      <c r="AD135" s="87"/>
      <c r="AE135" s="87"/>
      <c r="AF135" s="87"/>
      <c r="AG135" s="87"/>
    </row>
    <row r="136" spans="25:33" x14ac:dyDescent="0.2">
      <c r="Y136" s="87"/>
      <c r="Z136" s="87"/>
      <c r="AA136" s="87"/>
      <c r="AB136" s="87"/>
      <c r="AC136" s="87"/>
      <c r="AD136" s="87"/>
      <c r="AE136" s="87"/>
      <c r="AF136" s="87"/>
      <c r="AG136" s="87"/>
    </row>
    <row r="137" spans="25:33" x14ac:dyDescent="0.2">
      <c r="Y137" s="87"/>
      <c r="Z137" s="87"/>
      <c r="AA137" s="87"/>
      <c r="AB137" s="87"/>
      <c r="AC137" s="87"/>
      <c r="AD137" s="87"/>
      <c r="AE137" s="87"/>
      <c r="AF137" s="87"/>
      <c r="AG137" s="87"/>
    </row>
    <row r="149" spans="17:33" ht="16" customHeight="1" x14ac:dyDescent="0.2">
      <c r="Q149" s="88" t="s">
        <v>456</v>
      </c>
      <c r="R149" s="87"/>
      <c r="S149" s="87"/>
      <c r="T149" s="87"/>
      <c r="U149" s="87"/>
      <c r="V149" s="87"/>
      <c r="W149" s="87"/>
      <c r="Y149" s="88" t="s">
        <v>442</v>
      </c>
      <c r="Z149" s="87"/>
      <c r="AA149" s="87"/>
      <c r="AB149" s="87"/>
      <c r="AC149" s="87"/>
      <c r="AD149" s="87"/>
      <c r="AE149" s="87"/>
      <c r="AF149" s="87"/>
      <c r="AG149" s="87"/>
    </row>
    <row r="150" spans="17:33" x14ac:dyDescent="0.2">
      <c r="Q150" s="30"/>
      <c r="R150" s="30" t="s">
        <v>443</v>
      </c>
      <c r="S150" s="30" t="s">
        <v>444</v>
      </c>
      <c r="W150" s="30" t="s">
        <v>445</v>
      </c>
    </row>
    <row r="151" spans="17:33" ht="22" customHeight="1" x14ac:dyDescent="0.2">
      <c r="Q151" s="31"/>
      <c r="R151" s="32">
        <v>1</v>
      </c>
      <c r="S151" s="86" t="s">
        <v>251</v>
      </c>
      <c r="T151" s="87"/>
      <c r="U151" s="87"/>
      <c r="V151" s="87"/>
      <c r="W151" s="6" t="s">
        <v>530</v>
      </c>
      <c r="Y151" s="89" t="s">
        <v>448</v>
      </c>
      <c r="Z151" s="87"/>
      <c r="AA151" s="87"/>
      <c r="AB151" s="87"/>
      <c r="AC151" s="87"/>
      <c r="AD151" s="87"/>
      <c r="AE151" s="87"/>
      <c r="AF151" s="87"/>
      <c r="AG151" s="87"/>
    </row>
    <row r="152" spans="17:33" ht="22" customHeight="1" x14ac:dyDescent="0.2">
      <c r="Q152" s="33"/>
      <c r="R152" s="32">
        <v>2</v>
      </c>
      <c r="S152" s="86" t="s">
        <v>245</v>
      </c>
      <c r="T152" s="87"/>
      <c r="U152" s="87"/>
      <c r="V152" s="87"/>
      <c r="W152" s="6" t="s">
        <v>531</v>
      </c>
      <c r="Y152" s="86" t="s">
        <v>532</v>
      </c>
      <c r="Z152" s="87"/>
      <c r="AA152" s="87"/>
      <c r="AB152" s="87"/>
      <c r="AC152" s="87"/>
      <c r="AD152" s="87"/>
      <c r="AE152" s="87"/>
      <c r="AF152" s="87"/>
      <c r="AG152" s="87"/>
    </row>
    <row r="153" spans="17:33" ht="22" customHeight="1" x14ac:dyDescent="0.2">
      <c r="Q153" s="34"/>
      <c r="R153" s="32">
        <v>3</v>
      </c>
      <c r="S153" s="86" t="s">
        <v>25</v>
      </c>
      <c r="T153" s="87"/>
      <c r="U153" s="87"/>
      <c r="V153" s="87"/>
      <c r="W153" s="6" t="s">
        <v>533</v>
      </c>
      <c r="Y153" s="87"/>
      <c r="Z153" s="87"/>
      <c r="AA153" s="87"/>
      <c r="AB153" s="87"/>
      <c r="AC153" s="87"/>
      <c r="AD153" s="87"/>
      <c r="AE153" s="87"/>
      <c r="AF153" s="87"/>
      <c r="AG153" s="87"/>
    </row>
    <row r="154" spans="17:33" ht="22" customHeight="1" x14ac:dyDescent="0.2">
      <c r="Q154" s="35"/>
      <c r="R154" s="32">
        <v>4</v>
      </c>
      <c r="S154" s="86" t="s">
        <v>8</v>
      </c>
      <c r="T154" s="87"/>
      <c r="U154" s="87"/>
      <c r="V154" s="87"/>
      <c r="W154" s="6" t="s">
        <v>534</v>
      </c>
      <c r="Y154" s="87"/>
      <c r="Z154" s="87"/>
      <c r="AA154" s="87"/>
      <c r="AB154" s="87"/>
      <c r="AC154" s="87"/>
      <c r="AD154" s="87"/>
      <c r="AE154" s="87"/>
      <c r="AF154" s="87"/>
      <c r="AG154" s="87"/>
    </row>
    <row r="155" spans="17:33" ht="22" customHeight="1" x14ac:dyDescent="0.2">
      <c r="Q155" s="36"/>
      <c r="R155" s="32">
        <v>5</v>
      </c>
      <c r="S155" s="86" t="s">
        <v>262</v>
      </c>
      <c r="T155" s="87"/>
      <c r="U155" s="87"/>
      <c r="V155" s="87"/>
      <c r="W155" s="6" t="s">
        <v>535</v>
      </c>
      <c r="Y155" s="87"/>
      <c r="Z155" s="87"/>
      <c r="AA155" s="87"/>
      <c r="AB155" s="87"/>
      <c r="AC155" s="87"/>
      <c r="AD155" s="87"/>
      <c r="AE155" s="87"/>
      <c r="AF155" s="87"/>
      <c r="AG155" s="87"/>
    </row>
    <row r="156" spans="17:33" ht="22" customHeight="1" x14ac:dyDescent="0.2">
      <c r="Q156" s="37"/>
      <c r="R156" s="32">
        <v>6</v>
      </c>
      <c r="S156" s="86" t="s">
        <v>116</v>
      </c>
      <c r="T156" s="87"/>
      <c r="U156" s="87"/>
      <c r="V156" s="87"/>
      <c r="W156" s="6" t="s">
        <v>536</v>
      </c>
    </row>
    <row r="157" spans="17:33" ht="22" customHeight="1" x14ac:dyDescent="0.2">
      <c r="Q157" s="38"/>
      <c r="R157" s="32">
        <v>7</v>
      </c>
      <c r="S157" s="86" t="s">
        <v>62</v>
      </c>
      <c r="T157" s="87"/>
      <c r="U157" s="87"/>
      <c r="V157" s="87"/>
      <c r="W157" s="6" t="s">
        <v>537</v>
      </c>
      <c r="Y157" s="89" t="s">
        <v>450</v>
      </c>
      <c r="Z157" s="87"/>
      <c r="AA157" s="87"/>
      <c r="AB157" s="87"/>
      <c r="AC157" s="87"/>
      <c r="AD157" s="87"/>
      <c r="AE157" s="87"/>
      <c r="AF157" s="87"/>
      <c r="AG157" s="87"/>
    </row>
    <row r="158" spans="17:33" ht="22" customHeight="1" x14ac:dyDescent="0.2">
      <c r="Q158" s="39"/>
      <c r="R158" s="32">
        <v>8</v>
      </c>
      <c r="S158" s="86" t="s">
        <v>241</v>
      </c>
      <c r="T158" s="87"/>
      <c r="U158" s="87"/>
      <c r="V158" s="87"/>
      <c r="W158" s="6" t="s">
        <v>538</v>
      </c>
      <c r="Y158" s="86" t="s">
        <v>539</v>
      </c>
      <c r="Z158" s="87"/>
      <c r="AA158" s="87"/>
      <c r="AB158" s="87"/>
      <c r="AC158" s="87"/>
      <c r="AD158" s="87"/>
      <c r="AE158" s="87"/>
      <c r="AF158" s="87"/>
      <c r="AG158" s="87"/>
    </row>
    <row r="159" spans="17:33" ht="22" customHeight="1" x14ac:dyDescent="0.2">
      <c r="Q159" s="40"/>
      <c r="R159" s="32">
        <v>9</v>
      </c>
      <c r="S159" s="86" t="s">
        <v>344</v>
      </c>
      <c r="T159" s="87"/>
      <c r="U159" s="87"/>
      <c r="V159" s="87"/>
      <c r="W159" s="6" t="s">
        <v>540</v>
      </c>
      <c r="Y159" s="87"/>
      <c r="Z159" s="87"/>
      <c r="AA159" s="87"/>
      <c r="AB159" s="87"/>
      <c r="AC159" s="87"/>
      <c r="AD159" s="87"/>
      <c r="AE159" s="87"/>
      <c r="AF159" s="87"/>
      <c r="AG159" s="87"/>
    </row>
    <row r="160" spans="17:33" ht="22" customHeight="1" x14ac:dyDescent="0.2">
      <c r="Q160" s="41"/>
      <c r="R160" s="32">
        <v>10</v>
      </c>
      <c r="S160" s="86" t="s">
        <v>129</v>
      </c>
      <c r="T160" s="87"/>
      <c r="U160" s="87"/>
      <c r="V160" s="87"/>
      <c r="W160" s="6" t="s">
        <v>541</v>
      </c>
      <c r="Y160" s="87"/>
      <c r="Z160" s="87"/>
      <c r="AA160" s="87"/>
      <c r="AB160" s="87"/>
      <c r="AC160" s="87"/>
      <c r="AD160" s="87"/>
      <c r="AE160" s="87"/>
      <c r="AF160" s="87"/>
      <c r="AG160" s="87"/>
    </row>
    <row r="161" spans="17:33" ht="22" customHeight="1" x14ac:dyDescent="0.2">
      <c r="Q161" s="42"/>
      <c r="R161" s="32">
        <v>11</v>
      </c>
      <c r="S161" s="86" t="s">
        <v>281</v>
      </c>
      <c r="T161" s="87"/>
      <c r="U161" s="87"/>
      <c r="V161" s="87"/>
      <c r="W161" s="6" t="s">
        <v>542</v>
      </c>
      <c r="Y161" s="87"/>
      <c r="Z161" s="87"/>
      <c r="AA161" s="87"/>
      <c r="AB161" s="87"/>
      <c r="AC161" s="87"/>
      <c r="AD161" s="87"/>
      <c r="AE161" s="87"/>
      <c r="AF161" s="87"/>
      <c r="AG161" s="87"/>
    </row>
    <row r="162" spans="17:33" ht="22" customHeight="1" x14ac:dyDescent="0.2">
      <c r="Q162" s="43"/>
      <c r="R162" s="32">
        <v>12</v>
      </c>
      <c r="S162" s="86" t="s">
        <v>377</v>
      </c>
      <c r="T162" s="87"/>
      <c r="U162" s="87"/>
      <c r="V162" s="87"/>
      <c r="W162" s="6" t="s">
        <v>543</v>
      </c>
    </row>
    <row r="163" spans="17:33" ht="22" customHeight="1" x14ac:dyDescent="0.2">
      <c r="Q163" s="31"/>
      <c r="R163" s="32">
        <v>13</v>
      </c>
      <c r="S163" s="86" t="s">
        <v>259</v>
      </c>
      <c r="T163" s="87"/>
      <c r="U163" s="87"/>
      <c r="V163" s="87"/>
      <c r="W163" s="6" t="s">
        <v>544</v>
      </c>
      <c r="Y163" s="89" t="s">
        <v>452</v>
      </c>
      <c r="Z163" s="87"/>
      <c r="AA163" s="87"/>
      <c r="AB163" s="87"/>
      <c r="AC163" s="87"/>
      <c r="AD163" s="87"/>
      <c r="AE163" s="87"/>
      <c r="AF163" s="87"/>
      <c r="AG163" s="87"/>
    </row>
    <row r="164" spans="17:33" ht="22" customHeight="1" x14ac:dyDescent="0.2">
      <c r="Q164" s="33"/>
      <c r="R164" s="32">
        <v>14</v>
      </c>
      <c r="S164" s="86" t="s">
        <v>265</v>
      </c>
      <c r="T164" s="87"/>
      <c r="U164" s="87"/>
      <c r="V164" s="87"/>
      <c r="W164" s="6" t="s">
        <v>545</v>
      </c>
      <c r="Y164" s="86" t="s">
        <v>546</v>
      </c>
      <c r="Z164" s="87"/>
      <c r="AA164" s="87"/>
      <c r="AB164" s="87"/>
      <c r="AC164" s="87"/>
      <c r="AD164" s="87"/>
      <c r="AE164" s="87"/>
      <c r="AF164" s="87"/>
      <c r="AG164" s="87"/>
    </row>
    <row r="165" spans="17:33" ht="22" customHeight="1" x14ac:dyDescent="0.2">
      <c r="Q165" s="34"/>
      <c r="R165" s="32">
        <v>15</v>
      </c>
      <c r="S165" s="86" t="s">
        <v>70</v>
      </c>
      <c r="T165" s="87"/>
      <c r="U165" s="87"/>
      <c r="V165" s="87"/>
      <c r="W165" s="6" t="s">
        <v>547</v>
      </c>
      <c r="Y165" s="87"/>
      <c r="Z165" s="87"/>
      <c r="AA165" s="87"/>
      <c r="AB165" s="87"/>
      <c r="AC165" s="87"/>
      <c r="AD165" s="87"/>
      <c r="AE165" s="87"/>
      <c r="AF165" s="87"/>
      <c r="AG165" s="87"/>
    </row>
    <row r="166" spans="17:33" ht="22" customHeight="1" x14ac:dyDescent="0.2">
      <c r="Q166" s="35"/>
      <c r="R166" s="32">
        <v>16</v>
      </c>
      <c r="S166" s="86" t="s">
        <v>137</v>
      </c>
      <c r="T166" s="87"/>
      <c r="U166" s="87"/>
      <c r="V166" s="87"/>
      <c r="W166" s="6" t="s">
        <v>548</v>
      </c>
      <c r="Y166" s="87"/>
      <c r="Z166" s="87"/>
      <c r="AA166" s="87"/>
      <c r="AB166" s="87"/>
      <c r="AC166" s="87"/>
      <c r="AD166" s="87"/>
      <c r="AE166" s="87"/>
      <c r="AF166" s="87"/>
      <c r="AG166" s="87"/>
    </row>
    <row r="167" spans="17:33" ht="22" customHeight="1" x14ac:dyDescent="0.2">
      <c r="Q167" s="36"/>
      <c r="R167" s="32">
        <v>17</v>
      </c>
      <c r="S167" s="86" t="s">
        <v>328</v>
      </c>
      <c r="T167" s="87"/>
      <c r="U167" s="87"/>
      <c r="V167" s="87"/>
      <c r="W167" s="6" t="s">
        <v>549</v>
      </c>
      <c r="Y167" s="87"/>
      <c r="Z167" s="87"/>
      <c r="AA167" s="87"/>
      <c r="AB167" s="87"/>
      <c r="AC167" s="87"/>
      <c r="AD167" s="87"/>
      <c r="AE167" s="87"/>
      <c r="AF167" s="87"/>
      <c r="AG167" s="87"/>
    </row>
    <row r="168" spans="17:33" ht="22" customHeight="1" x14ac:dyDescent="0.2">
      <c r="Q168" s="37"/>
      <c r="R168" s="32">
        <v>18</v>
      </c>
      <c r="S168" s="86" t="s">
        <v>384</v>
      </c>
      <c r="T168" s="87"/>
      <c r="U168" s="87"/>
      <c r="V168" s="87"/>
      <c r="W168" s="6" t="s">
        <v>550</v>
      </c>
    </row>
    <row r="169" spans="17:33" ht="22" customHeight="1" x14ac:dyDescent="0.2">
      <c r="Q169" s="38"/>
      <c r="R169" s="32">
        <v>19</v>
      </c>
      <c r="S169" s="86" t="s">
        <v>223</v>
      </c>
      <c r="T169" s="87"/>
      <c r="U169" s="87"/>
      <c r="V169" s="87"/>
      <c r="W169" s="6" t="s">
        <v>551</v>
      </c>
      <c r="Y169" s="89" t="s">
        <v>454</v>
      </c>
      <c r="Z169" s="87"/>
      <c r="AA169" s="87"/>
      <c r="AB169" s="87"/>
      <c r="AC169" s="87"/>
      <c r="AD169" s="87"/>
      <c r="AE169" s="87"/>
      <c r="AF169" s="87"/>
      <c r="AG169" s="87"/>
    </row>
    <row r="170" spans="17:33" ht="22" customHeight="1" x14ac:dyDescent="0.2">
      <c r="Q170" s="39"/>
      <c r="R170" s="32">
        <v>20</v>
      </c>
      <c r="S170" s="86" t="s">
        <v>254</v>
      </c>
      <c r="T170" s="87"/>
      <c r="U170" s="87"/>
      <c r="V170" s="87"/>
      <c r="W170" s="6" t="s">
        <v>552</v>
      </c>
      <c r="Y170" s="86" t="s">
        <v>553</v>
      </c>
      <c r="Z170" s="87"/>
      <c r="AA170" s="87"/>
      <c r="AB170" s="87"/>
      <c r="AC170" s="87"/>
      <c r="AD170" s="87"/>
      <c r="AE170" s="87"/>
      <c r="AF170" s="87"/>
      <c r="AG170" s="87"/>
    </row>
    <row r="171" spans="17:33" ht="22" customHeight="1" x14ac:dyDescent="0.2">
      <c r="Q171" s="40"/>
      <c r="R171" s="32">
        <v>21</v>
      </c>
      <c r="S171" s="86" t="s">
        <v>48</v>
      </c>
      <c r="T171" s="87"/>
      <c r="U171" s="87"/>
      <c r="V171" s="87"/>
      <c r="W171" s="6" t="s">
        <v>554</v>
      </c>
      <c r="Y171" s="87"/>
      <c r="Z171" s="87"/>
      <c r="AA171" s="87"/>
      <c r="AB171" s="87"/>
      <c r="AC171" s="87"/>
      <c r="AD171" s="87"/>
      <c r="AE171" s="87"/>
      <c r="AF171" s="87"/>
      <c r="AG171" s="87"/>
    </row>
    <row r="172" spans="17:33" ht="22" customHeight="1" x14ac:dyDescent="0.2">
      <c r="Q172" s="41"/>
      <c r="R172" s="32">
        <v>22</v>
      </c>
      <c r="S172" s="86" t="s">
        <v>89</v>
      </c>
      <c r="T172" s="87"/>
      <c r="U172" s="87"/>
      <c r="V172" s="87"/>
      <c r="W172" s="6" t="s">
        <v>555</v>
      </c>
      <c r="Y172" s="87"/>
      <c r="Z172" s="87"/>
      <c r="AA172" s="87"/>
      <c r="AB172" s="87"/>
      <c r="AC172" s="87"/>
      <c r="AD172" s="87"/>
      <c r="AE172" s="87"/>
      <c r="AF172" s="87"/>
      <c r="AG172" s="87"/>
    </row>
    <row r="173" spans="17:33" ht="22" customHeight="1" x14ac:dyDescent="0.2">
      <c r="Q173" s="42"/>
      <c r="R173" s="32">
        <v>23</v>
      </c>
      <c r="S173" s="86" t="s">
        <v>306</v>
      </c>
      <c r="T173" s="87"/>
      <c r="U173" s="87"/>
      <c r="V173" s="87"/>
      <c r="W173" s="6" t="s">
        <v>556</v>
      </c>
      <c r="Y173" s="87"/>
      <c r="Z173" s="87"/>
      <c r="AA173" s="87"/>
      <c r="AB173" s="87"/>
      <c r="AC173" s="87"/>
      <c r="AD173" s="87"/>
      <c r="AE173" s="87"/>
      <c r="AF173" s="87"/>
      <c r="AG173" s="87"/>
    </row>
    <row r="174" spans="17:33" ht="22" customHeight="1" x14ac:dyDescent="0.2">
      <c r="Q174" s="43"/>
      <c r="R174" s="32">
        <v>24</v>
      </c>
      <c r="S174" s="86" t="s">
        <v>237</v>
      </c>
      <c r="T174" s="87"/>
      <c r="U174" s="87"/>
      <c r="V174" s="87"/>
      <c r="W174" s="6" t="s">
        <v>557</v>
      </c>
    </row>
    <row r="175" spans="17:33" ht="22" customHeight="1" x14ac:dyDescent="0.2">
      <c r="Q175" s="31"/>
      <c r="R175" s="32">
        <v>25</v>
      </c>
      <c r="S175" s="86" t="s">
        <v>276</v>
      </c>
      <c r="T175" s="87"/>
      <c r="U175" s="87"/>
      <c r="V175" s="87"/>
      <c r="W175" s="6" t="s">
        <v>558</v>
      </c>
    </row>
    <row r="176" spans="17:33" ht="22" customHeight="1" x14ac:dyDescent="0.2">
      <c r="Q176" s="33"/>
      <c r="R176" s="32">
        <v>26</v>
      </c>
      <c r="S176" s="86" t="s">
        <v>390</v>
      </c>
      <c r="T176" s="87"/>
      <c r="U176" s="87"/>
      <c r="V176" s="87"/>
      <c r="W176" s="6" t="s">
        <v>559</v>
      </c>
    </row>
    <row r="177" spans="17:23" ht="22" customHeight="1" x14ac:dyDescent="0.2">
      <c r="Q177" s="34"/>
      <c r="R177" s="32">
        <v>27</v>
      </c>
      <c r="S177" s="86" t="s">
        <v>353</v>
      </c>
      <c r="T177" s="87"/>
      <c r="U177" s="87"/>
      <c r="V177" s="87"/>
      <c r="W177" s="6" t="s">
        <v>560</v>
      </c>
    </row>
    <row r="178" spans="17:23" ht="22" customHeight="1" x14ac:dyDescent="0.2">
      <c r="Q178" s="35"/>
      <c r="R178" s="32">
        <v>28</v>
      </c>
      <c r="S178" s="86" t="s">
        <v>178</v>
      </c>
      <c r="T178" s="87"/>
      <c r="U178" s="87"/>
      <c r="V178" s="87"/>
      <c r="W178" s="6" t="s">
        <v>561</v>
      </c>
    </row>
    <row r="179" spans="17:23" ht="22" customHeight="1" x14ac:dyDescent="0.2">
      <c r="Q179" s="36"/>
      <c r="R179" s="32">
        <v>29</v>
      </c>
      <c r="S179" s="86" t="s">
        <v>29</v>
      </c>
      <c r="T179" s="87"/>
      <c r="U179" s="87"/>
      <c r="V179" s="87"/>
      <c r="W179" s="6" t="s">
        <v>562</v>
      </c>
    </row>
    <row r="180" spans="17:23" ht="22" customHeight="1" x14ac:dyDescent="0.2">
      <c r="Q180" s="37"/>
      <c r="R180" s="32">
        <v>30</v>
      </c>
      <c r="S180" s="86" t="s">
        <v>124</v>
      </c>
      <c r="T180" s="87"/>
      <c r="U180" s="87"/>
      <c r="V180" s="87"/>
      <c r="W180" s="6" t="s">
        <v>563</v>
      </c>
    </row>
    <row r="181" spans="17:23" ht="22" customHeight="1" x14ac:dyDescent="0.2">
      <c r="Q181" s="38"/>
      <c r="R181" s="32">
        <v>31</v>
      </c>
      <c r="S181" s="86" t="s">
        <v>396</v>
      </c>
      <c r="T181" s="87"/>
      <c r="U181" s="87"/>
      <c r="V181" s="87"/>
      <c r="W181" s="6" t="s">
        <v>564</v>
      </c>
    </row>
    <row r="182" spans="17:23" ht="22" customHeight="1" x14ac:dyDescent="0.2">
      <c r="Q182" s="39"/>
      <c r="R182" s="32">
        <v>32</v>
      </c>
      <c r="S182" s="86" t="s">
        <v>52</v>
      </c>
      <c r="T182" s="87"/>
      <c r="U182" s="87"/>
      <c r="V182" s="87"/>
      <c r="W182" s="6" t="s">
        <v>565</v>
      </c>
    </row>
    <row r="183" spans="17:23" ht="22" customHeight="1" x14ac:dyDescent="0.2">
      <c r="Q183" s="40"/>
      <c r="R183" s="32">
        <v>33</v>
      </c>
      <c r="S183" s="86" t="s">
        <v>121</v>
      </c>
      <c r="T183" s="87"/>
      <c r="U183" s="87"/>
      <c r="V183" s="87"/>
      <c r="W183" s="6" t="s">
        <v>566</v>
      </c>
    </row>
    <row r="184" spans="17:23" ht="22" customHeight="1" x14ac:dyDescent="0.2">
      <c r="Q184" s="41"/>
      <c r="R184" s="32">
        <v>34</v>
      </c>
      <c r="S184" s="86" t="s">
        <v>313</v>
      </c>
      <c r="T184" s="87"/>
      <c r="U184" s="87"/>
      <c r="V184" s="87"/>
      <c r="W184" s="6" t="s">
        <v>567</v>
      </c>
    </row>
    <row r="185" spans="17:23" ht="22" customHeight="1" x14ac:dyDescent="0.2">
      <c r="Q185" s="42"/>
      <c r="R185" s="32">
        <v>35</v>
      </c>
      <c r="S185" s="86" t="s">
        <v>316</v>
      </c>
      <c r="T185" s="87"/>
      <c r="U185" s="87"/>
      <c r="V185" s="87"/>
      <c r="W185" s="6" t="s">
        <v>568</v>
      </c>
    </row>
    <row r="186" spans="17:23" ht="22" customHeight="1" x14ac:dyDescent="0.2">
      <c r="Q186" s="43"/>
      <c r="R186" s="32">
        <v>36</v>
      </c>
      <c r="S186" s="86" t="s">
        <v>35</v>
      </c>
      <c r="T186" s="87"/>
      <c r="U186" s="87"/>
      <c r="V186" s="87"/>
      <c r="W186" s="6" t="s">
        <v>569</v>
      </c>
    </row>
    <row r="187" spans="17:23" ht="22" customHeight="1" x14ac:dyDescent="0.2">
      <c r="Q187" s="31"/>
      <c r="R187" s="32">
        <v>37</v>
      </c>
      <c r="S187" s="86" t="s">
        <v>356</v>
      </c>
      <c r="T187" s="87"/>
      <c r="U187" s="87"/>
      <c r="V187" s="87"/>
      <c r="W187" s="6" t="s">
        <v>570</v>
      </c>
    </row>
    <row r="188" spans="17:23" ht="22" customHeight="1" x14ac:dyDescent="0.2">
      <c r="Q188" s="33"/>
      <c r="R188" s="32">
        <v>38</v>
      </c>
      <c r="S188" s="86" t="s">
        <v>234</v>
      </c>
      <c r="T188" s="87"/>
      <c r="U188" s="87"/>
      <c r="V188" s="87"/>
      <c r="W188" s="6" t="s">
        <v>571</v>
      </c>
    </row>
    <row r="189" spans="17:23" ht="22" customHeight="1" x14ac:dyDescent="0.2">
      <c r="Q189" s="34"/>
      <c r="R189" s="32">
        <v>39</v>
      </c>
      <c r="S189" s="86" t="s">
        <v>218</v>
      </c>
      <c r="T189" s="87"/>
      <c r="U189" s="87"/>
      <c r="V189" s="87"/>
      <c r="W189" s="6" t="s">
        <v>571</v>
      </c>
    </row>
    <row r="190" spans="17:23" ht="22" customHeight="1" x14ac:dyDescent="0.2">
      <c r="Q190" s="35"/>
      <c r="R190" s="32">
        <v>40</v>
      </c>
      <c r="S190" s="86" t="s">
        <v>205</v>
      </c>
      <c r="T190" s="87"/>
      <c r="U190" s="87"/>
      <c r="V190" s="87"/>
      <c r="W190" s="6" t="s">
        <v>571</v>
      </c>
    </row>
    <row r="191" spans="17:23" ht="22" customHeight="1" x14ac:dyDescent="0.2">
      <c r="Q191" s="36"/>
      <c r="R191" s="32">
        <v>41</v>
      </c>
      <c r="S191" s="86" t="s">
        <v>132</v>
      </c>
      <c r="T191" s="87"/>
      <c r="U191" s="87"/>
      <c r="V191" s="87"/>
      <c r="W191" s="6" t="s">
        <v>572</v>
      </c>
    </row>
    <row r="192" spans="17:23" ht="22" customHeight="1" x14ac:dyDescent="0.2">
      <c r="Q192" s="37"/>
      <c r="R192" s="32">
        <v>42</v>
      </c>
      <c r="S192" s="86" t="s">
        <v>319</v>
      </c>
      <c r="T192" s="87"/>
      <c r="U192" s="87"/>
      <c r="V192" s="87"/>
      <c r="W192" s="6" t="s">
        <v>573</v>
      </c>
    </row>
    <row r="193" spans="17:23" ht="22" customHeight="1" x14ac:dyDescent="0.2">
      <c r="Q193" s="38"/>
      <c r="R193" s="32">
        <v>43</v>
      </c>
      <c r="S193" s="86" t="s">
        <v>387</v>
      </c>
      <c r="T193" s="87"/>
      <c r="U193" s="87"/>
      <c r="V193" s="87"/>
      <c r="W193" s="6" t="s">
        <v>574</v>
      </c>
    </row>
    <row r="194" spans="17:23" ht="22" customHeight="1" x14ac:dyDescent="0.2">
      <c r="Q194" s="39"/>
      <c r="R194" s="32">
        <v>44</v>
      </c>
      <c r="S194" s="86" t="s">
        <v>14</v>
      </c>
      <c r="T194" s="87"/>
      <c r="U194" s="87"/>
      <c r="V194" s="87"/>
      <c r="W194" s="6" t="s">
        <v>575</v>
      </c>
    </row>
    <row r="195" spans="17:23" ht="22" customHeight="1" x14ac:dyDescent="0.2">
      <c r="Q195" s="40"/>
      <c r="R195" s="32">
        <v>45</v>
      </c>
      <c r="S195" s="86" t="s">
        <v>198</v>
      </c>
      <c r="T195" s="87"/>
      <c r="U195" s="87"/>
      <c r="V195" s="87"/>
      <c r="W195" s="6" t="s">
        <v>576</v>
      </c>
    </row>
    <row r="196" spans="17:23" ht="22" customHeight="1" x14ac:dyDescent="0.2">
      <c r="Q196" s="41"/>
      <c r="R196" s="32">
        <v>46</v>
      </c>
      <c r="S196" s="86" t="s">
        <v>212</v>
      </c>
      <c r="T196" s="87"/>
      <c r="U196" s="87"/>
      <c r="V196" s="87"/>
      <c r="W196" s="6" t="s">
        <v>577</v>
      </c>
    </row>
    <row r="197" spans="17:23" ht="22" customHeight="1" x14ac:dyDescent="0.2">
      <c r="Q197" s="42"/>
      <c r="R197" s="32">
        <v>47</v>
      </c>
      <c r="S197" s="86" t="s">
        <v>350</v>
      </c>
      <c r="T197" s="87"/>
      <c r="U197" s="87"/>
      <c r="V197" s="87"/>
      <c r="W197" s="6" t="s">
        <v>578</v>
      </c>
    </row>
    <row r="198" spans="17:23" ht="22" customHeight="1" x14ac:dyDescent="0.2">
      <c r="Q198" s="43"/>
      <c r="R198" s="32">
        <v>48</v>
      </c>
      <c r="S198" s="86" t="s">
        <v>163</v>
      </c>
      <c r="T198" s="87"/>
      <c r="U198" s="87"/>
      <c r="V198" s="87"/>
      <c r="W198" s="6" t="s">
        <v>579</v>
      </c>
    </row>
    <row r="199" spans="17:23" ht="22" customHeight="1" x14ac:dyDescent="0.2">
      <c r="Q199" s="31"/>
      <c r="R199" s="32">
        <v>49</v>
      </c>
      <c r="S199" s="86" t="s">
        <v>363</v>
      </c>
      <c r="T199" s="87"/>
      <c r="U199" s="87"/>
      <c r="V199" s="87"/>
      <c r="W199" s="6" t="s">
        <v>580</v>
      </c>
    </row>
    <row r="200" spans="17:23" ht="22" customHeight="1" x14ac:dyDescent="0.2">
      <c r="Q200" s="33"/>
      <c r="R200" s="32">
        <v>50</v>
      </c>
      <c r="S200" s="86" t="s">
        <v>170</v>
      </c>
      <c r="T200" s="87"/>
      <c r="U200" s="87"/>
      <c r="V200" s="87"/>
      <c r="W200" s="6" t="s">
        <v>581</v>
      </c>
    </row>
    <row r="201" spans="17:23" ht="22" customHeight="1" x14ac:dyDescent="0.2">
      <c r="Q201" s="34"/>
      <c r="R201" s="32">
        <v>51</v>
      </c>
      <c r="S201" s="86" t="s">
        <v>228</v>
      </c>
      <c r="T201" s="87"/>
      <c r="U201" s="87"/>
      <c r="V201" s="87"/>
      <c r="W201" s="6" t="s">
        <v>582</v>
      </c>
    </row>
    <row r="202" spans="17:23" ht="22" customHeight="1" x14ac:dyDescent="0.2">
      <c r="Q202" s="35"/>
      <c r="R202" s="32">
        <v>52</v>
      </c>
      <c r="S202" s="86" t="s">
        <v>372</v>
      </c>
      <c r="T202" s="87"/>
      <c r="U202" s="87"/>
      <c r="V202" s="87"/>
      <c r="W202" s="6" t="s">
        <v>583</v>
      </c>
    </row>
    <row r="203" spans="17:23" ht="22" customHeight="1" x14ac:dyDescent="0.2">
      <c r="Q203" s="36"/>
      <c r="R203" s="32">
        <v>53</v>
      </c>
      <c r="S203" s="86" t="s">
        <v>334</v>
      </c>
      <c r="T203" s="87"/>
      <c r="U203" s="87"/>
      <c r="V203" s="87"/>
      <c r="W203" s="6" t="s">
        <v>584</v>
      </c>
    </row>
    <row r="204" spans="17:23" ht="22" customHeight="1" x14ac:dyDescent="0.2">
      <c r="Q204" s="37"/>
      <c r="R204" s="32">
        <v>54</v>
      </c>
      <c r="S204" s="86" t="s">
        <v>86</v>
      </c>
      <c r="T204" s="87"/>
      <c r="U204" s="87"/>
      <c r="V204" s="87"/>
      <c r="W204" s="6" t="s">
        <v>585</v>
      </c>
    </row>
    <row r="205" spans="17:23" ht="22" customHeight="1" x14ac:dyDescent="0.2">
      <c r="Q205" s="38"/>
      <c r="R205" s="32">
        <v>55</v>
      </c>
      <c r="S205" s="86" t="s">
        <v>66</v>
      </c>
      <c r="T205" s="87"/>
      <c r="U205" s="87"/>
      <c r="V205" s="87"/>
      <c r="W205" s="6" t="s">
        <v>586</v>
      </c>
    </row>
    <row r="206" spans="17:23" ht="22" customHeight="1" x14ac:dyDescent="0.2">
      <c r="Q206" s="39"/>
      <c r="R206" s="32">
        <v>56</v>
      </c>
      <c r="S206" s="86" t="s">
        <v>231</v>
      </c>
      <c r="T206" s="87"/>
      <c r="U206" s="87"/>
      <c r="V206" s="87"/>
      <c r="W206" s="6" t="s">
        <v>586</v>
      </c>
    </row>
    <row r="207" spans="17:23" ht="22" customHeight="1" x14ac:dyDescent="0.2">
      <c r="Q207" s="40"/>
      <c r="R207" s="32">
        <v>57</v>
      </c>
      <c r="S207" s="86" t="s">
        <v>187</v>
      </c>
      <c r="T207" s="87"/>
      <c r="U207" s="87"/>
      <c r="V207" s="87"/>
      <c r="W207" s="6" t="s">
        <v>586</v>
      </c>
    </row>
    <row r="208" spans="17:23" ht="22" customHeight="1" x14ac:dyDescent="0.2">
      <c r="Q208" s="41"/>
      <c r="R208" s="32">
        <v>58</v>
      </c>
      <c r="S208" s="86" t="s">
        <v>39</v>
      </c>
      <c r="T208" s="87"/>
      <c r="U208" s="87"/>
      <c r="V208" s="87"/>
      <c r="W208" s="6" t="s">
        <v>587</v>
      </c>
    </row>
    <row r="209" spans="17:33" ht="22" customHeight="1" x14ac:dyDescent="0.2">
      <c r="Q209" s="42"/>
      <c r="R209" s="32">
        <v>59</v>
      </c>
      <c r="S209" s="86" t="s">
        <v>209</v>
      </c>
      <c r="T209" s="87"/>
      <c r="U209" s="87"/>
      <c r="V209" s="87"/>
      <c r="W209" s="6" t="s">
        <v>588</v>
      </c>
    </row>
    <row r="210" spans="17:33" ht="22" customHeight="1" x14ac:dyDescent="0.2">
      <c r="Q210" s="43"/>
      <c r="R210" s="32">
        <v>60</v>
      </c>
      <c r="S210" s="86" t="s">
        <v>172</v>
      </c>
      <c r="T210" s="87"/>
      <c r="U210" s="87"/>
      <c r="V210" s="87"/>
      <c r="W210" s="6" t="s">
        <v>589</v>
      </c>
    </row>
    <row r="211" spans="17:33" ht="22" customHeight="1" x14ac:dyDescent="0.2">
      <c r="Q211" s="31"/>
      <c r="R211" s="32">
        <v>61</v>
      </c>
      <c r="S211" s="86" t="s">
        <v>194</v>
      </c>
      <c r="T211" s="87"/>
      <c r="U211" s="87"/>
      <c r="V211" s="87"/>
      <c r="W211" s="6" t="s">
        <v>590</v>
      </c>
    </row>
    <row r="212" spans="17:33" ht="22" customHeight="1" x14ac:dyDescent="0.2">
      <c r="Q212" s="33"/>
      <c r="R212" s="32">
        <v>62</v>
      </c>
      <c r="S212" s="86" t="s">
        <v>146</v>
      </c>
      <c r="T212" s="87"/>
      <c r="U212" s="87"/>
      <c r="V212" s="87"/>
      <c r="W212" s="6" t="s">
        <v>591</v>
      </c>
    </row>
    <row r="213" spans="17:33" ht="22" customHeight="1" x14ac:dyDescent="0.2">
      <c r="Q213" s="34"/>
      <c r="R213" s="32">
        <v>63</v>
      </c>
      <c r="S213" s="86" t="s">
        <v>45</v>
      </c>
      <c r="T213" s="87"/>
      <c r="U213" s="87"/>
      <c r="V213" s="87"/>
      <c r="W213" s="6" t="s">
        <v>592</v>
      </c>
    </row>
    <row r="214" spans="17:33" ht="22" customHeight="1" x14ac:dyDescent="0.2">
      <c r="Q214" s="35"/>
      <c r="R214" s="32">
        <v>64</v>
      </c>
      <c r="S214" s="86" t="s">
        <v>21</v>
      </c>
      <c r="T214" s="87"/>
      <c r="U214" s="87"/>
      <c r="V214" s="87"/>
      <c r="W214" s="6" t="s">
        <v>593</v>
      </c>
    </row>
    <row r="218" spans="17:33" ht="16" customHeight="1" x14ac:dyDescent="0.2">
      <c r="Q218" s="88" t="s">
        <v>594</v>
      </c>
      <c r="R218" s="87"/>
      <c r="S218" s="87"/>
      <c r="T218" s="87"/>
      <c r="U218" s="87"/>
      <c r="V218" s="87"/>
      <c r="W218" s="87"/>
      <c r="Y218" s="88" t="s">
        <v>442</v>
      </c>
      <c r="Z218" s="87"/>
      <c r="AA218" s="87"/>
      <c r="AB218" s="87"/>
      <c r="AC218" s="87"/>
      <c r="AD218" s="87"/>
      <c r="AE218" s="87"/>
      <c r="AF218" s="87"/>
      <c r="AG218" s="87"/>
    </row>
    <row r="219" spans="17:33" x14ac:dyDescent="0.2">
      <c r="Q219" s="30"/>
      <c r="R219" s="30" t="s">
        <v>443</v>
      </c>
      <c r="S219" s="30" t="s">
        <v>444</v>
      </c>
      <c r="W219" s="30" t="s">
        <v>445</v>
      </c>
    </row>
    <row r="220" spans="17:33" ht="22" customHeight="1" x14ac:dyDescent="0.2">
      <c r="Q220" s="31"/>
      <c r="R220" s="32">
        <v>1</v>
      </c>
      <c r="S220" s="86" t="s">
        <v>269</v>
      </c>
      <c r="T220" s="87"/>
      <c r="U220" s="87"/>
      <c r="V220" s="87"/>
      <c r="W220" s="6" t="s">
        <v>595</v>
      </c>
      <c r="Y220" s="89" t="s">
        <v>448</v>
      </c>
      <c r="Z220" s="87"/>
      <c r="AA220" s="87"/>
      <c r="AB220" s="87"/>
      <c r="AC220" s="87"/>
      <c r="AD220" s="87"/>
      <c r="AE220" s="87"/>
      <c r="AF220" s="87"/>
      <c r="AG220" s="87"/>
    </row>
    <row r="221" spans="17:33" ht="22" customHeight="1" x14ac:dyDescent="0.2">
      <c r="Q221" s="33"/>
      <c r="R221" s="32">
        <v>2</v>
      </c>
      <c r="S221" s="86" t="s">
        <v>261</v>
      </c>
      <c r="T221" s="87"/>
      <c r="U221" s="87"/>
      <c r="V221" s="87"/>
      <c r="W221" s="6" t="s">
        <v>462</v>
      </c>
      <c r="Y221" s="86" t="s">
        <v>596</v>
      </c>
      <c r="Z221" s="87"/>
      <c r="AA221" s="87"/>
      <c r="AB221" s="87"/>
      <c r="AC221" s="87"/>
      <c r="AD221" s="87"/>
      <c r="AE221" s="87"/>
      <c r="AF221" s="87"/>
      <c r="AG221" s="87"/>
    </row>
    <row r="222" spans="17:33" ht="22" customHeight="1" x14ac:dyDescent="0.2">
      <c r="Q222" s="34"/>
      <c r="R222" s="32">
        <v>3</v>
      </c>
      <c r="S222" s="86" t="s">
        <v>295</v>
      </c>
      <c r="T222" s="87"/>
      <c r="U222" s="87"/>
      <c r="V222" s="87"/>
      <c r="W222" s="6" t="s">
        <v>597</v>
      </c>
      <c r="Y222" s="87"/>
      <c r="Z222" s="87"/>
      <c r="AA222" s="87"/>
      <c r="AB222" s="87"/>
      <c r="AC222" s="87"/>
      <c r="AD222" s="87"/>
      <c r="AE222" s="87"/>
      <c r="AF222" s="87"/>
      <c r="AG222" s="87"/>
    </row>
    <row r="223" spans="17:33" ht="22" customHeight="1" x14ac:dyDescent="0.2">
      <c r="Q223" s="35"/>
      <c r="R223" s="32">
        <v>4</v>
      </c>
      <c r="S223" s="86" t="s">
        <v>343</v>
      </c>
      <c r="T223" s="87"/>
      <c r="U223" s="87"/>
      <c r="V223" s="87"/>
      <c r="W223" s="6" t="s">
        <v>467</v>
      </c>
      <c r="Y223" s="87"/>
      <c r="Z223" s="87"/>
      <c r="AA223" s="87"/>
      <c r="AB223" s="87"/>
      <c r="AC223" s="87"/>
      <c r="AD223" s="87"/>
      <c r="AE223" s="87"/>
      <c r="AF223" s="87"/>
      <c r="AG223" s="87"/>
    </row>
    <row r="224" spans="17:33" ht="22" customHeight="1" x14ac:dyDescent="0.2">
      <c r="Q224" s="36"/>
      <c r="R224" s="32">
        <v>5</v>
      </c>
      <c r="S224" s="86" t="s">
        <v>244</v>
      </c>
      <c r="T224" s="87"/>
      <c r="U224" s="87"/>
      <c r="V224" s="87"/>
      <c r="W224" s="6" t="s">
        <v>598</v>
      </c>
      <c r="Y224" s="87"/>
      <c r="Z224" s="87"/>
      <c r="AA224" s="87"/>
      <c r="AB224" s="87"/>
      <c r="AC224" s="87"/>
      <c r="AD224" s="87"/>
      <c r="AE224" s="87"/>
      <c r="AF224" s="87"/>
      <c r="AG224" s="87"/>
    </row>
    <row r="225" spans="17:33" ht="22" customHeight="1" x14ac:dyDescent="0.2">
      <c r="Q225" s="37"/>
      <c r="R225" s="32">
        <v>6</v>
      </c>
      <c r="S225" s="86" t="s">
        <v>293</v>
      </c>
      <c r="T225" s="87"/>
      <c r="U225" s="87"/>
      <c r="V225" s="87"/>
      <c r="W225" s="6" t="s">
        <v>599</v>
      </c>
    </row>
    <row r="226" spans="17:33" ht="22" customHeight="1" x14ac:dyDescent="0.2">
      <c r="Q226" s="38"/>
      <c r="R226" s="32">
        <v>7</v>
      </c>
      <c r="S226" s="86" t="s">
        <v>24</v>
      </c>
      <c r="T226" s="87"/>
      <c r="U226" s="87"/>
      <c r="V226" s="87"/>
      <c r="W226" s="6" t="s">
        <v>600</v>
      </c>
      <c r="Y226" s="89" t="s">
        <v>450</v>
      </c>
      <c r="Z226" s="87"/>
      <c r="AA226" s="87"/>
      <c r="AB226" s="87"/>
      <c r="AC226" s="87"/>
      <c r="AD226" s="87"/>
      <c r="AE226" s="87"/>
      <c r="AF226" s="87"/>
      <c r="AG226" s="87"/>
    </row>
    <row r="227" spans="17:33" ht="22" customHeight="1" x14ac:dyDescent="0.2">
      <c r="Q227" s="39"/>
      <c r="R227" s="32">
        <v>8</v>
      </c>
      <c r="S227" s="86" t="s">
        <v>280</v>
      </c>
      <c r="T227" s="87"/>
      <c r="U227" s="87"/>
      <c r="V227" s="87"/>
      <c r="W227" s="6" t="s">
        <v>469</v>
      </c>
      <c r="Y227" s="86" t="s">
        <v>601</v>
      </c>
      <c r="Z227" s="87"/>
      <c r="AA227" s="87"/>
      <c r="AB227" s="87"/>
      <c r="AC227" s="87"/>
      <c r="AD227" s="87"/>
      <c r="AE227" s="87"/>
      <c r="AF227" s="87"/>
      <c r="AG227" s="87"/>
    </row>
    <row r="228" spans="17:33" ht="22" customHeight="1" x14ac:dyDescent="0.2">
      <c r="Q228" s="40"/>
      <c r="R228" s="32">
        <v>9</v>
      </c>
      <c r="S228" s="86" t="s">
        <v>286</v>
      </c>
      <c r="T228" s="87"/>
      <c r="U228" s="87"/>
      <c r="V228" s="87"/>
      <c r="W228" s="6" t="s">
        <v>602</v>
      </c>
      <c r="Y228" s="87"/>
      <c r="Z228" s="87"/>
      <c r="AA228" s="87"/>
      <c r="AB228" s="87"/>
      <c r="AC228" s="87"/>
      <c r="AD228" s="87"/>
      <c r="AE228" s="87"/>
      <c r="AF228" s="87"/>
      <c r="AG228" s="87"/>
    </row>
    <row r="229" spans="17:33" ht="22" customHeight="1" x14ac:dyDescent="0.2">
      <c r="Q229" s="41"/>
      <c r="R229" s="32">
        <v>10</v>
      </c>
      <c r="S229" s="86" t="s">
        <v>128</v>
      </c>
      <c r="T229" s="87"/>
      <c r="U229" s="87"/>
      <c r="V229" s="87"/>
      <c r="W229" s="6" t="s">
        <v>603</v>
      </c>
      <c r="Y229" s="87"/>
      <c r="Z229" s="87"/>
      <c r="AA229" s="87"/>
      <c r="AB229" s="87"/>
      <c r="AC229" s="87"/>
      <c r="AD229" s="87"/>
      <c r="AE229" s="87"/>
      <c r="AF229" s="87"/>
      <c r="AG229" s="87"/>
    </row>
    <row r="230" spans="17:33" x14ac:dyDescent="0.2">
      <c r="Y230" s="87"/>
      <c r="Z230" s="87"/>
      <c r="AA230" s="87"/>
      <c r="AB230" s="87"/>
      <c r="AC230" s="87"/>
      <c r="AD230" s="87"/>
      <c r="AE230" s="87"/>
      <c r="AF230" s="87"/>
      <c r="AG230" s="87"/>
    </row>
    <row r="232" spans="17:33" x14ac:dyDescent="0.2">
      <c r="Y232" s="89" t="s">
        <v>452</v>
      </c>
      <c r="Z232" s="87"/>
      <c r="AA232" s="87"/>
      <c r="AB232" s="87"/>
      <c r="AC232" s="87"/>
      <c r="AD232" s="87"/>
      <c r="AE232" s="87"/>
      <c r="AF232" s="87"/>
      <c r="AG232" s="87"/>
    </row>
    <row r="233" spans="17:33" x14ac:dyDescent="0.2">
      <c r="Y233" s="86" t="s">
        <v>604</v>
      </c>
      <c r="Z233" s="87"/>
      <c r="AA233" s="87"/>
      <c r="AB233" s="87"/>
      <c r="AC233" s="87"/>
      <c r="AD233" s="87"/>
      <c r="AE233" s="87"/>
      <c r="AF233" s="87"/>
      <c r="AG233" s="87"/>
    </row>
    <row r="234" spans="17:33" x14ac:dyDescent="0.2">
      <c r="Y234" s="87"/>
      <c r="Z234" s="87"/>
      <c r="AA234" s="87"/>
      <c r="AB234" s="87"/>
      <c r="AC234" s="87"/>
      <c r="AD234" s="87"/>
      <c r="AE234" s="87"/>
      <c r="AF234" s="87"/>
      <c r="AG234" s="87"/>
    </row>
    <row r="235" spans="17:33" x14ac:dyDescent="0.2">
      <c r="Y235" s="87"/>
      <c r="Z235" s="87"/>
      <c r="AA235" s="87"/>
      <c r="AB235" s="87"/>
      <c r="AC235" s="87"/>
      <c r="AD235" s="87"/>
      <c r="AE235" s="87"/>
      <c r="AF235" s="87"/>
      <c r="AG235" s="87"/>
    </row>
    <row r="236" spans="17:33" x14ac:dyDescent="0.2">
      <c r="Y236" s="87"/>
      <c r="Z236" s="87"/>
      <c r="AA236" s="87"/>
      <c r="AB236" s="87"/>
      <c r="AC236" s="87"/>
      <c r="AD236" s="87"/>
      <c r="AE236" s="87"/>
      <c r="AF236" s="87"/>
      <c r="AG236" s="87"/>
    </row>
    <row r="238" spans="17:33" x14ac:dyDescent="0.2">
      <c r="Y238" s="89" t="s">
        <v>454</v>
      </c>
      <c r="Z238" s="87"/>
      <c r="AA238" s="87"/>
      <c r="AB238" s="87"/>
      <c r="AC238" s="87"/>
      <c r="AD238" s="87"/>
      <c r="AE238" s="87"/>
      <c r="AF238" s="87"/>
      <c r="AG238" s="87"/>
    </row>
    <row r="239" spans="17:33" x14ac:dyDescent="0.2">
      <c r="Y239" s="86" t="s">
        <v>605</v>
      </c>
      <c r="Z239" s="87"/>
      <c r="AA239" s="87"/>
      <c r="AB239" s="87"/>
      <c r="AC239" s="87"/>
      <c r="AD239" s="87"/>
      <c r="AE239" s="87"/>
      <c r="AF239" s="87"/>
      <c r="AG239" s="87"/>
    </row>
    <row r="240" spans="17:33" x14ac:dyDescent="0.2">
      <c r="Y240" s="87"/>
      <c r="Z240" s="87"/>
      <c r="AA240" s="87"/>
      <c r="AB240" s="87"/>
      <c r="AC240" s="87"/>
      <c r="AD240" s="87"/>
      <c r="AE240" s="87"/>
      <c r="AF240" s="87"/>
      <c r="AG240" s="87"/>
    </row>
    <row r="241" spans="17:33" x14ac:dyDescent="0.2">
      <c r="Y241" s="87"/>
      <c r="Z241" s="87"/>
      <c r="AA241" s="87"/>
      <c r="AB241" s="87"/>
      <c r="AC241" s="87"/>
      <c r="AD241" s="87"/>
      <c r="AE241" s="87"/>
      <c r="AF241" s="87"/>
      <c r="AG241" s="87"/>
    </row>
    <row r="242" spans="17:33" x14ac:dyDescent="0.2">
      <c r="Y242" s="87"/>
      <c r="Z242" s="87"/>
      <c r="AA242" s="87"/>
      <c r="AB242" s="87"/>
      <c r="AC242" s="87"/>
      <c r="AD242" s="87"/>
      <c r="AE242" s="87"/>
      <c r="AF242" s="87"/>
      <c r="AG242" s="87"/>
    </row>
    <row r="254" spans="17:33" ht="16" customHeight="1" x14ac:dyDescent="0.2">
      <c r="Q254" s="88" t="s">
        <v>606</v>
      </c>
      <c r="R254" s="87"/>
      <c r="S254" s="87"/>
      <c r="T254" s="87"/>
      <c r="U254" s="87"/>
      <c r="V254" s="87"/>
      <c r="W254" s="87"/>
      <c r="Y254" s="88" t="s">
        <v>442</v>
      </c>
      <c r="Z254" s="87"/>
      <c r="AA254" s="87"/>
      <c r="AB254" s="87"/>
      <c r="AC254" s="87"/>
      <c r="AD254" s="87"/>
      <c r="AE254" s="87"/>
      <c r="AF254" s="87"/>
      <c r="AG254" s="87"/>
    </row>
    <row r="255" spans="17:33" x14ac:dyDescent="0.2">
      <c r="Q255" s="30"/>
      <c r="R255" s="30" t="s">
        <v>443</v>
      </c>
      <c r="S255" s="30" t="s">
        <v>444</v>
      </c>
      <c r="W255" s="30" t="s">
        <v>445</v>
      </c>
    </row>
    <row r="256" spans="17:33" ht="22" customHeight="1" x14ac:dyDescent="0.2">
      <c r="Q256" s="31"/>
      <c r="R256" s="32">
        <v>1</v>
      </c>
      <c r="S256" s="86" t="s">
        <v>247</v>
      </c>
      <c r="T256" s="87"/>
      <c r="U256" s="87"/>
      <c r="V256" s="87"/>
      <c r="W256" s="6" t="s">
        <v>521</v>
      </c>
      <c r="Y256" s="89" t="s">
        <v>448</v>
      </c>
      <c r="Z256" s="87"/>
      <c r="AA256" s="87"/>
      <c r="AB256" s="87"/>
      <c r="AC256" s="87"/>
      <c r="AD256" s="87"/>
      <c r="AE256" s="87"/>
      <c r="AF256" s="87"/>
      <c r="AG256" s="87"/>
    </row>
    <row r="257" spans="17:33" ht="22" customHeight="1" x14ac:dyDescent="0.2">
      <c r="Q257" s="33"/>
      <c r="R257" s="32">
        <v>2</v>
      </c>
      <c r="S257" s="86" t="s">
        <v>6</v>
      </c>
      <c r="T257" s="87"/>
      <c r="U257" s="87"/>
      <c r="V257" s="87"/>
      <c r="W257" s="6" t="s">
        <v>522</v>
      </c>
      <c r="Y257" s="86" t="s">
        <v>607</v>
      </c>
      <c r="Z257" s="87"/>
      <c r="AA257" s="87"/>
      <c r="AB257" s="87"/>
      <c r="AC257" s="87"/>
      <c r="AD257" s="87"/>
      <c r="AE257" s="87"/>
      <c r="AF257" s="87"/>
      <c r="AG257" s="87"/>
    </row>
    <row r="258" spans="17:33" ht="22" customHeight="1" x14ac:dyDescent="0.2">
      <c r="Q258" s="34"/>
      <c r="R258" s="32">
        <v>3</v>
      </c>
      <c r="S258" s="86" t="s">
        <v>110</v>
      </c>
      <c r="T258" s="87"/>
      <c r="U258" s="87"/>
      <c r="V258" s="87"/>
      <c r="W258" s="6" t="s">
        <v>524</v>
      </c>
      <c r="Y258" s="87"/>
      <c r="Z258" s="87"/>
      <c r="AA258" s="87"/>
      <c r="AB258" s="87"/>
      <c r="AC258" s="87"/>
      <c r="AD258" s="87"/>
      <c r="AE258" s="87"/>
      <c r="AF258" s="87"/>
      <c r="AG258" s="87"/>
    </row>
    <row r="259" spans="17:33" ht="22" customHeight="1" x14ac:dyDescent="0.2">
      <c r="Q259" s="35"/>
      <c r="R259" s="32">
        <v>4</v>
      </c>
      <c r="S259" s="86" t="s">
        <v>235</v>
      </c>
      <c r="T259" s="87"/>
      <c r="U259" s="87"/>
      <c r="V259" s="87"/>
      <c r="W259" s="6" t="s">
        <v>525</v>
      </c>
      <c r="Y259" s="87"/>
      <c r="Z259" s="87"/>
      <c r="AA259" s="87"/>
      <c r="AB259" s="87"/>
      <c r="AC259" s="87"/>
      <c r="AD259" s="87"/>
      <c r="AE259" s="87"/>
      <c r="AF259" s="87"/>
      <c r="AG259" s="87"/>
    </row>
    <row r="260" spans="17:33" ht="22" customHeight="1" x14ac:dyDescent="0.2">
      <c r="Q260" s="36"/>
      <c r="R260" s="32">
        <v>5</v>
      </c>
      <c r="S260" s="86" t="s">
        <v>219</v>
      </c>
      <c r="T260" s="87"/>
      <c r="U260" s="87"/>
      <c r="V260" s="87"/>
      <c r="W260" s="6" t="s">
        <v>526</v>
      </c>
      <c r="Y260" s="87"/>
      <c r="Z260" s="87"/>
      <c r="AA260" s="87"/>
      <c r="AB260" s="87"/>
      <c r="AC260" s="87"/>
      <c r="AD260" s="87"/>
      <c r="AE260" s="87"/>
      <c r="AF260" s="87"/>
      <c r="AG260" s="87"/>
    </row>
    <row r="261" spans="17:33" ht="22" customHeight="1" x14ac:dyDescent="0.2">
      <c r="Q261" s="44"/>
      <c r="R261" s="32">
        <v>1</v>
      </c>
      <c r="S261" s="86" t="s">
        <v>608</v>
      </c>
      <c r="T261" s="87"/>
      <c r="U261" s="87"/>
      <c r="V261" s="87"/>
      <c r="W261" s="6" t="s">
        <v>447</v>
      </c>
    </row>
    <row r="262" spans="17:33" x14ac:dyDescent="0.2">
      <c r="Y262" s="89" t="s">
        <v>450</v>
      </c>
      <c r="Z262" s="87"/>
      <c r="AA262" s="87"/>
      <c r="AB262" s="87"/>
      <c r="AC262" s="87"/>
      <c r="AD262" s="87"/>
      <c r="AE262" s="87"/>
      <c r="AF262" s="87"/>
      <c r="AG262" s="87"/>
    </row>
    <row r="263" spans="17:33" x14ac:dyDescent="0.2">
      <c r="Y263" s="86" t="s">
        <v>609</v>
      </c>
      <c r="Z263" s="87"/>
      <c r="AA263" s="87"/>
      <c r="AB263" s="87"/>
      <c r="AC263" s="87"/>
      <c r="AD263" s="87"/>
      <c r="AE263" s="87"/>
      <c r="AF263" s="87"/>
      <c r="AG263" s="87"/>
    </row>
    <row r="264" spans="17:33" x14ac:dyDescent="0.2">
      <c r="Y264" s="87"/>
      <c r="Z264" s="87"/>
      <c r="AA264" s="87"/>
      <c r="AB264" s="87"/>
      <c r="AC264" s="87"/>
      <c r="AD264" s="87"/>
      <c r="AE264" s="87"/>
      <c r="AF264" s="87"/>
      <c r="AG264" s="87"/>
    </row>
    <row r="265" spans="17:33" x14ac:dyDescent="0.2">
      <c r="Y265" s="87"/>
      <c r="Z265" s="87"/>
      <c r="AA265" s="87"/>
      <c r="AB265" s="87"/>
      <c r="AC265" s="87"/>
      <c r="AD265" s="87"/>
      <c r="AE265" s="87"/>
      <c r="AF265" s="87"/>
      <c r="AG265" s="87"/>
    </row>
    <row r="266" spans="17:33" x14ac:dyDescent="0.2">
      <c r="Y266" s="87"/>
      <c r="Z266" s="87"/>
      <c r="AA266" s="87"/>
      <c r="AB266" s="87"/>
      <c r="AC266" s="87"/>
      <c r="AD266" s="87"/>
      <c r="AE266" s="87"/>
      <c r="AF266" s="87"/>
      <c r="AG266" s="87"/>
    </row>
    <row r="268" spans="17:33" x14ac:dyDescent="0.2">
      <c r="Y268" s="89" t="s">
        <v>452</v>
      </c>
      <c r="Z268" s="87"/>
      <c r="AA268" s="87"/>
      <c r="AB268" s="87"/>
      <c r="AC268" s="87"/>
      <c r="AD268" s="87"/>
      <c r="AE268" s="87"/>
      <c r="AF268" s="87"/>
      <c r="AG268" s="87"/>
    </row>
    <row r="269" spans="17:33" x14ac:dyDescent="0.2">
      <c r="Y269" s="86" t="s">
        <v>610</v>
      </c>
      <c r="Z269" s="87"/>
      <c r="AA269" s="87"/>
      <c r="AB269" s="87"/>
      <c r="AC269" s="87"/>
      <c r="AD269" s="87"/>
      <c r="AE269" s="87"/>
      <c r="AF269" s="87"/>
      <c r="AG269" s="87"/>
    </row>
    <row r="270" spans="17:33" x14ac:dyDescent="0.2">
      <c r="Y270" s="87"/>
      <c r="Z270" s="87"/>
      <c r="AA270" s="87"/>
      <c r="AB270" s="87"/>
      <c r="AC270" s="87"/>
      <c r="AD270" s="87"/>
      <c r="AE270" s="87"/>
      <c r="AF270" s="87"/>
      <c r="AG270" s="87"/>
    </row>
    <row r="271" spans="17:33" x14ac:dyDescent="0.2">
      <c r="Y271" s="87"/>
      <c r="Z271" s="87"/>
      <c r="AA271" s="87"/>
      <c r="AB271" s="87"/>
      <c r="AC271" s="87"/>
      <c r="AD271" s="87"/>
      <c r="AE271" s="87"/>
      <c r="AF271" s="87"/>
      <c r="AG271" s="87"/>
    </row>
    <row r="272" spans="17:33" x14ac:dyDescent="0.2">
      <c r="Y272" s="87"/>
      <c r="Z272" s="87"/>
      <c r="AA272" s="87"/>
      <c r="AB272" s="87"/>
      <c r="AC272" s="87"/>
      <c r="AD272" s="87"/>
      <c r="AE272" s="87"/>
      <c r="AF272" s="87"/>
      <c r="AG272" s="87"/>
    </row>
    <row r="274" spans="25:33" x14ac:dyDescent="0.2">
      <c r="Y274" s="89" t="s">
        <v>454</v>
      </c>
      <c r="Z274" s="87"/>
      <c r="AA274" s="87"/>
      <c r="AB274" s="87"/>
      <c r="AC274" s="87"/>
      <c r="AD274" s="87"/>
      <c r="AE274" s="87"/>
      <c r="AF274" s="87"/>
      <c r="AG274" s="87"/>
    </row>
    <row r="275" spans="25:33" x14ac:dyDescent="0.2">
      <c r="Y275" s="86" t="s">
        <v>611</v>
      </c>
      <c r="Z275" s="87"/>
      <c r="AA275" s="87"/>
      <c r="AB275" s="87"/>
      <c r="AC275" s="87"/>
      <c r="AD275" s="87"/>
      <c r="AE275" s="87"/>
      <c r="AF275" s="87"/>
      <c r="AG275" s="87"/>
    </row>
    <row r="276" spans="25:33" x14ac:dyDescent="0.2">
      <c r="Y276" s="87"/>
      <c r="Z276" s="87"/>
      <c r="AA276" s="87"/>
      <c r="AB276" s="87"/>
      <c r="AC276" s="87"/>
      <c r="AD276" s="87"/>
      <c r="AE276" s="87"/>
      <c r="AF276" s="87"/>
      <c r="AG276" s="87"/>
    </row>
    <row r="277" spans="25:33" x14ac:dyDescent="0.2">
      <c r="Y277" s="87"/>
      <c r="Z277" s="87"/>
      <c r="AA277" s="87"/>
      <c r="AB277" s="87"/>
      <c r="AC277" s="87"/>
      <c r="AD277" s="87"/>
      <c r="AE277" s="87"/>
      <c r="AF277" s="87"/>
      <c r="AG277" s="87"/>
    </row>
    <row r="278" spans="25:33" x14ac:dyDescent="0.2">
      <c r="Y278" s="87"/>
      <c r="Z278" s="87"/>
      <c r="AA278" s="87"/>
      <c r="AB278" s="87"/>
      <c r="AC278" s="87"/>
      <c r="AD278" s="87"/>
      <c r="AE278" s="87"/>
      <c r="AF278" s="87"/>
      <c r="AG278" s="87"/>
    </row>
    <row r="290" spans="17:33" ht="16" customHeight="1" x14ac:dyDescent="0.2">
      <c r="Q290" s="88" t="s">
        <v>456</v>
      </c>
      <c r="R290" s="87"/>
      <c r="S290" s="87"/>
      <c r="T290" s="87"/>
      <c r="U290" s="87"/>
      <c r="V290" s="87"/>
      <c r="W290" s="87"/>
      <c r="Y290" s="88" t="s">
        <v>442</v>
      </c>
      <c r="Z290" s="87"/>
      <c r="AA290" s="87"/>
      <c r="AB290" s="87"/>
      <c r="AC290" s="87"/>
      <c r="AD290" s="87"/>
      <c r="AE290" s="87"/>
      <c r="AF290" s="87"/>
      <c r="AG290" s="87"/>
    </row>
    <row r="291" spans="17:33" x14ac:dyDescent="0.2">
      <c r="Q291" s="30"/>
      <c r="R291" s="30" t="s">
        <v>443</v>
      </c>
      <c r="S291" s="30" t="s">
        <v>444</v>
      </c>
      <c r="W291" s="30" t="s">
        <v>445</v>
      </c>
    </row>
    <row r="292" spans="17:33" ht="22" customHeight="1" x14ac:dyDescent="0.2">
      <c r="Q292" s="31"/>
      <c r="R292" s="32">
        <v>1</v>
      </c>
      <c r="S292" s="86" t="s">
        <v>8</v>
      </c>
      <c r="T292" s="87"/>
      <c r="U292" s="87"/>
      <c r="V292" s="87"/>
      <c r="W292" s="6" t="s">
        <v>612</v>
      </c>
      <c r="Y292" s="89" t="s">
        <v>448</v>
      </c>
      <c r="Z292" s="87"/>
      <c r="AA292" s="87"/>
      <c r="AB292" s="87"/>
      <c r="AC292" s="87"/>
      <c r="AD292" s="87"/>
      <c r="AE292" s="87"/>
      <c r="AF292" s="87"/>
      <c r="AG292" s="87"/>
    </row>
    <row r="293" spans="17:33" ht="22" customHeight="1" x14ac:dyDescent="0.2">
      <c r="Q293" s="33"/>
      <c r="R293" s="32">
        <v>2</v>
      </c>
      <c r="S293" s="86" t="s">
        <v>25</v>
      </c>
      <c r="T293" s="87"/>
      <c r="U293" s="87"/>
      <c r="V293" s="87"/>
      <c r="W293" s="6" t="s">
        <v>613</v>
      </c>
      <c r="Y293" s="86" t="s">
        <v>614</v>
      </c>
      <c r="Z293" s="87"/>
      <c r="AA293" s="87"/>
      <c r="AB293" s="87"/>
      <c r="AC293" s="87"/>
      <c r="AD293" s="87"/>
      <c r="AE293" s="87"/>
      <c r="AF293" s="87"/>
      <c r="AG293" s="87"/>
    </row>
    <row r="294" spans="17:33" ht="22" customHeight="1" x14ac:dyDescent="0.2">
      <c r="Q294" s="34"/>
      <c r="R294" s="32">
        <v>3</v>
      </c>
      <c r="S294" s="86" t="s">
        <v>245</v>
      </c>
      <c r="T294" s="87"/>
      <c r="U294" s="87"/>
      <c r="V294" s="87"/>
      <c r="W294" s="6" t="s">
        <v>615</v>
      </c>
      <c r="Y294" s="87"/>
      <c r="Z294" s="87"/>
      <c r="AA294" s="87"/>
      <c r="AB294" s="87"/>
      <c r="AC294" s="87"/>
      <c r="AD294" s="87"/>
      <c r="AE294" s="87"/>
      <c r="AF294" s="87"/>
      <c r="AG294" s="87"/>
    </row>
    <row r="295" spans="17:33" ht="22" customHeight="1" x14ac:dyDescent="0.2">
      <c r="Q295" s="35"/>
      <c r="R295" s="32">
        <v>4</v>
      </c>
      <c r="S295" s="86" t="s">
        <v>251</v>
      </c>
      <c r="T295" s="87"/>
      <c r="U295" s="87"/>
      <c r="V295" s="87"/>
      <c r="W295" s="6" t="s">
        <v>616</v>
      </c>
      <c r="Y295" s="87"/>
      <c r="Z295" s="87"/>
      <c r="AA295" s="87"/>
      <c r="AB295" s="87"/>
      <c r="AC295" s="87"/>
      <c r="AD295" s="87"/>
      <c r="AE295" s="87"/>
      <c r="AF295" s="87"/>
      <c r="AG295" s="87"/>
    </row>
    <row r="296" spans="17:33" ht="22" customHeight="1" x14ac:dyDescent="0.2">
      <c r="Q296" s="36"/>
      <c r="R296" s="32">
        <v>5</v>
      </c>
      <c r="S296" s="86" t="s">
        <v>62</v>
      </c>
      <c r="T296" s="87"/>
      <c r="U296" s="87"/>
      <c r="V296" s="87"/>
      <c r="W296" s="6" t="s">
        <v>617</v>
      </c>
      <c r="Y296" s="87"/>
      <c r="Z296" s="87"/>
      <c r="AA296" s="87"/>
      <c r="AB296" s="87"/>
      <c r="AC296" s="87"/>
      <c r="AD296" s="87"/>
      <c r="AE296" s="87"/>
      <c r="AF296" s="87"/>
      <c r="AG296" s="87"/>
    </row>
    <row r="297" spans="17:33" ht="22" customHeight="1" x14ac:dyDescent="0.2">
      <c r="Q297" s="37"/>
      <c r="R297" s="32">
        <v>6</v>
      </c>
      <c r="S297" s="86" t="s">
        <v>14</v>
      </c>
      <c r="T297" s="87"/>
      <c r="U297" s="87"/>
      <c r="V297" s="87"/>
      <c r="W297" s="6" t="s">
        <v>617</v>
      </c>
    </row>
    <row r="298" spans="17:33" ht="22" customHeight="1" x14ac:dyDescent="0.2">
      <c r="Q298" s="38"/>
      <c r="R298" s="32">
        <v>7</v>
      </c>
      <c r="S298" s="86" t="s">
        <v>116</v>
      </c>
      <c r="T298" s="87"/>
      <c r="U298" s="87"/>
      <c r="V298" s="87"/>
      <c r="W298" s="6" t="s">
        <v>617</v>
      </c>
      <c r="Y298" s="89" t="s">
        <v>450</v>
      </c>
      <c r="Z298" s="87"/>
      <c r="AA298" s="87"/>
      <c r="AB298" s="87"/>
      <c r="AC298" s="87"/>
      <c r="AD298" s="87"/>
      <c r="AE298" s="87"/>
      <c r="AF298" s="87"/>
      <c r="AG298" s="87"/>
    </row>
    <row r="299" spans="17:33" ht="22" customHeight="1" x14ac:dyDescent="0.2">
      <c r="Q299" s="39"/>
      <c r="R299" s="32">
        <v>8</v>
      </c>
      <c r="S299" s="86" t="s">
        <v>129</v>
      </c>
      <c r="T299" s="87"/>
      <c r="U299" s="87"/>
      <c r="V299" s="87"/>
      <c r="W299" s="6" t="s">
        <v>618</v>
      </c>
      <c r="Y299" s="86" t="s">
        <v>619</v>
      </c>
      <c r="Z299" s="87"/>
      <c r="AA299" s="87"/>
      <c r="AB299" s="87"/>
      <c r="AC299" s="87"/>
      <c r="AD299" s="87"/>
      <c r="AE299" s="87"/>
      <c r="AF299" s="87"/>
      <c r="AG299" s="87"/>
    </row>
    <row r="300" spans="17:33" ht="22" customHeight="1" x14ac:dyDescent="0.2">
      <c r="Q300" s="40"/>
      <c r="R300" s="32">
        <v>9</v>
      </c>
      <c r="S300" s="86" t="s">
        <v>265</v>
      </c>
      <c r="T300" s="87"/>
      <c r="U300" s="87"/>
      <c r="V300" s="87"/>
      <c r="W300" s="6" t="s">
        <v>618</v>
      </c>
      <c r="Y300" s="87"/>
      <c r="Z300" s="87"/>
      <c r="AA300" s="87"/>
      <c r="AB300" s="87"/>
      <c r="AC300" s="87"/>
      <c r="AD300" s="87"/>
      <c r="AE300" s="87"/>
      <c r="AF300" s="87"/>
      <c r="AG300" s="87"/>
    </row>
    <row r="301" spans="17:33" ht="22" customHeight="1" x14ac:dyDescent="0.2">
      <c r="Q301" s="41"/>
      <c r="R301" s="32">
        <v>10</v>
      </c>
      <c r="S301" s="86" t="s">
        <v>281</v>
      </c>
      <c r="T301" s="87"/>
      <c r="U301" s="87"/>
      <c r="V301" s="87"/>
      <c r="W301" s="6" t="s">
        <v>620</v>
      </c>
      <c r="Y301" s="87"/>
      <c r="Z301" s="87"/>
      <c r="AA301" s="87"/>
      <c r="AB301" s="87"/>
      <c r="AC301" s="87"/>
      <c r="AD301" s="87"/>
      <c r="AE301" s="87"/>
      <c r="AF301" s="87"/>
      <c r="AG301" s="87"/>
    </row>
    <row r="302" spans="17:33" ht="22" customHeight="1" x14ac:dyDescent="0.2">
      <c r="Q302" s="42"/>
      <c r="R302" s="32">
        <v>11</v>
      </c>
      <c r="S302" s="86" t="s">
        <v>89</v>
      </c>
      <c r="T302" s="87"/>
      <c r="U302" s="87"/>
      <c r="V302" s="87"/>
      <c r="W302" s="6" t="s">
        <v>620</v>
      </c>
      <c r="Y302" s="87"/>
      <c r="Z302" s="87"/>
      <c r="AA302" s="87"/>
      <c r="AB302" s="87"/>
      <c r="AC302" s="87"/>
      <c r="AD302" s="87"/>
      <c r="AE302" s="87"/>
      <c r="AF302" s="87"/>
      <c r="AG302" s="87"/>
    </row>
    <row r="303" spans="17:33" ht="22" customHeight="1" x14ac:dyDescent="0.2">
      <c r="Q303" s="43"/>
      <c r="R303" s="32">
        <v>12</v>
      </c>
      <c r="S303" s="86" t="s">
        <v>377</v>
      </c>
      <c r="T303" s="87"/>
      <c r="U303" s="87"/>
      <c r="V303" s="87"/>
      <c r="W303" s="6" t="s">
        <v>620</v>
      </c>
    </row>
    <row r="304" spans="17:33" ht="22" customHeight="1" x14ac:dyDescent="0.2">
      <c r="Q304" s="31"/>
      <c r="R304" s="32">
        <v>13</v>
      </c>
      <c r="S304" s="86" t="s">
        <v>259</v>
      </c>
      <c r="T304" s="87"/>
      <c r="U304" s="87"/>
      <c r="V304" s="87"/>
      <c r="W304" s="6" t="s">
        <v>621</v>
      </c>
      <c r="Y304" s="89" t="s">
        <v>452</v>
      </c>
      <c r="Z304" s="87"/>
      <c r="AA304" s="87"/>
      <c r="AB304" s="87"/>
      <c r="AC304" s="87"/>
      <c r="AD304" s="87"/>
      <c r="AE304" s="87"/>
      <c r="AF304" s="87"/>
      <c r="AG304" s="87"/>
    </row>
    <row r="305" spans="17:33" ht="22" customHeight="1" x14ac:dyDescent="0.2">
      <c r="Q305" s="33"/>
      <c r="R305" s="32">
        <v>14</v>
      </c>
      <c r="S305" s="86" t="s">
        <v>137</v>
      </c>
      <c r="T305" s="87"/>
      <c r="U305" s="87"/>
      <c r="V305" s="87"/>
      <c r="W305" s="6" t="s">
        <v>621</v>
      </c>
      <c r="Y305" s="86" t="s">
        <v>622</v>
      </c>
      <c r="Z305" s="87"/>
      <c r="AA305" s="87"/>
      <c r="AB305" s="87"/>
      <c r="AC305" s="87"/>
      <c r="AD305" s="87"/>
      <c r="AE305" s="87"/>
      <c r="AF305" s="87"/>
      <c r="AG305" s="87"/>
    </row>
    <row r="306" spans="17:33" ht="22" customHeight="1" x14ac:dyDescent="0.2">
      <c r="Q306" s="34"/>
      <c r="R306" s="32">
        <v>15</v>
      </c>
      <c r="S306" s="86" t="s">
        <v>390</v>
      </c>
      <c r="T306" s="87"/>
      <c r="U306" s="87"/>
      <c r="V306" s="87"/>
      <c r="W306" s="6" t="s">
        <v>621</v>
      </c>
      <c r="Y306" s="87"/>
      <c r="Z306" s="87"/>
      <c r="AA306" s="87"/>
      <c r="AB306" s="87"/>
      <c r="AC306" s="87"/>
      <c r="AD306" s="87"/>
      <c r="AE306" s="87"/>
      <c r="AF306" s="87"/>
      <c r="AG306" s="87"/>
    </row>
    <row r="307" spans="17:33" ht="22" customHeight="1" x14ac:dyDescent="0.2">
      <c r="Q307" s="35"/>
      <c r="R307" s="32">
        <v>16</v>
      </c>
      <c r="S307" s="86" t="s">
        <v>178</v>
      </c>
      <c r="T307" s="87"/>
      <c r="U307" s="87"/>
      <c r="V307" s="87"/>
      <c r="W307" s="6" t="s">
        <v>621</v>
      </c>
      <c r="Y307" s="87"/>
      <c r="Z307" s="87"/>
      <c r="AA307" s="87"/>
      <c r="AB307" s="87"/>
      <c r="AC307" s="87"/>
      <c r="AD307" s="87"/>
      <c r="AE307" s="87"/>
      <c r="AF307" s="87"/>
      <c r="AG307" s="87"/>
    </row>
    <row r="308" spans="17:33" ht="22" customHeight="1" x14ac:dyDescent="0.2">
      <c r="Q308" s="36"/>
      <c r="R308" s="32">
        <v>17</v>
      </c>
      <c r="S308" s="86" t="s">
        <v>262</v>
      </c>
      <c r="T308" s="87"/>
      <c r="U308" s="87"/>
      <c r="V308" s="87"/>
      <c r="W308" s="6" t="s">
        <v>623</v>
      </c>
      <c r="Y308" s="87"/>
      <c r="Z308" s="87"/>
      <c r="AA308" s="87"/>
      <c r="AB308" s="87"/>
      <c r="AC308" s="87"/>
      <c r="AD308" s="87"/>
      <c r="AE308" s="87"/>
      <c r="AF308" s="87"/>
      <c r="AG308" s="87"/>
    </row>
    <row r="309" spans="17:33" ht="22" customHeight="1" x14ac:dyDescent="0.2">
      <c r="Q309" s="37"/>
      <c r="R309" s="32">
        <v>18</v>
      </c>
      <c r="S309" s="86" t="s">
        <v>48</v>
      </c>
      <c r="T309" s="87"/>
      <c r="U309" s="87"/>
      <c r="V309" s="87"/>
      <c r="W309" s="6" t="s">
        <v>623</v>
      </c>
    </row>
    <row r="310" spans="17:33" ht="22" customHeight="1" x14ac:dyDescent="0.2">
      <c r="Q310" s="38"/>
      <c r="R310" s="32">
        <v>19</v>
      </c>
      <c r="S310" s="86" t="s">
        <v>29</v>
      </c>
      <c r="T310" s="87"/>
      <c r="U310" s="87"/>
      <c r="V310" s="87"/>
      <c r="W310" s="6" t="s">
        <v>623</v>
      </c>
    </row>
    <row r="311" spans="17:33" ht="22" customHeight="1" x14ac:dyDescent="0.2">
      <c r="Q311" s="39"/>
      <c r="R311" s="32">
        <v>20</v>
      </c>
      <c r="S311" s="86" t="s">
        <v>328</v>
      </c>
      <c r="T311" s="87"/>
      <c r="U311" s="87"/>
      <c r="V311" s="87"/>
      <c r="W311" s="6" t="s">
        <v>623</v>
      </c>
    </row>
    <row r="312" spans="17:33" ht="22" customHeight="1" x14ac:dyDescent="0.2">
      <c r="Q312" s="40"/>
      <c r="R312" s="32">
        <v>21</v>
      </c>
      <c r="S312" s="86" t="s">
        <v>146</v>
      </c>
      <c r="T312" s="87"/>
      <c r="U312" s="87"/>
      <c r="V312" s="87"/>
      <c r="W312" s="6" t="s">
        <v>623</v>
      </c>
    </row>
    <row r="313" spans="17:33" ht="22" customHeight="1" x14ac:dyDescent="0.2">
      <c r="Q313" s="41"/>
      <c r="R313" s="32">
        <v>22</v>
      </c>
      <c r="S313" s="86" t="s">
        <v>223</v>
      </c>
      <c r="T313" s="87"/>
      <c r="U313" s="87"/>
      <c r="V313" s="87"/>
      <c r="W313" s="6" t="s">
        <v>623</v>
      </c>
    </row>
    <row r="314" spans="17:33" ht="22" customHeight="1" x14ac:dyDescent="0.2">
      <c r="Q314" s="42"/>
      <c r="R314" s="32">
        <v>23</v>
      </c>
      <c r="S314" s="86" t="s">
        <v>124</v>
      </c>
      <c r="T314" s="87"/>
      <c r="U314" s="87"/>
      <c r="V314" s="87"/>
      <c r="W314" s="6" t="s">
        <v>623</v>
      </c>
    </row>
    <row r="315" spans="17:33" ht="22" customHeight="1" x14ac:dyDescent="0.2">
      <c r="Q315" s="43"/>
      <c r="R315" s="32">
        <v>24</v>
      </c>
      <c r="S315" s="86" t="s">
        <v>70</v>
      </c>
      <c r="T315" s="87"/>
      <c r="U315" s="87"/>
      <c r="V315" s="87"/>
      <c r="W315" s="6" t="s">
        <v>623</v>
      </c>
    </row>
    <row r="316" spans="17:33" ht="22" customHeight="1" x14ac:dyDescent="0.2">
      <c r="Q316" s="31"/>
      <c r="R316" s="32">
        <v>25</v>
      </c>
      <c r="S316" s="86" t="s">
        <v>39</v>
      </c>
      <c r="T316" s="87"/>
      <c r="U316" s="87"/>
      <c r="V316" s="87"/>
      <c r="W316" s="6" t="s">
        <v>623</v>
      </c>
    </row>
    <row r="317" spans="17:33" ht="22" customHeight="1" x14ac:dyDescent="0.2">
      <c r="Q317" s="33"/>
      <c r="R317" s="32">
        <v>26</v>
      </c>
      <c r="S317" s="86" t="s">
        <v>254</v>
      </c>
      <c r="T317" s="87"/>
      <c r="U317" s="87"/>
      <c r="V317" s="87"/>
      <c r="W317" s="6" t="s">
        <v>623</v>
      </c>
    </row>
    <row r="318" spans="17:33" ht="22" customHeight="1" x14ac:dyDescent="0.2">
      <c r="Q318" s="34"/>
      <c r="R318" s="32">
        <v>27</v>
      </c>
      <c r="S318" s="86" t="s">
        <v>276</v>
      </c>
      <c r="T318" s="87"/>
      <c r="U318" s="87"/>
      <c r="V318" s="87"/>
      <c r="W318" s="6" t="s">
        <v>623</v>
      </c>
    </row>
    <row r="319" spans="17:33" ht="22" customHeight="1" x14ac:dyDescent="0.2">
      <c r="Q319" s="35"/>
      <c r="R319" s="32">
        <v>28</v>
      </c>
      <c r="S319" s="86" t="s">
        <v>387</v>
      </c>
      <c r="T319" s="87"/>
      <c r="U319" s="87"/>
      <c r="V319" s="87"/>
      <c r="W319" s="6" t="s">
        <v>623</v>
      </c>
    </row>
    <row r="320" spans="17:33" ht="22" customHeight="1" x14ac:dyDescent="0.2">
      <c r="Q320" s="36"/>
      <c r="R320" s="32">
        <v>29</v>
      </c>
      <c r="S320" s="86" t="s">
        <v>237</v>
      </c>
      <c r="T320" s="87"/>
      <c r="U320" s="87"/>
      <c r="V320" s="87"/>
      <c r="W320" s="6" t="s">
        <v>623</v>
      </c>
    </row>
    <row r="321" spans="17:23" ht="22" customHeight="1" x14ac:dyDescent="0.2">
      <c r="Q321" s="37"/>
      <c r="R321" s="32">
        <v>30</v>
      </c>
      <c r="S321" s="86" t="s">
        <v>241</v>
      </c>
      <c r="T321" s="87"/>
      <c r="U321" s="87"/>
      <c r="V321" s="87"/>
      <c r="W321" s="6" t="s">
        <v>623</v>
      </c>
    </row>
    <row r="322" spans="17:23" ht="22" customHeight="1" x14ac:dyDescent="0.2">
      <c r="Q322" s="38"/>
      <c r="R322" s="32">
        <v>31</v>
      </c>
      <c r="S322" s="86" t="s">
        <v>212</v>
      </c>
      <c r="T322" s="87"/>
      <c r="U322" s="87"/>
      <c r="V322" s="87"/>
      <c r="W322" s="6" t="s">
        <v>623</v>
      </c>
    </row>
    <row r="323" spans="17:23" ht="22" customHeight="1" x14ac:dyDescent="0.2">
      <c r="Q323" s="39"/>
      <c r="R323" s="32">
        <v>32</v>
      </c>
      <c r="S323" s="86" t="s">
        <v>52</v>
      </c>
      <c r="T323" s="87"/>
      <c r="U323" s="87"/>
      <c r="V323" s="87"/>
      <c r="W323" s="6" t="s">
        <v>623</v>
      </c>
    </row>
    <row r="324" spans="17:23" ht="22" customHeight="1" x14ac:dyDescent="0.2">
      <c r="Q324" s="40"/>
      <c r="R324" s="32">
        <v>33</v>
      </c>
      <c r="S324" s="86" t="s">
        <v>353</v>
      </c>
      <c r="T324" s="87"/>
      <c r="U324" s="87"/>
      <c r="V324" s="87"/>
      <c r="W324" s="6" t="s">
        <v>624</v>
      </c>
    </row>
    <row r="325" spans="17:23" ht="22" customHeight="1" x14ac:dyDescent="0.2">
      <c r="Q325" s="41"/>
      <c r="R325" s="32">
        <v>34</v>
      </c>
      <c r="S325" s="86" t="s">
        <v>21</v>
      </c>
      <c r="T325" s="87"/>
      <c r="U325" s="87"/>
      <c r="V325" s="87"/>
      <c r="W325" s="6" t="s">
        <v>624</v>
      </c>
    </row>
    <row r="326" spans="17:23" ht="22" customHeight="1" x14ac:dyDescent="0.2">
      <c r="Q326" s="42"/>
      <c r="R326" s="32">
        <v>35</v>
      </c>
      <c r="S326" s="86" t="s">
        <v>209</v>
      </c>
      <c r="T326" s="87"/>
      <c r="U326" s="87"/>
      <c r="V326" s="87"/>
      <c r="W326" s="6" t="s">
        <v>624</v>
      </c>
    </row>
    <row r="327" spans="17:23" ht="22" customHeight="1" x14ac:dyDescent="0.2">
      <c r="Q327" s="43"/>
      <c r="R327" s="32">
        <v>36</v>
      </c>
      <c r="S327" s="86" t="s">
        <v>132</v>
      </c>
      <c r="T327" s="87"/>
      <c r="U327" s="87"/>
      <c r="V327" s="87"/>
      <c r="W327" s="6" t="s">
        <v>624</v>
      </c>
    </row>
    <row r="328" spans="17:23" ht="22" customHeight="1" x14ac:dyDescent="0.2">
      <c r="Q328" s="31"/>
      <c r="R328" s="32">
        <v>37</v>
      </c>
      <c r="S328" s="86" t="s">
        <v>45</v>
      </c>
      <c r="T328" s="87"/>
      <c r="U328" s="87"/>
      <c r="V328" s="87"/>
      <c r="W328" s="6" t="s">
        <v>624</v>
      </c>
    </row>
    <row r="329" spans="17:23" ht="22" customHeight="1" x14ac:dyDescent="0.2">
      <c r="Q329" s="33"/>
      <c r="R329" s="32">
        <v>38</v>
      </c>
      <c r="S329" s="86" t="s">
        <v>194</v>
      </c>
      <c r="T329" s="87"/>
      <c r="U329" s="87"/>
      <c r="V329" s="87"/>
      <c r="W329" s="6" t="s">
        <v>624</v>
      </c>
    </row>
    <row r="330" spans="17:23" ht="22" customHeight="1" x14ac:dyDescent="0.2">
      <c r="Q330" s="34"/>
      <c r="R330" s="32">
        <v>39</v>
      </c>
      <c r="S330" s="86" t="s">
        <v>316</v>
      </c>
      <c r="T330" s="87"/>
      <c r="U330" s="87"/>
      <c r="V330" s="87"/>
      <c r="W330" s="6" t="s">
        <v>624</v>
      </c>
    </row>
    <row r="331" spans="17:23" ht="22" customHeight="1" x14ac:dyDescent="0.2">
      <c r="Q331" s="35"/>
      <c r="R331" s="32">
        <v>40</v>
      </c>
      <c r="S331" s="86" t="s">
        <v>170</v>
      </c>
      <c r="T331" s="87"/>
      <c r="U331" s="87"/>
      <c r="V331" s="87"/>
      <c r="W331" s="6" t="s">
        <v>624</v>
      </c>
    </row>
    <row r="332" spans="17:23" ht="22" customHeight="1" x14ac:dyDescent="0.2">
      <c r="Q332" s="36"/>
      <c r="R332" s="32">
        <v>41</v>
      </c>
      <c r="S332" s="86" t="s">
        <v>350</v>
      </c>
      <c r="T332" s="87"/>
      <c r="U332" s="87"/>
      <c r="V332" s="87"/>
      <c r="W332" s="6" t="s">
        <v>624</v>
      </c>
    </row>
    <row r="333" spans="17:23" ht="22" customHeight="1" x14ac:dyDescent="0.2">
      <c r="Q333" s="37"/>
      <c r="R333" s="32">
        <v>42</v>
      </c>
      <c r="S333" s="86" t="s">
        <v>198</v>
      </c>
      <c r="T333" s="87"/>
      <c r="U333" s="87"/>
      <c r="V333" s="87"/>
      <c r="W333" s="6" t="s">
        <v>624</v>
      </c>
    </row>
    <row r="334" spans="17:23" ht="22" customHeight="1" x14ac:dyDescent="0.2">
      <c r="Q334" s="38"/>
      <c r="R334" s="32">
        <v>43</v>
      </c>
      <c r="S334" s="86" t="s">
        <v>384</v>
      </c>
      <c r="T334" s="87"/>
      <c r="U334" s="87"/>
      <c r="V334" s="87"/>
      <c r="W334" s="6" t="s">
        <v>624</v>
      </c>
    </row>
    <row r="335" spans="17:23" ht="22" customHeight="1" x14ac:dyDescent="0.2">
      <c r="Q335" s="39"/>
      <c r="R335" s="32">
        <v>44</v>
      </c>
      <c r="S335" s="86" t="s">
        <v>163</v>
      </c>
      <c r="T335" s="87"/>
      <c r="U335" s="87"/>
      <c r="V335" s="87"/>
      <c r="W335" s="6" t="s">
        <v>624</v>
      </c>
    </row>
    <row r="336" spans="17:23" ht="22" customHeight="1" x14ac:dyDescent="0.2">
      <c r="Q336" s="40"/>
      <c r="R336" s="32">
        <v>45</v>
      </c>
      <c r="S336" s="86" t="s">
        <v>306</v>
      </c>
      <c r="T336" s="87"/>
      <c r="U336" s="87"/>
      <c r="V336" s="87"/>
      <c r="W336" s="6" t="s">
        <v>624</v>
      </c>
    </row>
    <row r="337" spans="17:23" ht="22" customHeight="1" x14ac:dyDescent="0.2">
      <c r="Q337" s="41"/>
      <c r="R337" s="32">
        <v>46</v>
      </c>
      <c r="S337" s="86" t="s">
        <v>35</v>
      </c>
      <c r="T337" s="87"/>
      <c r="U337" s="87"/>
      <c r="V337" s="87"/>
      <c r="W337" s="6" t="s">
        <v>624</v>
      </c>
    </row>
    <row r="338" spans="17:23" ht="22" customHeight="1" x14ac:dyDescent="0.2">
      <c r="Q338" s="42"/>
      <c r="R338" s="32">
        <v>47</v>
      </c>
      <c r="S338" s="86" t="s">
        <v>66</v>
      </c>
      <c r="T338" s="87"/>
      <c r="U338" s="87"/>
      <c r="V338" s="87"/>
      <c r="W338" s="6" t="s">
        <v>624</v>
      </c>
    </row>
    <row r="339" spans="17:23" ht="22" customHeight="1" x14ac:dyDescent="0.2">
      <c r="Q339" s="43"/>
      <c r="R339" s="32">
        <v>48</v>
      </c>
      <c r="S339" s="86" t="s">
        <v>344</v>
      </c>
      <c r="T339" s="87"/>
      <c r="U339" s="87"/>
      <c r="V339" s="87"/>
      <c r="W339" s="6" t="s">
        <v>624</v>
      </c>
    </row>
    <row r="340" spans="17:23" ht="22" customHeight="1" x14ac:dyDescent="0.2">
      <c r="Q340" s="31"/>
      <c r="R340" s="32">
        <v>49</v>
      </c>
      <c r="S340" s="86" t="s">
        <v>319</v>
      </c>
      <c r="T340" s="87"/>
      <c r="U340" s="87"/>
      <c r="V340" s="87"/>
      <c r="W340" s="6" t="s">
        <v>624</v>
      </c>
    </row>
    <row r="341" spans="17:23" ht="22" customHeight="1" x14ac:dyDescent="0.2">
      <c r="Q341" s="33"/>
      <c r="R341" s="32">
        <v>50</v>
      </c>
      <c r="S341" s="86" t="s">
        <v>356</v>
      </c>
      <c r="T341" s="87"/>
      <c r="U341" s="87"/>
      <c r="V341" s="87"/>
      <c r="W341" s="6" t="s">
        <v>624</v>
      </c>
    </row>
    <row r="342" spans="17:23" ht="22" customHeight="1" x14ac:dyDescent="0.2">
      <c r="Q342" s="34"/>
      <c r="R342" s="32">
        <v>51</v>
      </c>
      <c r="S342" s="86" t="s">
        <v>228</v>
      </c>
      <c r="T342" s="87"/>
      <c r="U342" s="87"/>
      <c r="V342" s="87"/>
      <c r="W342" s="6" t="s">
        <v>624</v>
      </c>
    </row>
    <row r="343" spans="17:23" ht="22" customHeight="1" x14ac:dyDescent="0.2">
      <c r="Q343" s="35"/>
      <c r="R343" s="32">
        <v>52</v>
      </c>
      <c r="S343" s="86" t="s">
        <v>334</v>
      </c>
      <c r="T343" s="87"/>
      <c r="U343" s="87"/>
      <c r="V343" s="87"/>
      <c r="W343" s="6" t="s">
        <v>624</v>
      </c>
    </row>
    <row r="344" spans="17:23" ht="22" customHeight="1" x14ac:dyDescent="0.2">
      <c r="Q344" s="36"/>
      <c r="R344" s="32">
        <v>53</v>
      </c>
      <c r="S344" s="86" t="s">
        <v>234</v>
      </c>
      <c r="T344" s="87"/>
      <c r="U344" s="87"/>
      <c r="V344" s="87"/>
      <c r="W344" s="6" t="s">
        <v>624</v>
      </c>
    </row>
    <row r="345" spans="17:23" ht="22" customHeight="1" x14ac:dyDescent="0.2">
      <c r="Q345" s="37"/>
      <c r="R345" s="32">
        <v>54</v>
      </c>
      <c r="S345" s="86" t="s">
        <v>231</v>
      </c>
      <c r="T345" s="87"/>
      <c r="U345" s="87"/>
      <c r="V345" s="87"/>
      <c r="W345" s="6" t="s">
        <v>624</v>
      </c>
    </row>
    <row r="346" spans="17:23" ht="22" customHeight="1" x14ac:dyDescent="0.2">
      <c r="Q346" s="38"/>
      <c r="R346" s="32">
        <v>55</v>
      </c>
      <c r="S346" s="86" t="s">
        <v>363</v>
      </c>
      <c r="T346" s="87"/>
      <c r="U346" s="87"/>
      <c r="V346" s="87"/>
      <c r="W346" s="6" t="s">
        <v>624</v>
      </c>
    </row>
    <row r="347" spans="17:23" ht="22" customHeight="1" x14ac:dyDescent="0.2">
      <c r="Q347" s="39"/>
      <c r="R347" s="32">
        <v>56</v>
      </c>
      <c r="S347" s="86" t="s">
        <v>172</v>
      </c>
      <c r="T347" s="87"/>
      <c r="U347" s="87"/>
      <c r="V347" s="87"/>
      <c r="W347" s="6" t="s">
        <v>624</v>
      </c>
    </row>
    <row r="348" spans="17:23" ht="22" customHeight="1" x14ac:dyDescent="0.2">
      <c r="Q348" s="40"/>
      <c r="R348" s="32">
        <v>57</v>
      </c>
      <c r="S348" s="86" t="s">
        <v>121</v>
      </c>
      <c r="T348" s="87"/>
      <c r="U348" s="87"/>
      <c r="V348" s="87"/>
      <c r="W348" s="6" t="s">
        <v>624</v>
      </c>
    </row>
    <row r="349" spans="17:23" ht="22" customHeight="1" x14ac:dyDescent="0.2">
      <c r="Q349" s="41"/>
      <c r="R349" s="32">
        <v>58</v>
      </c>
      <c r="S349" s="86" t="s">
        <v>313</v>
      </c>
      <c r="T349" s="87"/>
      <c r="U349" s="87"/>
      <c r="V349" s="87"/>
      <c r="W349" s="6" t="s">
        <v>624</v>
      </c>
    </row>
    <row r="350" spans="17:23" ht="22" customHeight="1" x14ac:dyDescent="0.2">
      <c r="Q350" s="42"/>
      <c r="R350" s="32">
        <v>59</v>
      </c>
      <c r="S350" s="86" t="s">
        <v>187</v>
      </c>
      <c r="T350" s="87"/>
      <c r="U350" s="87"/>
      <c r="V350" s="87"/>
      <c r="W350" s="6" t="s">
        <v>624</v>
      </c>
    </row>
    <row r="351" spans="17:23" ht="22" customHeight="1" x14ac:dyDescent="0.2">
      <c r="Q351" s="43"/>
      <c r="R351" s="32">
        <v>60</v>
      </c>
      <c r="S351" s="86" t="s">
        <v>372</v>
      </c>
      <c r="T351" s="87"/>
      <c r="U351" s="87"/>
      <c r="V351" s="87"/>
      <c r="W351" s="6" t="s">
        <v>624</v>
      </c>
    </row>
    <row r="352" spans="17:23" ht="22" customHeight="1" x14ac:dyDescent="0.2">
      <c r="Q352" s="31"/>
      <c r="R352" s="32">
        <v>61</v>
      </c>
      <c r="S352" s="86" t="s">
        <v>86</v>
      </c>
      <c r="T352" s="87"/>
      <c r="U352" s="87"/>
      <c r="V352" s="87"/>
      <c r="W352" s="6" t="s">
        <v>624</v>
      </c>
    </row>
    <row r="353" spans="17:23" ht="22" customHeight="1" x14ac:dyDescent="0.2">
      <c r="Q353" s="33"/>
      <c r="R353" s="32">
        <v>62</v>
      </c>
      <c r="S353" s="86" t="s">
        <v>218</v>
      </c>
      <c r="T353" s="87"/>
      <c r="U353" s="87"/>
      <c r="V353" s="87"/>
      <c r="W353" s="6" t="s">
        <v>624</v>
      </c>
    </row>
    <row r="354" spans="17:23" ht="22" customHeight="1" x14ac:dyDescent="0.2">
      <c r="Q354" s="34"/>
      <c r="R354" s="32">
        <v>63</v>
      </c>
      <c r="S354" s="86" t="s">
        <v>396</v>
      </c>
      <c r="T354" s="87"/>
      <c r="U354" s="87"/>
      <c r="V354" s="87"/>
      <c r="W354" s="6" t="s">
        <v>624</v>
      </c>
    </row>
    <row r="355" spans="17:23" ht="22" customHeight="1" x14ac:dyDescent="0.2">
      <c r="Q355" s="35"/>
      <c r="R355" s="32">
        <v>64</v>
      </c>
      <c r="S355" s="86" t="s">
        <v>205</v>
      </c>
      <c r="T355" s="87"/>
      <c r="U355" s="87"/>
      <c r="V355" s="87"/>
      <c r="W355" s="6" t="s">
        <v>624</v>
      </c>
    </row>
  </sheetData>
  <mergeCells count="281">
    <mergeCell ref="Y23:AG26"/>
    <mergeCell ref="S106:V106"/>
    <mergeCell ref="Y46:AG46"/>
    <mergeCell ref="S187:V187"/>
    <mergeCell ref="Y28:AG28"/>
    <mergeCell ref="S56:V56"/>
    <mergeCell ref="Y221:AG224"/>
    <mergeCell ref="S90:V90"/>
    <mergeCell ref="S105:V105"/>
    <mergeCell ref="S174:V174"/>
    <mergeCell ref="S156:V156"/>
    <mergeCell ref="S188:V188"/>
    <mergeCell ref="S189:V189"/>
    <mergeCell ref="Y152:AG155"/>
    <mergeCell ref="S198:V198"/>
    <mergeCell ref="Y29:AG32"/>
    <mergeCell ref="S182:V182"/>
    <mergeCell ref="S82:V82"/>
    <mergeCell ref="S117:V117"/>
    <mergeCell ref="S66:V66"/>
    <mergeCell ref="S190:V190"/>
    <mergeCell ref="S224:V224"/>
    <mergeCell ref="S116:V116"/>
    <mergeCell ref="Y128:AG131"/>
    <mergeCell ref="S355:V355"/>
    <mergeCell ref="S340:V340"/>
    <mergeCell ref="Y170:AG173"/>
    <mergeCell ref="S54:V54"/>
    <mergeCell ref="Q218:W218"/>
    <mergeCell ref="Y293:AG296"/>
    <mergeCell ref="S88:V88"/>
    <mergeCell ref="S63:V63"/>
    <mergeCell ref="S197:V197"/>
    <mergeCell ref="Y149:AG149"/>
    <mergeCell ref="Y262:AG262"/>
    <mergeCell ref="S324:V324"/>
    <mergeCell ref="S330:V330"/>
    <mergeCell ref="S261:V261"/>
    <mergeCell ref="S301:V301"/>
    <mergeCell ref="S332:V332"/>
    <mergeCell ref="S341:V341"/>
    <mergeCell ref="Y254:AG254"/>
    <mergeCell ref="S316:V316"/>
    <mergeCell ref="Y238:AG238"/>
    <mergeCell ref="S300:V300"/>
    <mergeCell ref="Y268:AG268"/>
    <mergeCell ref="Y257:AG260"/>
    <mergeCell ref="Y274:AG274"/>
    <mergeCell ref="S354:V354"/>
    <mergeCell ref="S314:V314"/>
    <mergeCell ref="S53:V53"/>
    <mergeCell ref="Q44:W44"/>
    <mergeCell ref="Y157:AG157"/>
    <mergeCell ref="S298:V298"/>
    <mergeCell ref="S313:V313"/>
    <mergeCell ref="S80:V80"/>
    <mergeCell ref="Y44:AG44"/>
    <mergeCell ref="S225:V225"/>
    <mergeCell ref="S338:V338"/>
    <mergeCell ref="S172:V172"/>
    <mergeCell ref="S55:V55"/>
    <mergeCell ref="S353:V353"/>
    <mergeCell ref="S64:V64"/>
    <mergeCell ref="S104:V104"/>
    <mergeCell ref="S162:V162"/>
    <mergeCell ref="S227:V227"/>
    <mergeCell ref="S304:V304"/>
    <mergeCell ref="Y58:AG58"/>
    <mergeCell ref="S352:V352"/>
    <mergeCell ref="S68:V68"/>
    <mergeCell ref="S103:V103"/>
    <mergeCell ref="S152:V152"/>
    <mergeCell ref="Q8:W8"/>
    <mergeCell ref="S77:V77"/>
    <mergeCell ref="S86:V86"/>
    <mergeCell ref="S179:V179"/>
    <mergeCell ref="S257:V257"/>
    <mergeCell ref="S328:V328"/>
    <mergeCell ref="S166:V166"/>
    <mergeCell ref="S67:V67"/>
    <mergeCell ref="S331:V331"/>
    <mergeCell ref="S101:V101"/>
    <mergeCell ref="S185:V185"/>
    <mergeCell ref="S303:V303"/>
    <mergeCell ref="S318:V318"/>
    <mergeCell ref="S199:V199"/>
    <mergeCell ref="S312:V312"/>
    <mergeCell ref="S326:V326"/>
    <mergeCell ref="S208:V208"/>
    <mergeCell ref="S186:V186"/>
    <mergeCell ref="S299:V299"/>
    <mergeCell ref="S69:V69"/>
    <mergeCell ref="Q113:W113"/>
    <mergeCell ref="S78:V78"/>
    <mergeCell ref="S205:V205"/>
    <mergeCell ref="S196:V196"/>
    <mergeCell ref="Y22:AG22"/>
    <mergeCell ref="S212:V212"/>
    <mergeCell ref="S294:V294"/>
    <mergeCell ref="S50:V50"/>
    <mergeCell ref="S221:V221"/>
    <mergeCell ref="Y218:AG218"/>
    <mergeCell ref="Y116:AG119"/>
    <mergeCell ref="S168:V168"/>
    <mergeCell ref="S51:V51"/>
    <mergeCell ref="Y269:AG272"/>
    <mergeCell ref="S60:V60"/>
    <mergeCell ref="S91:V91"/>
    <mergeCell ref="Y134:AG137"/>
    <mergeCell ref="S184:V184"/>
    <mergeCell ref="S100:V100"/>
    <mergeCell ref="S214:V214"/>
    <mergeCell ref="Y53:AG56"/>
    <mergeCell ref="S223:V223"/>
    <mergeCell ref="Y47:AG50"/>
    <mergeCell ref="S115:V115"/>
    <mergeCell ref="S155:V155"/>
    <mergeCell ref="S93:V93"/>
    <mergeCell ref="S213:V213"/>
    <mergeCell ref="S102:V102"/>
    <mergeCell ref="Y8:AG8"/>
    <mergeCell ref="S346:V346"/>
    <mergeCell ref="S200:V200"/>
    <mergeCell ref="S194:V194"/>
    <mergeCell ref="S209:V209"/>
    <mergeCell ref="S203:V203"/>
    <mergeCell ref="S181:V181"/>
    <mergeCell ref="S339:V339"/>
    <mergeCell ref="Q290:W290"/>
    <mergeCell ref="Y298:AG298"/>
    <mergeCell ref="S160:V160"/>
    <mergeCell ref="S175:V175"/>
    <mergeCell ref="Y305:AG308"/>
    <mergeCell ref="S87:V87"/>
    <mergeCell ref="S258:V258"/>
    <mergeCell ref="S211:V211"/>
    <mergeCell ref="S49:V49"/>
    <mergeCell ref="S97:V97"/>
    <mergeCell ref="S10:V10"/>
    <mergeCell ref="S195:V195"/>
    <mergeCell ref="S308:V308"/>
    <mergeCell ref="S89:V89"/>
    <mergeCell ref="Y232:AG232"/>
    <mergeCell ref="S260:V260"/>
    <mergeCell ref="S46:V46"/>
    <mergeCell ref="Y163:AG163"/>
    <mergeCell ref="S169:V169"/>
    <mergeCell ref="S297:V297"/>
    <mergeCell ref="S165:V165"/>
    <mergeCell ref="S180:V180"/>
    <mergeCell ref="S61:V61"/>
    <mergeCell ref="S70:V70"/>
    <mergeCell ref="Q254:W254"/>
    <mergeCell ref="S48:V48"/>
    <mergeCell ref="Y290:AG290"/>
    <mergeCell ref="S65:V65"/>
    <mergeCell ref="S74:V74"/>
    <mergeCell ref="S157:V157"/>
    <mergeCell ref="S201:V201"/>
    <mergeCell ref="S222:V222"/>
    <mergeCell ref="S170:V170"/>
    <mergeCell ref="S52:V52"/>
    <mergeCell ref="Y121:AG121"/>
    <mergeCell ref="Y115:AG115"/>
    <mergeCell ref="Y226:AG226"/>
    <mergeCell ref="Y220:AG220"/>
    <mergeCell ref="S171:V171"/>
    <mergeCell ref="S84:V84"/>
    <mergeCell ref="S351:V351"/>
    <mergeCell ref="S320:V320"/>
    <mergeCell ref="Q149:W149"/>
    <mergeCell ref="S345:V345"/>
    <mergeCell ref="S47:V47"/>
    <mergeCell ref="Y122:AG125"/>
    <mergeCell ref="S59:V59"/>
    <mergeCell ref="S119:V119"/>
    <mergeCell ref="S295:V295"/>
    <mergeCell ref="S337:V337"/>
    <mergeCell ref="S348:V348"/>
    <mergeCell ref="S310:V310"/>
    <mergeCell ref="S327:V327"/>
    <mergeCell ref="S336:V336"/>
    <mergeCell ref="S350:V350"/>
    <mergeCell ref="Y299:AG302"/>
    <mergeCell ref="Y158:AG161"/>
    <mergeCell ref="Y263:AG266"/>
    <mergeCell ref="S309:V309"/>
    <mergeCell ref="S76:V76"/>
    <mergeCell ref="S85:V85"/>
    <mergeCell ref="S256:V256"/>
    <mergeCell ref="S94:V94"/>
    <mergeCell ref="S183:V183"/>
    <mergeCell ref="S296:V296"/>
    <mergeCell ref="S109:V109"/>
    <mergeCell ref="S167:V167"/>
    <mergeCell ref="S349:V349"/>
    <mergeCell ref="Y275:AG278"/>
    <mergeCell ref="Y17:AG20"/>
    <mergeCell ref="S259:V259"/>
    <mergeCell ref="Y256:AG256"/>
    <mergeCell ref="Y11:AG14"/>
    <mergeCell ref="S57:V57"/>
    <mergeCell ref="S293:V293"/>
    <mergeCell ref="S220:V220"/>
    <mergeCell ref="S333:V333"/>
    <mergeCell ref="S342:V342"/>
    <mergeCell ref="S229:V229"/>
    <mergeCell ref="Y133:AG133"/>
    <mergeCell ref="Y59:AG62"/>
    <mergeCell ref="Y127:AG127"/>
    <mergeCell ref="S204:V204"/>
    <mergeCell ref="S317:V317"/>
    <mergeCell ref="S99:V99"/>
    <mergeCell ref="S335:V335"/>
    <mergeCell ref="S151:V151"/>
    <mergeCell ref="S344:V344"/>
    <mergeCell ref="Y239:AG242"/>
    <mergeCell ref="S83:V83"/>
    <mergeCell ref="Y169:AG169"/>
    <mergeCell ref="S62:V62"/>
    <mergeCell ref="Y227:AG230"/>
    <mergeCell ref="S96:V96"/>
    <mergeCell ref="A1:AG2"/>
    <mergeCell ref="S71:V71"/>
    <mergeCell ref="Y151:AG151"/>
    <mergeCell ref="S347:V347"/>
    <mergeCell ref="S176:V176"/>
    <mergeCell ref="S58:V58"/>
    <mergeCell ref="S307:V307"/>
    <mergeCell ref="S228:V228"/>
    <mergeCell ref="S322:V322"/>
    <mergeCell ref="S98:V98"/>
    <mergeCell ref="S73:V73"/>
    <mergeCell ref="S191:V191"/>
    <mergeCell ref="Y304:AG304"/>
    <mergeCell ref="S107:V107"/>
    <mergeCell ref="Y164:AG167"/>
    <mergeCell ref="S154:V154"/>
    <mergeCell ref="S325:V325"/>
    <mergeCell ref="S92:V92"/>
    <mergeCell ref="S206:V206"/>
    <mergeCell ref="S334:V334"/>
    <mergeCell ref="S163:V163"/>
    <mergeCell ref="S72:V72"/>
    <mergeCell ref="S177:V177"/>
    <mergeCell ref="S192:V192"/>
    <mergeCell ref="S305:V305"/>
    <mergeCell ref="S81:V81"/>
    <mergeCell ref="S226:V226"/>
    <mergeCell ref="S323:V323"/>
    <mergeCell ref="S164:V164"/>
    <mergeCell ref="S292:V292"/>
    <mergeCell ref="S161:V161"/>
    <mergeCell ref="S173:V173"/>
    <mergeCell ref="S319:V319"/>
    <mergeCell ref="S75:V75"/>
    <mergeCell ref="S311:V311"/>
    <mergeCell ref="S207:V207"/>
    <mergeCell ref="Y113:AG113"/>
    <mergeCell ref="S118:V118"/>
    <mergeCell ref="S158:V158"/>
    <mergeCell ref="S329:V329"/>
    <mergeCell ref="S210:V210"/>
    <mergeCell ref="S343:V343"/>
    <mergeCell ref="Y233:AG236"/>
    <mergeCell ref="Y10:AG10"/>
    <mergeCell ref="S108:V108"/>
    <mergeCell ref="S95:V95"/>
    <mergeCell ref="S178:V178"/>
    <mergeCell ref="Y16:AG16"/>
    <mergeCell ref="S79:V79"/>
    <mergeCell ref="S193:V193"/>
    <mergeCell ref="S306:V306"/>
    <mergeCell ref="S321:V321"/>
    <mergeCell ref="Y292:AG292"/>
    <mergeCell ref="Y52:AG52"/>
    <mergeCell ref="S159:V159"/>
    <mergeCell ref="S202:V202"/>
    <mergeCell ref="S315:V315"/>
    <mergeCell ref="S153:V153"/>
    <mergeCell ref="S302:V30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6"/>
  <sheetViews>
    <sheetView workbookViewId="0"/>
  </sheetViews>
  <sheetFormatPr baseColWidth="10" defaultColWidth="8.83203125" defaultRowHeight="15" x14ac:dyDescent="0.2"/>
  <sheetData>
    <row r="1" spans="1:30" x14ac:dyDescent="0.2">
      <c r="A1" s="45" t="s">
        <v>625</v>
      </c>
      <c r="E1" s="45" t="s">
        <v>626</v>
      </c>
      <c r="I1" s="45" t="s">
        <v>627</v>
      </c>
      <c r="M1" s="45" t="s">
        <v>628</v>
      </c>
      <c r="Q1" s="45" t="s">
        <v>629</v>
      </c>
      <c r="U1" s="45" t="s">
        <v>630</v>
      </c>
      <c r="Y1" s="45" t="s">
        <v>631</v>
      </c>
    </row>
    <row r="2" spans="1:30" x14ac:dyDescent="0.2">
      <c r="A2" s="45" t="s">
        <v>632</v>
      </c>
      <c r="B2" s="45" t="s">
        <v>633</v>
      </c>
      <c r="C2" s="45" t="s">
        <v>634</v>
      </c>
      <c r="E2" s="45" t="s">
        <v>632</v>
      </c>
      <c r="F2" s="45" t="s">
        <v>99</v>
      </c>
      <c r="G2" s="45" t="s">
        <v>634</v>
      </c>
      <c r="I2" s="45" t="s">
        <v>632</v>
      </c>
      <c r="J2" s="45" t="s">
        <v>1</v>
      </c>
      <c r="K2" s="45" t="s">
        <v>634</v>
      </c>
      <c r="M2" s="45" t="s">
        <v>632</v>
      </c>
      <c r="N2" s="45" t="s">
        <v>99</v>
      </c>
      <c r="O2" s="45" t="s">
        <v>634</v>
      </c>
      <c r="Q2" s="45" t="s">
        <v>632</v>
      </c>
      <c r="R2" s="45" t="s">
        <v>2</v>
      </c>
      <c r="S2" s="45" t="s">
        <v>634</v>
      </c>
      <c r="U2" s="45" t="s">
        <v>632</v>
      </c>
      <c r="V2" s="45" t="s">
        <v>99</v>
      </c>
      <c r="W2" s="45" t="s">
        <v>635</v>
      </c>
      <c r="Y2" s="45" t="s">
        <v>636</v>
      </c>
      <c r="Z2" s="45" t="s">
        <v>624</v>
      </c>
      <c r="AA2" s="45" t="s">
        <v>623</v>
      </c>
      <c r="AB2" s="45" t="s">
        <v>621</v>
      </c>
      <c r="AC2" s="45" t="s">
        <v>620</v>
      </c>
      <c r="AD2" s="45" t="s">
        <v>618</v>
      </c>
    </row>
    <row r="3" spans="1:30" x14ac:dyDescent="0.2">
      <c r="A3">
        <v>1</v>
      </c>
      <c r="B3" s="4">
        <v>46235</v>
      </c>
      <c r="C3" s="5">
        <v>979.80000000000041</v>
      </c>
      <c r="E3">
        <v>1</v>
      </c>
      <c r="F3" t="s">
        <v>251</v>
      </c>
      <c r="G3" s="5">
        <v>136.04</v>
      </c>
      <c r="I3">
        <v>1</v>
      </c>
      <c r="J3" t="s">
        <v>247</v>
      </c>
      <c r="K3" s="5">
        <v>574.97000000000037</v>
      </c>
      <c r="M3">
        <v>1</v>
      </c>
      <c r="N3" t="s">
        <v>251</v>
      </c>
      <c r="O3" s="5">
        <v>136.04</v>
      </c>
      <c r="Q3">
        <v>1</v>
      </c>
      <c r="R3" t="s">
        <v>269</v>
      </c>
      <c r="S3" s="5">
        <v>79.540000000000006</v>
      </c>
      <c r="U3">
        <v>1</v>
      </c>
      <c r="V3" t="s">
        <v>8</v>
      </c>
      <c r="W3">
        <v>24</v>
      </c>
      <c r="Y3">
        <v>1</v>
      </c>
      <c r="Z3" s="5">
        <v>574.97000000000037</v>
      </c>
      <c r="AA3" s="5">
        <v>180.8899999999999</v>
      </c>
      <c r="AB3" s="5">
        <v>145.58000000000001</v>
      </c>
      <c r="AC3" s="5">
        <v>48.12</v>
      </c>
      <c r="AD3" s="5">
        <v>30.24</v>
      </c>
    </row>
    <row r="4" spans="1:30" x14ac:dyDescent="0.2">
      <c r="E4">
        <v>2</v>
      </c>
      <c r="F4" t="s">
        <v>245</v>
      </c>
      <c r="G4" s="5">
        <v>87.39</v>
      </c>
      <c r="I4">
        <v>2</v>
      </c>
      <c r="J4" t="s">
        <v>6</v>
      </c>
      <c r="K4" s="5">
        <v>180.8899999999999</v>
      </c>
      <c r="M4">
        <v>2</v>
      </c>
      <c r="N4" t="s">
        <v>245</v>
      </c>
      <c r="O4" s="5">
        <v>87.39</v>
      </c>
      <c r="Q4">
        <v>2</v>
      </c>
      <c r="R4" t="s">
        <v>261</v>
      </c>
      <c r="S4" s="5">
        <v>47.88</v>
      </c>
      <c r="U4">
        <v>2</v>
      </c>
      <c r="V4" t="s">
        <v>25</v>
      </c>
      <c r="W4">
        <v>23</v>
      </c>
    </row>
    <row r="5" spans="1:30" x14ac:dyDescent="0.2">
      <c r="E5">
        <v>3</v>
      </c>
      <c r="F5" t="s">
        <v>25</v>
      </c>
      <c r="G5" s="5">
        <v>69.72</v>
      </c>
      <c r="I5">
        <v>3</v>
      </c>
      <c r="J5" t="s">
        <v>110</v>
      </c>
      <c r="K5" s="5">
        <v>145.58000000000001</v>
      </c>
      <c r="M5">
        <v>3</v>
      </c>
      <c r="N5" t="s">
        <v>25</v>
      </c>
      <c r="O5" s="5">
        <v>69.72</v>
      </c>
      <c r="Q5">
        <v>3</v>
      </c>
      <c r="R5" t="s">
        <v>295</v>
      </c>
      <c r="S5" s="5">
        <v>46.78</v>
      </c>
      <c r="U5">
        <v>3</v>
      </c>
      <c r="V5" t="s">
        <v>245</v>
      </c>
      <c r="W5">
        <v>14</v>
      </c>
    </row>
    <row r="6" spans="1:30" x14ac:dyDescent="0.2">
      <c r="E6">
        <v>4</v>
      </c>
      <c r="F6" t="s">
        <v>8</v>
      </c>
      <c r="G6" s="5">
        <v>53.990000000000009</v>
      </c>
      <c r="I6">
        <v>4</v>
      </c>
      <c r="J6" t="s">
        <v>235</v>
      </c>
      <c r="K6" s="5">
        <v>48.12</v>
      </c>
      <c r="M6">
        <v>4</v>
      </c>
      <c r="N6" t="s">
        <v>8</v>
      </c>
      <c r="O6" s="5">
        <v>53.990000000000009</v>
      </c>
      <c r="Q6">
        <v>4</v>
      </c>
      <c r="R6" t="s">
        <v>343</v>
      </c>
      <c r="S6" s="5">
        <v>28.54</v>
      </c>
      <c r="U6">
        <v>4</v>
      </c>
      <c r="V6" t="s">
        <v>251</v>
      </c>
      <c r="W6">
        <v>10</v>
      </c>
    </row>
    <row r="7" spans="1:30" x14ac:dyDescent="0.2">
      <c r="E7">
        <v>5</v>
      </c>
      <c r="F7" t="s">
        <v>262</v>
      </c>
      <c r="G7" s="5">
        <v>47.88</v>
      </c>
      <c r="I7">
        <v>5</v>
      </c>
      <c r="J7" t="s">
        <v>219</v>
      </c>
      <c r="K7" s="5">
        <v>30.24</v>
      </c>
      <c r="M7">
        <v>5</v>
      </c>
      <c r="N7" t="s">
        <v>262</v>
      </c>
      <c r="O7" s="5">
        <v>47.88</v>
      </c>
      <c r="Q7">
        <v>5</v>
      </c>
      <c r="R7" t="s">
        <v>244</v>
      </c>
      <c r="S7" s="5">
        <v>24.88</v>
      </c>
      <c r="U7">
        <v>5</v>
      </c>
      <c r="V7" t="s">
        <v>62</v>
      </c>
      <c r="W7">
        <v>6</v>
      </c>
    </row>
    <row r="8" spans="1:30" x14ac:dyDescent="0.2">
      <c r="E8">
        <v>6</v>
      </c>
      <c r="F8" t="s">
        <v>116</v>
      </c>
      <c r="G8" s="5">
        <v>45.360000000000007</v>
      </c>
      <c r="M8">
        <v>6</v>
      </c>
      <c r="N8" t="s">
        <v>116</v>
      </c>
      <c r="O8" s="5">
        <v>45.360000000000007</v>
      </c>
      <c r="Q8">
        <v>6</v>
      </c>
      <c r="R8" t="s">
        <v>293</v>
      </c>
      <c r="S8" s="5">
        <v>19.96</v>
      </c>
      <c r="U8">
        <v>6</v>
      </c>
      <c r="V8" t="s">
        <v>14</v>
      </c>
      <c r="W8">
        <v>6</v>
      </c>
    </row>
    <row r="9" spans="1:30" x14ac:dyDescent="0.2">
      <c r="E9">
        <v>7</v>
      </c>
      <c r="F9" t="s">
        <v>62</v>
      </c>
      <c r="G9" s="5">
        <v>32.260000000000012</v>
      </c>
      <c r="M9">
        <v>7</v>
      </c>
      <c r="N9" t="s">
        <v>62</v>
      </c>
      <c r="O9" s="5">
        <v>32.260000000000012</v>
      </c>
      <c r="Q9">
        <v>7</v>
      </c>
      <c r="R9" t="s">
        <v>24</v>
      </c>
      <c r="S9" s="5">
        <v>19.91</v>
      </c>
      <c r="U9">
        <v>7</v>
      </c>
      <c r="V9" t="s">
        <v>116</v>
      </c>
      <c r="W9">
        <v>6</v>
      </c>
    </row>
    <row r="10" spans="1:30" x14ac:dyDescent="0.2">
      <c r="E10">
        <v>8</v>
      </c>
      <c r="F10" t="s">
        <v>241</v>
      </c>
      <c r="G10" s="5">
        <v>31.2</v>
      </c>
      <c r="M10">
        <v>8</v>
      </c>
      <c r="N10" t="s">
        <v>241</v>
      </c>
      <c r="O10" s="5">
        <v>31.2</v>
      </c>
      <c r="Q10">
        <v>8</v>
      </c>
      <c r="R10" t="s">
        <v>280</v>
      </c>
      <c r="S10" s="5">
        <v>19.88</v>
      </c>
      <c r="U10">
        <v>8</v>
      </c>
      <c r="V10" t="s">
        <v>129</v>
      </c>
      <c r="W10">
        <v>5</v>
      </c>
    </row>
    <row r="11" spans="1:30" x14ac:dyDescent="0.2">
      <c r="E11">
        <v>9</v>
      </c>
      <c r="F11" t="s">
        <v>344</v>
      </c>
      <c r="G11" s="5">
        <v>28.54</v>
      </c>
      <c r="M11">
        <v>9</v>
      </c>
      <c r="N11" t="s">
        <v>344</v>
      </c>
      <c r="O11" s="5">
        <v>28.54</v>
      </c>
      <c r="Q11">
        <v>9</v>
      </c>
      <c r="R11" t="s">
        <v>286</v>
      </c>
      <c r="S11" s="5">
        <v>19.34</v>
      </c>
      <c r="U11">
        <v>9</v>
      </c>
      <c r="V11" t="s">
        <v>265</v>
      </c>
      <c r="W11">
        <v>5</v>
      </c>
    </row>
    <row r="12" spans="1:30" x14ac:dyDescent="0.2">
      <c r="E12">
        <v>10</v>
      </c>
      <c r="F12" t="s">
        <v>129</v>
      </c>
      <c r="G12" s="5">
        <v>26.91</v>
      </c>
      <c r="M12">
        <v>10</v>
      </c>
      <c r="N12" t="s">
        <v>129</v>
      </c>
      <c r="O12" s="5">
        <v>26.91</v>
      </c>
      <c r="Q12">
        <v>10</v>
      </c>
      <c r="R12" t="s">
        <v>128</v>
      </c>
      <c r="S12" s="5">
        <v>18.57</v>
      </c>
      <c r="U12">
        <v>10</v>
      </c>
      <c r="V12" t="s">
        <v>281</v>
      </c>
      <c r="W12">
        <v>4</v>
      </c>
    </row>
    <row r="13" spans="1:30" x14ac:dyDescent="0.2">
      <c r="E13">
        <v>11</v>
      </c>
      <c r="F13" t="s">
        <v>281</v>
      </c>
      <c r="G13" s="5">
        <v>19.88</v>
      </c>
      <c r="M13">
        <v>11</v>
      </c>
      <c r="N13" t="s">
        <v>281</v>
      </c>
      <c r="O13" s="5">
        <v>19.88</v>
      </c>
      <c r="U13">
        <v>11</v>
      </c>
      <c r="V13" t="s">
        <v>89</v>
      </c>
      <c r="W13">
        <v>4</v>
      </c>
    </row>
    <row r="14" spans="1:30" x14ac:dyDescent="0.2">
      <c r="E14">
        <v>12</v>
      </c>
      <c r="F14" t="s">
        <v>377</v>
      </c>
      <c r="G14" s="5">
        <v>18.88</v>
      </c>
      <c r="M14">
        <v>12</v>
      </c>
      <c r="N14" t="s">
        <v>377</v>
      </c>
      <c r="O14" s="5">
        <v>18.88</v>
      </c>
      <c r="U14">
        <v>12</v>
      </c>
      <c r="V14" t="s">
        <v>377</v>
      </c>
      <c r="W14">
        <v>4</v>
      </c>
    </row>
    <row r="15" spans="1:30" x14ac:dyDescent="0.2">
      <c r="E15">
        <v>13</v>
      </c>
      <c r="F15" t="s">
        <v>259</v>
      </c>
      <c r="G15" s="5">
        <v>18.489999999999998</v>
      </c>
      <c r="M15">
        <v>13</v>
      </c>
      <c r="N15" t="s">
        <v>259</v>
      </c>
      <c r="O15" s="5">
        <v>18.489999999999998</v>
      </c>
      <c r="U15">
        <v>13</v>
      </c>
      <c r="V15" t="s">
        <v>259</v>
      </c>
      <c r="W15">
        <v>3</v>
      </c>
    </row>
    <row r="16" spans="1:30" x14ac:dyDescent="0.2">
      <c r="E16">
        <v>14</v>
      </c>
      <c r="F16" t="s">
        <v>265</v>
      </c>
      <c r="G16" s="5">
        <v>18.190000000000001</v>
      </c>
      <c r="M16">
        <v>14</v>
      </c>
      <c r="N16" t="s">
        <v>265</v>
      </c>
      <c r="O16" s="5">
        <v>18.190000000000001</v>
      </c>
      <c r="U16">
        <v>14</v>
      </c>
      <c r="V16" t="s">
        <v>137</v>
      </c>
      <c r="W16">
        <v>3</v>
      </c>
    </row>
    <row r="17" spans="5:23" x14ac:dyDescent="0.2">
      <c r="E17">
        <v>15</v>
      </c>
      <c r="F17" t="s">
        <v>70</v>
      </c>
      <c r="G17" s="5">
        <v>16.579999999999998</v>
      </c>
      <c r="M17">
        <v>15</v>
      </c>
      <c r="N17" t="s">
        <v>70</v>
      </c>
      <c r="O17" s="5">
        <v>16.579999999999998</v>
      </c>
      <c r="U17">
        <v>15</v>
      </c>
      <c r="V17" t="s">
        <v>390</v>
      </c>
      <c r="W17">
        <v>3</v>
      </c>
    </row>
    <row r="18" spans="5:23" x14ac:dyDescent="0.2">
      <c r="E18">
        <v>16</v>
      </c>
      <c r="F18" t="s">
        <v>137</v>
      </c>
      <c r="G18" s="5">
        <v>16.14</v>
      </c>
      <c r="M18">
        <v>16</v>
      </c>
      <c r="N18" t="s">
        <v>137</v>
      </c>
      <c r="O18" s="5">
        <v>16.14</v>
      </c>
      <c r="U18">
        <v>16</v>
      </c>
      <c r="V18" t="s">
        <v>178</v>
      </c>
      <c r="W18">
        <v>3</v>
      </c>
    </row>
    <row r="19" spans="5:23" x14ac:dyDescent="0.2">
      <c r="E19">
        <v>17</v>
      </c>
      <c r="F19" t="s">
        <v>328</v>
      </c>
      <c r="G19" s="5">
        <v>14.46</v>
      </c>
      <c r="M19">
        <v>17</v>
      </c>
      <c r="N19" t="s">
        <v>328</v>
      </c>
      <c r="O19" s="5">
        <v>14.46</v>
      </c>
      <c r="U19">
        <v>17</v>
      </c>
      <c r="V19" t="s">
        <v>262</v>
      </c>
      <c r="W19">
        <v>2</v>
      </c>
    </row>
    <row r="20" spans="5:23" x14ac:dyDescent="0.2">
      <c r="E20">
        <v>18</v>
      </c>
      <c r="F20" t="s">
        <v>384</v>
      </c>
      <c r="G20" s="5">
        <v>14.29</v>
      </c>
      <c r="M20">
        <v>18</v>
      </c>
      <c r="N20" t="s">
        <v>384</v>
      </c>
      <c r="O20" s="5">
        <v>14.29</v>
      </c>
      <c r="U20">
        <v>18</v>
      </c>
      <c r="V20" t="s">
        <v>48</v>
      </c>
      <c r="W20">
        <v>2</v>
      </c>
    </row>
    <row r="21" spans="5:23" x14ac:dyDescent="0.2">
      <c r="E21">
        <v>19</v>
      </c>
      <c r="F21" t="s">
        <v>223</v>
      </c>
      <c r="G21" s="5">
        <v>13.98</v>
      </c>
      <c r="M21">
        <v>19</v>
      </c>
      <c r="N21" t="s">
        <v>223</v>
      </c>
      <c r="O21" s="5">
        <v>13.98</v>
      </c>
      <c r="U21">
        <v>19</v>
      </c>
      <c r="V21" t="s">
        <v>29</v>
      </c>
      <c r="W21">
        <v>2</v>
      </c>
    </row>
    <row r="22" spans="5:23" x14ac:dyDescent="0.2">
      <c r="E22">
        <v>20</v>
      </c>
      <c r="F22" t="s">
        <v>254</v>
      </c>
      <c r="G22" s="5">
        <v>13.92</v>
      </c>
      <c r="M22">
        <v>20</v>
      </c>
      <c r="N22" t="s">
        <v>254</v>
      </c>
      <c r="O22" s="5">
        <v>13.92</v>
      </c>
      <c r="U22">
        <v>20</v>
      </c>
      <c r="V22" t="s">
        <v>328</v>
      </c>
      <c r="W22">
        <v>2</v>
      </c>
    </row>
    <row r="23" spans="5:23" x14ac:dyDescent="0.2">
      <c r="E23">
        <v>21</v>
      </c>
      <c r="F23" t="s">
        <v>48</v>
      </c>
      <c r="G23" s="5">
        <v>13.42</v>
      </c>
      <c r="M23">
        <v>21</v>
      </c>
      <c r="N23" t="s">
        <v>48</v>
      </c>
      <c r="O23" s="5">
        <v>13.42</v>
      </c>
      <c r="U23">
        <v>21</v>
      </c>
      <c r="V23" t="s">
        <v>146</v>
      </c>
      <c r="W23">
        <v>2</v>
      </c>
    </row>
    <row r="24" spans="5:23" x14ac:dyDescent="0.2">
      <c r="E24">
        <v>22</v>
      </c>
      <c r="F24" t="s">
        <v>89</v>
      </c>
      <c r="G24" s="5">
        <v>13.08</v>
      </c>
      <c r="M24">
        <v>22</v>
      </c>
      <c r="N24" t="s">
        <v>89</v>
      </c>
      <c r="O24" s="5">
        <v>13.08</v>
      </c>
      <c r="U24">
        <v>22</v>
      </c>
      <c r="V24" t="s">
        <v>223</v>
      </c>
      <c r="W24">
        <v>2</v>
      </c>
    </row>
    <row r="25" spans="5:23" x14ac:dyDescent="0.2">
      <c r="E25">
        <v>23</v>
      </c>
      <c r="F25" t="s">
        <v>306</v>
      </c>
      <c r="G25" s="5">
        <v>11.76</v>
      </c>
      <c r="M25">
        <v>23</v>
      </c>
      <c r="N25" t="s">
        <v>306</v>
      </c>
      <c r="O25" s="5">
        <v>11.76</v>
      </c>
      <c r="U25">
        <v>23</v>
      </c>
      <c r="V25" t="s">
        <v>124</v>
      </c>
      <c r="W25">
        <v>2</v>
      </c>
    </row>
    <row r="26" spans="5:23" x14ac:dyDescent="0.2">
      <c r="E26">
        <v>24</v>
      </c>
      <c r="F26" t="s">
        <v>237</v>
      </c>
      <c r="G26" s="5">
        <v>11</v>
      </c>
      <c r="M26">
        <v>24</v>
      </c>
      <c r="N26" t="s">
        <v>237</v>
      </c>
      <c r="O26" s="5">
        <v>11</v>
      </c>
      <c r="U26">
        <v>24</v>
      </c>
      <c r="V26" t="s">
        <v>70</v>
      </c>
      <c r="W26">
        <v>2</v>
      </c>
    </row>
    <row r="27" spans="5:23" x14ac:dyDescent="0.2">
      <c r="E27">
        <v>25</v>
      </c>
      <c r="F27" t="s">
        <v>276</v>
      </c>
      <c r="G27" s="5">
        <v>10.64</v>
      </c>
      <c r="M27">
        <v>25</v>
      </c>
      <c r="N27" t="s">
        <v>276</v>
      </c>
      <c r="O27" s="5">
        <v>10.64</v>
      </c>
      <c r="U27">
        <v>25</v>
      </c>
      <c r="V27" t="s">
        <v>39</v>
      </c>
      <c r="W27">
        <v>2</v>
      </c>
    </row>
    <row r="28" spans="5:23" x14ac:dyDescent="0.2">
      <c r="E28">
        <v>26</v>
      </c>
      <c r="F28" t="s">
        <v>390</v>
      </c>
      <c r="G28" s="5">
        <v>10</v>
      </c>
      <c r="M28">
        <v>26</v>
      </c>
      <c r="N28" t="s">
        <v>390</v>
      </c>
      <c r="O28" s="5">
        <v>10</v>
      </c>
      <c r="U28">
        <v>26</v>
      </c>
      <c r="V28" t="s">
        <v>254</v>
      </c>
      <c r="W28">
        <v>2</v>
      </c>
    </row>
    <row r="29" spans="5:23" x14ac:dyDescent="0.2">
      <c r="E29">
        <v>27</v>
      </c>
      <c r="F29" t="s">
        <v>353</v>
      </c>
      <c r="G29" s="5">
        <v>9.98</v>
      </c>
      <c r="M29">
        <v>27</v>
      </c>
      <c r="N29" t="s">
        <v>353</v>
      </c>
      <c r="O29" s="5">
        <v>9.98</v>
      </c>
      <c r="U29">
        <v>27</v>
      </c>
      <c r="V29" t="s">
        <v>276</v>
      </c>
      <c r="W29">
        <v>2</v>
      </c>
    </row>
    <row r="30" spans="5:23" x14ac:dyDescent="0.2">
      <c r="E30">
        <v>28</v>
      </c>
      <c r="F30" t="s">
        <v>178</v>
      </c>
      <c r="G30" s="5">
        <v>9.9499999999999993</v>
      </c>
      <c r="M30">
        <v>28</v>
      </c>
      <c r="N30" t="s">
        <v>178</v>
      </c>
      <c r="O30" s="5">
        <v>9.9499999999999993</v>
      </c>
      <c r="U30">
        <v>28</v>
      </c>
      <c r="V30" t="s">
        <v>387</v>
      </c>
      <c r="W30">
        <v>2</v>
      </c>
    </row>
    <row r="31" spans="5:23" x14ac:dyDescent="0.2">
      <c r="E31">
        <v>29</v>
      </c>
      <c r="F31" t="s">
        <v>29</v>
      </c>
      <c r="G31" s="5">
        <v>8.3800000000000008</v>
      </c>
      <c r="M31">
        <v>29</v>
      </c>
      <c r="N31" t="s">
        <v>29</v>
      </c>
      <c r="O31" s="5">
        <v>8.3800000000000008</v>
      </c>
      <c r="U31">
        <v>29</v>
      </c>
      <c r="V31" t="s">
        <v>237</v>
      </c>
      <c r="W31">
        <v>2</v>
      </c>
    </row>
    <row r="32" spans="5:23" x14ac:dyDescent="0.2">
      <c r="E32">
        <v>30</v>
      </c>
      <c r="F32" t="s">
        <v>124</v>
      </c>
      <c r="G32" s="5">
        <v>7.78</v>
      </c>
      <c r="M32">
        <v>30</v>
      </c>
      <c r="N32" t="s">
        <v>124</v>
      </c>
      <c r="O32" s="5">
        <v>7.78</v>
      </c>
      <c r="U32">
        <v>30</v>
      </c>
      <c r="V32" t="s">
        <v>241</v>
      </c>
      <c r="W32">
        <v>2</v>
      </c>
    </row>
    <row r="33" spans="5:23" x14ac:dyDescent="0.2">
      <c r="E33">
        <v>31</v>
      </c>
      <c r="F33" t="s">
        <v>396</v>
      </c>
      <c r="G33" s="5">
        <v>7.19</v>
      </c>
      <c r="M33">
        <v>31</v>
      </c>
      <c r="N33" t="s">
        <v>396</v>
      </c>
      <c r="O33" s="5">
        <v>7.19</v>
      </c>
      <c r="U33">
        <v>31</v>
      </c>
      <c r="V33" t="s">
        <v>212</v>
      </c>
      <c r="W33">
        <v>2</v>
      </c>
    </row>
    <row r="34" spans="5:23" x14ac:dyDescent="0.2">
      <c r="E34">
        <v>32</v>
      </c>
      <c r="F34" t="s">
        <v>52</v>
      </c>
      <c r="G34" s="5">
        <v>7.01</v>
      </c>
      <c r="M34">
        <v>32</v>
      </c>
      <c r="N34" t="s">
        <v>52</v>
      </c>
      <c r="O34" s="5">
        <v>7.01</v>
      </c>
      <c r="U34">
        <v>32</v>
      </c>
      <c r="V34" t="s">
        <v>52</v>
      </c>
      <c r="W34">
        <v>2</v>
      </c>
    </row>
    <row r="35" spans="5:23" x14ac:dyDescent="0.2">
      <c r="E35">
        <v>33</v>
      </c>
      <c r="F35" t="s">
        <v>121</v>
      </c>
      <c r="G35" s="5">
        <v>6.99</v>
      </c>
      <c r="M35">
        <v>33</v>
      </c>
      <c r="N35" t="s">
        <v>121</v>
      </c>
      <c r="O35" s="5">
        <v>6.99</v>
      </c>
      <c r="U35">
        <v>33</v>
      </c>
      <c r="V35" t="s">
        <v>353</v>
      </c>
      <c r="W35">
        <v>1</v>
      </c>
    </row>
    <row r="36" spans="5:23" x14ac:dyDescent="0.2">
      <c r="E36">
        <v>34</v>
      </c>
      <c r="F36" t="s">
        <v>313</v>
      </c>
      <c r="G36" s="5">
        <v>6.88</v>
      </c>
      <c r="M36">
        <v>34</v>
      </c>
      <c r="N36" t="s">
        <v>313</v>
      </c>
      <c r="O36" s="5">
        <v>6.88</v>
      </c>
      <c r="U36">
        <v>34</v>
      </c>
      <c r="V36" t="s">
        <v>21</v>
      </c>
      <c r="W36">
        <v>1</v>
      </c>
    </row>
    <row r="37" spans="5:23" x14ac:dyDescent="0.2">
      <c r="E37">
        <v>35</v>
      </c>
      <c r="F37" t="s">
        <v>316</v>
      </c>
      <c r="G37" s="5">
        <v>6.48</v>
      </c>
      <c r="M37">
        <v>35</v>
      </c>
      <c r="N37" t="s">
        <v>316</v>
      </c>
      <c r="O37" s="5">
        <v>6.48</v>
      </c>
      <c r="U37">
        <v>35</v>
      </c>
      <c r="V37" t="s">
        <v>209</v>
      </c>
      <c r="W37">
        <v>1</v>
      </c>
    </row>
    <row r="38" spans="5:23" x14ac:dyDescent="0.2">
      <c r="E38">
        <v>36</v>
      </c>
      <c r="F38" t="s">
        <v>35</v>
      </c>
      <c r="G38" s="5">
        <v>6.29</v>
      </c>
      <c r="M38">
        <v>36</v>
      </c>
      <c r="N38" t="s">
        <v>35</v>
      </c>
      <c r="O38" s="5">
        <v>6.29</v>
      </c>
      <c r="U38">
        <v>36</v>
      </c>
      <c r="V38" t="s">
        <v>132</v>
      </c>
      <c r="W38">
        <v>1</v>
      </c>
    </row>
    <row r="39" spans="5:23" x14ac:dyDescent="0.2">
      <c r="E39">
        <v>37</v>
      </c>
      <c r="F39" t="s">
        <v>356</v>
      </c>
      <c r="G39" s="5">
        <v>6.24</v>
      </c>
      <c r="M39">
        <v>37</v>
      </c>
      <c r="N39" t="s">
        <v>356</v>
      </c>
      <c r="O39" s="5">
        <v>6.24</v>
      </c>
      <c r="U39">
        <v>37</v>
      </c>
      <c r="V39" t="s">
        <v>45</v>
      </c>
      <c r="W39">
        <v>1</v>
      </c>
    </row>
    <row r="40" spans="5:23" x14ac:dyDescent="0.2">
      <c r="E40">
        <v>38</v>
      </c>
      <c r="F40" t="s">
        <v>234</v>
      </c>
      <c r="G40" s="5">
        <v>5.99</v>
      </c>
      <c r="M40">
        <v>38</v>
      </c>
      <c r="N40" t="s">
        <v>234</v>
      </c>
      <c r="O40" s="5">
        <v>5.99</v>
      </c>
      <c r="U40">
        <v>38</v>
      </c>
      <c r="V40" t="s">
        <v>194</v>
      </c>
      <c r="W40">
        <v>1</v>
      </c>
    </row>
    <row r="41" spans="5:23" x14ac:dyDescent="0.2">
      <c r="E41">
        <v>39</v>
      </c>
      <c r="F41" t="s">
        <v>218</v>
      </c>
      <c r="G41" s="5">
        <v>5.99</v>
      </c>
      <c r="M41">
        <v>39</v>
      </c>
      <c r="N41" t="s">
        <v>218</v>
      </c>
      <c r="O41" s="5">
        <v>5.99</v>
      </c>
      <c r="U41">
        <v>39</v>
      </c>
      <c r="V41" t="s">
        <v>316</v>
      </c>
      <c r="W41">
        <v>1</v>
      </c>
    </row>
    <row r="42" spans="5:23" x14ac:dyDescent="0.2">
      <c r="E42">
        <v>40</v>
      </c>
      <c r="F42" t="s">
        <v>205</v>
      </c>
      <c r="G42" s="5">
        <v>5.99</v>
      </c>
      <c r="M42">
        <v>40</v>
      </c>
      <c r="N42" t="s">
        <v>205</v>
      </c>
      <c r="O42" s="5">
        <v>5.99</v>
      </c>
      <c r="U42">
        <v>40</v>
      </c>
      <c r="V42" t="s">
        <v>170</v>
      </c>
      <c r="W42">
        <v>1</v>
      </c>
    </row>
    <row r="43" spans="5:23" x14ac:dyDescent="0.2">
      <c r="E43">
        <v>41</v>
      </c>
      <c r="F43" t="s">
        <v>132</v>
      </c>
      <c r="G43" s="5">
        <v>5.89</v>
      </c>
      <c r="M43">
        <v>41</v>
      </c>
      <c r="N43" t="s">
        <v>132</v>
      </c>
      <c r="O43" s="5">
        <v>5.89</v>
      </c>
      <c r="U43">
        <v>41</v>
      </c>
      <c r="V43" t="s">
        <v>350</v>
      </c>
      <c r="W43">
        <v>1</v>
      </c>
    </row>
    <row r="44" spans="5:23" x14ac:dyDescent="0.2">
      <c r="E44">
        <v>42</v>
      </c>
      <c r="F44" t="s">
        <v>319</v>
      </c>
      <c r="G44" s="5">
        <v>5.74</v>
      </c>
      <c r="M44">
        <v>42</v>
      </c>
      <c r="N44" t="s">
        <v>319</v>
      </c>
      <c r="O44" s="5">
        <v>5.74</v>
      </c>
      <c r="U44">
        <v>42</v>
      </c>
      <c r="V44" t="s">
        <v>198</v>
      </c>
      <c r="W44">
        <v>1</v>
      </c>
    </row>
    <row r="45" spans="5:23" x14ac:dyDescent="0.2">
      <c r="E45">
        <v>43</v>
      </c>
      <c r="F45" t="s">
        <v>387</v>
      </c>
      <c r="G45" s="5">
        <v>5.65</v>
      </c>
      <c r="M45">
        <v>43</v>
      </c>
      <c r="N45" t="s">
        <v>387</v>
      </c>
      <c r="O45" s="5">
        <v>5.65</v>
      </c>
      <c r="U45">
        <v>43</v>
      </c>
      <c r="V45" t="s">
        <v>384</v>
      </c>
      <c r="W45">
        <v>1</v>
      </c>
    </row>
    <row r="46" spans="5:23" x14ac:dyDescent="0.2">
      <c r="E46">
        <v>44</v>
      </c>
      <c r="F46" t="s">
        <v>14</v>
      </c>
      <c r="G46" s="5">
        <v>5.42</v>
      </c>
      <c r="M46">
        <v>44</v>
      </c>
      <c r="N46" t="s">
        <v>14</v>
      </c>
      <c r="O46" s="5">
        <v>5.42</v>
      </c>
      <c r="U46">
        <v>44</v>
      </c>
      <c r="V46" t="s">
        <v>163</v>
      </c>
      <c r="W46">
        <v>1</v>
      </c>
    </row>
    <row r="47" spans="5:23" x14ac:dyDescent="0.2">
      <c r="E47">
        <v>45</v>
      </c>
      <c r="F47" t="s">
        <v>198</v>
      </c>
      <c r="G47" s="5">
        <v>5.25</v>
      </c>
      <c r="M47">
        <v>45</v>
      </c>
      <c r="N47" t="s">
        <v>198</v>
      </c>
      <c r="O47" s="5">
        <v>5.25</v>
      </c>
      <c r="U47">
        <v>45</v>
      </c>
      <c r="V47" t="s">
        <v>306</v>
      </c>
      <c r="W47">
        <v>1</v>
      </c>
    </row>
    <row r="48" spans="5:23" x14ac:dyDescent="0.2">
      <c r="E48">
        <v>46</v>
      </c>
      <c r="F48" t="s">
        <v>212</v>
      </c>
      <c r="G48" s="5">
        <v>4.88</v>
      </c>
      <c r="M48">
        <v>46</v>
      </c>
      <c r="N48" t="s">
        <v>212</v>
      </c>
      <c r="O48" s="5">
        <v>4.88</v>
      </c>
      <c r="U48">
        <v>46</v>
      </c>
      <c r="V48" t="s">
        <v>35</v>
      </c>
      <c r="W48">
        <v>1</v>
      </c>
    </row>
    <row r="49" spans="5:23" x14ac:dyDescent="0.2">
      <c r="E49">
        <v>47</v>
      </c>
      <c r="F49" t="s">
        <v>350</v>
      </c>
      <c r="G49" s="5">
        <v>4.46</v>
      </c>
      <c r="M49">
        <v>47</v>
      </c>
      <c r="N49" t="s">
        <v>350</v>
      </c>
      <c r="O49" s="5">
        <v>4.46</v>
      </c>
      <c r="U49">
        <v>47</v>
      </c>
      <c r="V49" t="s">
        <v>66</v>
      </c>
      <c r="W49">
        <v>1</v>
      </c>
    </row>
    <row r="50" spans="5:23" x14ac:dyDescent="0.2">
      <c r="E50">
        <v>48</v>
      </c>
      <c r="F50" t="s">
        <v>163</v>
      </c>
      <c r="G50" s="5">
        <v>3.89</v>
      </c>
      <c r="M50">
        <v>48</v>
      </c>
      <c r="N50" t="s">
        <v>163</v>
      </c>
      <c r="O50" s="5">
        <v>3.89</v>
      </c>
      <c r="U50">
        <v>48</v>
      </c>
      <c r="V50" t="s">
        <v>344</v>
      </c>
      <c r="W50">
        <v>1</v>
      </c>
    </row>
    <row r="51" spans="5:23" x14ac:dyDescent="0.2">
      <c r="E51">
        <v>49</v>
      </c>
      <c r="F51" t="s">
        <v>363</v>
      </c>
      <c r="G51" s="5">
        <v>3.69</v>
      </c>
      <c r="M51">
        <v>49</v>
      </c>
      <c r="N51" t="s">
        <v>363</v>
      </c>
      <c r="O51" s="5">
        <v>3.69</v>
      </c>
      <c r="U51">
        <v>49</v>
      </c>
      <c r="V51" t="s">
        <v>319</v>
      </c>
      <c r="W51">
        <v>1</v>
      </c>
    </row>
    <row r="52" spans="5:23" x14ac:dyDescent="0.2">
      <c r="E52">
        <v>50</v>
      </c>
      <c r="F52" t="s">
        <v>170</v>
      </c>
      <c r="G52" s="5">
        <v>3.45</v>
      </c>
      <c r="M52">
        <v>50</v>
      </c>
      <c r="N52" t="s">
        <v>170</v>
      </c>
      <c r="O52" s="5">
        <v>3.45</v>
      </c>
      <c r="U52">
        <v>50</v>
      </c>
      <c r="V52" t="s">
        <v>356</v>
      </c>
      <c r="W52">
        <v>1</v>
      </c>
    </row>
    <row r="53" spans="5:23" x14ac:dyDescent="0.2">
      <c r="E53">
        <v>51</v>
      </c>
      <c r="F53" t="s">
        <v>228</v>
      </c>
      <c r="G53" s="5">
        <v>3.29</v>
      </c>
      <c r="M53">
        <v>51</v>
      </c>
      <c r="N53" t="s">
        <v>228</v>
      </c>
      <c r="O53" s="5">
        <v>3.29</v>
      </c>
      <c r="U53">
        <v>51</v>
      </c>
      <c r="V53" t="s">
        <v>228</v>
      </c>
      <c r="W53">
        <v>1</v>
      </c>
    </row>
    <row r="54" spans="5:23" x14ac:dyDescent="0.2">
      <c r="E54">
        <v>52</v>
      </c>
      <c r="F54" t="s">
        <v>372</v>
      </c>
      <c r="G54" s="5">
        <v>3.19</v>
      </c>
      <c r="M54">
        <v>52</v>
      </c>
      <c r="N54" t="s">
        <v>372</v>
      </c>
      <c r="O54" s="5">
        <v>3.19</v>
      </c>
      <c r="U54">
        <v>52</v>
      </c>
      <c r="V54" t="s">
        <v>334</v>
      </c>
      <c r="W54">
        <v>1</v>
      </c>
    </row>
    <row r="55" spans="5:23" x14ac:dyDescent="0.2">
      <c r="E55">
        <v>53</v>
      </c>
      <c r="F55" t="s">
        <v>334</v>
      </c>
      <c r="G55" s="5">
        <v>3.16</v>
      </c>
      <c r="M55">
        <v>53</v>
      </c>
      <c r="N55" t="s">
        <v>334</v>
      </c>
      <c r="O55" s="5">
        <v>3.16</v>
      </c>
      <c r="U55">
        <v>53</v>
      </c>
      <c r="V55" t="s">
        <v>234</v>
      </c>
      <c r="W55">
        <v>1</v>
      </c>
    </row>
    <row r="56" spans="5:23" x14ac:dyDescent="0.2">
      <c r="E56">
        <v>54</v>
      </c>
      <c r="F56" t="s">
        <v>86</v>
      </c>
      <c r="G56" s="5">
        <v>3.12</v>
      </c>
      <c r="M56">
        <v>54</v>
      </c>
      <c r="N56" t="s">
        <v>86</v>
      </c>
      <c r="O56" s="5">
        <v>3.12</v>
      </c>
      <c r="U56">
        <v>54</v>
      </c>
      <c r="V56" t="s">
        <v>231</v>
      </c>
      <c r="W56">
        <v>1</v>
      </c>
    </row>
    <row r="57" spans="5:23" x14ac:dyDescent="0.2">
      <c r="E57">
        <v>55</v>
      </c>
      <c r="F57" t="s">
        <v>66</v>
      </c>
      <c r="G57" s="5">
        <v>2.99</v>
      </c>
      <c r="M57">
        <v>55</v>
      </c>
      <c r="N57" t="s">
        <v>66</v>
      </c>
      <c r="O57" s="5">
        <v>2.99</v>
      </c>
      <c r="U57">
        <v>55</v>
      </c>
      <c r="V57" t="s">
        <v>363</v>
      </c>
      <c r="W57">
        <v>1</v>
      </c>
    </row>
    <row r="58" spans="5:23" x14ac:dyDescent="0.2">
      <c r="E58">
        <v>56</v>
      </c>
      <c r="F58" t="s">
        <v>231</v>
      </c>
      <c r="G58" s="5">
        <v>2.99</v>
      </c>
      <c r="M58">
        <v>56</v>
      </c>
      <c r="N58" t="s">
        <v>231</v>
      </c>
      <c r="O58" s="5">
        <v>2.99</v>
      </c>
      <c r="U58">
        <v>56</v>
      </c>
      <c r="V58" t="s">
        <v>172</v>
      </c>
      <c r="W58">
        <v>1</v>
      </c>
    </row>
    <row r="59" spans="5:23" x14ac:dyDescent="0.2">
      <c r="E59">
        <v>57</v>
      </c>
      <c r="F59" t="s">
        <v>187</v>
      </c>
      <c r="G59" s="5">
        <v>2.99</v>
      </c>
      <c r="M59">
        <v>57</v>
      </c>
      <c r="N59" t="s">
        <v>187</v>
      </c>
      <c r="O59" s="5">
        <v>2.99</v>
      </c>
      <c r="U59">
        <v>57</v>
      </c>
      <c r="V59" t="s">
        <v>121</v>
      </c>
      <c r="W59">
        <v>1</v>
      </c>
    </row>
    <row r="60" spans="5:23" x14ac:dyDescent="0.2">
      <c r="E60">
        <v>58</v>
      </c>
      <c r="F60" t="s">
        <v>39</v>
      </c>
      <c r="G60" s="5">
        <v>2.86</v>
      </c>
      <c r="M60">
        <v>58</v>
      </c>
      <c r="N60" t="s">
        <v>39</v>
      </c>
      <c r="O60" s="5">
        <v>2.86</v>
      </c>
      <c r="U60">
        <v>58</v>
      </c>
      <c r="V60" t="s">
        <v>313</v>
      </c>
      <c r="W60">
        <v>1</v>
      </c>
    </row>
    <row r="61" spans="5:23" x14ac:dyDescent="0.2">
      <c r="E61">
        <v>59</v>
      </c>
      <c r="F61" t="s">
        <v>209</v>
      </c>
      <c r="G61" s="5">
        <v>2.79</v>
      </c>
      <c r="M61">
        <v>59</v>
      </c>
      <c r="N61" t="s">
        <v>209</v>
      </c>
      <c r="O61" s="5">
        <v>2.79</v>
      </c>
      <c r="U61">
        <v>59</v>
      </c>
      <c r="V61" t="s">
        <v>187</v>
      </c>
      <c r="W61">
        <v>1</v>
      </c>
    </row>
    <row r="62" spans="5:23" x14ac:dyDescent="0.2">
      <c r="E62">
        <v>60</v>
      </c>
      <c r="F62" t="s">
        <v>172</v>
      </c>
      <c r="G62" s="5">
        <v>2.39</v>
      </c>
      <c r="M62">
        <v>60</v>
      </c>
      <c r="N62" t="s">
        <v>172</v>
      </c>
      <c r="O62" s="5">
        <v>2.39</v>
      </c>
      <c r="U62">
        <v>60</v>
      </c>
      <c r="V62" t="s">
        <v>372</v>
      </c>
      <c r="W62">
        <v>1</v>
      </c>
    </row>
    <row r="63" spans="5:23" x14ac:dyDescent="0.2">
      <c r="E63">
        <v>61</v>
      </c>
      <c r="F63" t="s">
        <v>194</v>
      </c>
      <c r="G63" s="5">
        <v>1.99</v>
      </c>
      <c r="M63">
        <v>61</v>
      </c>
      <c r="N63" t="s">
        <v>194</v>
      </c>
      <c r="O63" s="5">
        <v>1.99</v>
      </c>
      <c r="U63">
        <v>61</v>
      </c>
      <c r="V63" t="s">
        <v>86</v>
      </c>
      <c r="W63">
        <v>1</v>
      </c>
    </row>
    <row r="64" spans="5:23" x14ac:dyDescent="0.2">
      <c r="E64">
        <v>62</v>
      </c>
      <c r="F64" t="s">
        <v>146</v>
      </c>
      <c r="G64" s="5">
        <v>1.84</v>
      </c>
      <c r="M64">
        <v>62</v>
      </c>
      <c r="N64" t="s">
        <v>146</v>
      </c>
      <c r="O64" s="5">
        <v>1.84</v>
      </c>
      <c r="U64">
        <v>62</v>
      </c>
      <c r="V64" t="s">
        <v>218</v>
      </c>
      <c r="W64">
        <v>1</v>
      </c>
    </row>
    <row r="65" spans="5:23" x14ac:dyDescent="0.2">
      <c r="E65">
        <v>63</v>
      </c>
      <c r="F65" t="s">
        <v>45</v>
      </c>
      <c r="G65" s="5">
        <v>1.79</v>
      </c>
      <c r="M65">
        <v>63</v>
      </c>
      <c r="N65" t="s">
        <v>45</v>
      </c>
      <c r="O65" s="5">
        <v>1.79</v>
      </c>
      <c r="U65">
        <v>63</v>
      </c>
      <c r="V65" t="s">
        <v>396</v>
      </c>
      <c r="W65">
        <v>1</v>
      </c>
    </row>
    <row r="66" spans="5:23" x14ac:dyDescent="0.2">
      <c r="E66">
        <v>64</v>
      </c>
      <c r="F66" t="s">
        <v>21</v>
      </c>
      <c r="G66" s="5">
        <v>0.95</v>
      </c>
      <c r="M66">
        <v>64</v>
      </c>
      <c r="N66" t="s">
        <v>21</v>
      </c>
      <c r="O66" s="5">
        <v>0.95</v>
      </c>
      <c r="U66">
        <v>64</v>
      </c>
      <c r="V66" t="s">
        <v>205</v>
      </c>
      <c r="W6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46"/>
  <sheetViews>
    <sheetView showGridLines="0" workbookViewId="0">
      <pane ySplit="6" topLeftCell="A7" activePane="bottomLeft" state="frozen"/>
      <selection pane="bottomLeft" sqref="A1:AG2"/>
    </sheetView>
  </sheetViews>
  <sheetFormatPr baseColWidth="10" defaultColWidth="8.83203125" defaultRowHeight="15" x14ac:dyDescent="0.2"/>
  <cols>
    <col min="1" max="15" width="10" customWidth="1"/>
    <col min="16" max="16" width="2" customWidth="1"/>
    <col min="17" max="17" width="4" customWidth="1"/>
    <col min="18" max="18" width="5" customWidth="1"/>
    <col min="19" max="22" width="15" customWidth="1"/>
    <col min="23" max="23" width="14" customWidth="1"/>
    <col min="24" max="24" width="2" customWidth="1"/>
    <col min="25" max="33" width="13" customWidth="1"/>
  </cols>
  <sheetData>
    <row r="1" spans="1:33" ht="28" customHeight="1" x14ac:dyDescent="0.2">
      <c r="A1" s="93" t="s">
        <v>637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 ht="28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4" spans="1:33" x14ac:dyDescent="0.2">
      <c r="A4" s="7" t="s">
        <v>435</v>
      </c>
      <c r="G4" s="7" t="s">
        <v>436</v>
      </c>
      <c r="M4" s="7" t="s">
        <v>437</v>
      </c>
      <c r="T4" s="7" t="s">
        <v>438</v>
      </c>
      <c r="Z4" s="7" t="s">
        <v>638</v>
      </c>
    </row>
    <row r="5" spans="1:33" ht="16" customHeight="1" x14ac:dyDescent="0.2">
      <c r="A5" s="8">
        <v>899.73</v>
      </c>
      <c r="G5" s="9">
        <v>158</v>
      </c>
      <c r="M5" s="9" t="s">
        <v>639</v>
      </c>
      <c r="T5" s="9">
        <v>5</v>
      </c>
      <c r="Z5" s="9">
        <v>21</v>
      </c>
    </row>
    <row r="8" spans="1:33" ht="16" customHeight="1" x14ac:dyDescent="0.2">
      <c r="Q8" s="92" t="s">
        <v>441</v>
      </c>
      <c r="R8" s="87"/>
      <c r="S8" s="87"/>
      <c r="T8" s="87"/>
      <c r="U8" s="87"/>
      <c r="V8" s="87"/>
      <c r="W8" s="87"/>
      <c r="Y8" s="92" t="s">
        <v>442</v>
      </c>
      <c r="Z8" s="87"/>
      <c r="AA8" s="87"/>
      <c r="AB8" s="87"/>
      <c r="AC8" s="87"/>
      <c r="AD8" s="87"/>
      <c r="AE8" s="87"/>
      <c r="AF8" s="87"/>
      <c r="AG8" s="87"/>
    </row>
    <row r="9" spans="1:33" x14ac:dyDescent="0.2">
      <c r="Q9" s="10"/>
      <c r="R9" s="10" t="s">
        <v>443</v>
      </c>
      <c r="S9" s="10" t="s">
        <v>444</v>
      </c>
      <c r="W9" s="10" t="s">
        <v>445</v>
      </c>
    </row>
    <row r="10" spans="1:33" ht="22" customHeight="1" x14ac:dyDescent="0.2">
      <c r="Q10" s="11"/>
      <c r="R10" s="12">
        <v>1</v>
      </c>
      <c r="S10" s="86" t="s">
        <v>446</v>
      </c>
      <c r="T10" s="87"/>
      <c r="U10" s="87"/>
      <c r="V10" s="87"/>
      <c r="W10" s="6" t="s">
        <v>640</v>
      </c>
      <c r="Y10" s="91" t="s">
        <v>448</v>
      </c>
      <c r="Z10" s="87"/>
      <c r="AA10" s="87"/>
      <c r="AB10" s="87"/>
      <c r="AC10" s="87"/>
      <c r="AD10" s="87"/>
      <c r="AE10" s="87"/>
      <c r="AF10" s="87"/>
      <c r="AG10" s="87"/>
    </row>
    <row r="11" spans="1:33" x14ac:dyDescent="0.2">
      <c r="Y11" s="86" t="s">
        <v>449</v>
      </c>
      <c r="Z11" s="87"/>
      <c r="AA11" s="87"/>
      <c r="AB11" s="87"/>
      <c r="AC11" s="87"/>
      <c r="AD11" s="87"/>
      <c r="AE11" s="87"/>
      <c r="AF11" s="87"/>
      <c r="AG11" s="87"/>
    </row>
    <row r="12" spans="1:33" x14ac:dyDescent="0.2">
      <c r="Y12" s="87"/>
      <c r="Z12" s="87"/>
      <c r="AA12" s="87"/>
      <c r="AB12" s="87"/>
      <c r="AC12" s="87"/>
      <c r="AD12" s="87"/>
      <c r="AE12" s="87"/>
      <c r="AF12" s="87"/>
      <c r="AG12" s="87"/>
    </row>
    <row r="13" spans="1:33" x14ac:dyDescent="0.2">
      <c r="Y13" s="87"/>
      <c r="Z13" s="87"/>
      <c r="AA13" s="87"/>
      <c r="AB13" s="87"/>
      <c r="AC13" s="87"/>
      <c r="AD13" s="87"/>
      <c r="AE13" s="87"/>
      <c r="AF13" s="87"/>
      <c r="AG13" s="87"/>
    </row>
    <row r="14" spans="1:33" x14ac:dyDescent="0.2">
      <c r="Y14" s="87"/>
      <c r="Z14" s="87"/>
      <c r="AA14" s="87"/>
      <c r="AB14" s="87"/>
      <c r="AC14" s="87"/>
      <c r="AD14" s="87"/>
      <c r="AE14" s="87"/>
      <c r="AF14" s="87"/>
      <c r="AG14" s="87"/>
    </row>
    <row r="16" spans="1:33" x14ac:dyDescent="0.2">
      <c r="Y16" s="91" t="s">
        <v>450</v>
      </c>
      <c r="Z16" s="87"/>
      <c r="AA16" s="87"/>
      <c r="AB16" s="87"/>
      <c r="AC16" s="87"/>
      <c r="AD16" s="87"/>
      <c r="AE16" s="87"/>
      <c r="AF16" s="87"/>
      <c r="AG16" s="87"/>
    </row>
    <row r="17" spans="25:33" x14ac:dyDescent="0.2">
      <c r="Y17" s="86" t="s">
        <v>451</v>
      </c>
      <c r="Z17" s="87"/>
      <c r="AA17" s="87"/>
      <c r="AB17" s="87"/>
      <c r="AC17" s="87"/>
      <c r="AD17" s="87"/>
      <c r="AE17" s="87"/>
      <c r="AF17" s="87"/>
      <c r="AG17" s="87"/>
    </row>
    <row r="18" spans="25:33" x14ac:dyDescent="0.2">
      <c r="Y18" s="87"/>
      <c r="Z18" s="87"/>
      <c r="AA18" s="87"/>
      <c r="AB18" s="87"/>
      <c r="AC18" s="87"/>
      <c r="AD18" s="87"/>
      <c r="AE18" s="87"/>
      <c r="AF18" s="87"/>
      <c r="AG18" s="87"/>
    </row>
    <row r="19" spans="25:33" x14ac:dyDescent="0.2">
      <c r="Y19" s="87"/>
      <c r="Z19" s="87"/>
      <c r="AA19" s="87"/>
      <c r="AB19" s="87"/>
      <c r="AC19" s="87"/>
      <c r="AD19" s="87"/>
      <c r="AE19" s="87"/>
      <c r="AF19" s="87"/>
      <c r="AG19" s="87"/>
    </row>
    <row r="20" spans="25:33" x14ac:dyDescent="0.2">
      <c r="Y20" s="87"/>
      <c r="Z20" s="87"/>
      <c r="AA20" s="87"/>
      <c r="AB20" s="87"/>
      <c r="AC20" s="87"/>
      <c r="AD20" s="87"/>
      <c r="AE20" s="87"/>
      <c r="AF20" s="87"/>
      <c r="AG20" s="87"/>
    </row>
    <row r="22" spans="25:33" x14ac:dyDescent="0.2">
      <c r="Y22" s="91" t="s">
        <v>452</v>
      </c>
      <c r="Z22" s="87"/>
      <c r="AA22" s="87"/>
      <c r="AB22" s="87"/>
      <c r="AC22" s="87"/>
      <c r="AD22" s="87"/>
      <c r="AE22" s="87"/>
      <c r="AF22" s="87"/>
      <c r="AG22" s="87"/>
    </row>
    <row r="23" spans="25:33" x14ac:dyDescent="0.2">
      <c r="Y23" s="86" t="s">
        <v>453</v>
      </c>
      <c r="Z23" s="87"/>
      <c r="AA23" s="87"/>
      <c r="AB23" s="87"/>
      <c r="AC23" s="87"/>
      <c r="AD23" s="87"/>
      <c r="AE23" s="87"/>
      <c r="AF23" s="87"/>
      <c r="AG23" s="87"/>
    </row>
    <row r="24" spans="25:33" x14ac:dyDescent="0.2">
      <c r="Y24" s="87"/>
      <c r="Z24" s="87"/>
      <c r="AA24" s="87"/>
      <c r="AB24" s="87"/>
      <c r="AC24" s="87"/>
      <c r="AD24" s="87"/>
      <c r="AE24" s="87"/>
      <c r="AF24" s="87"/>
      <c r="AG24" s="87"/>
    </row>
    <row r="25" spans="25:33" x14ac:dyDescent="0.2">
      <c r="Y25" s="87"/>
      <c r="Z25" s="87"/>
      <c r="AA25" s="87"/>
      <c r="AB25" s="87"/>
      <c r="AC25" s="87"/>
      <c r="AD25" s="87"/>
      <c r="AE25" s="87"/>
      <c r="AF25" s="87"/>
      <c r="AG25" s="87"/>
    </row>
    <row r="26" spans="25:33" x14ac:dyDescent="0.2">
      <c r="Y26" s="87"/>
      <c r="Z26" s="87"/>
      <c r="AA26" s="87"/>
      <c r="AB26" s="87"/>
      <c r="AC26" s="87"/>
      <c r="AD26" s="87"/>
      <c r="AE26" s="87"/>
      <c r="AF26" s="87"/>
      <c r="AG26" s="87"/>
    </row>
    <row r="28" spans="25:33" x14ac:dyDescent="0.2">
      <c r="Y28" s="91" t="s">
        <v>454</v>
      </c>
      <c r="Z28" s="87"/>
      <c r="AA28" s="87"/>
      <c r="AB28" s="87"/>
      <c r="AC28" s="87"/>
      <c r="AD28" s="87"/>
      <c r="AE28" s="87"/>
      <c r="AF28" s="87"/>
      <c r="AG28" s="87"/>
    </row>
    <row r="29" spans="25:33" x14ac:dyDescent="0.2">
      <c r="Y29" s="86" t="s">
        <v>455</v>
      </c>
      <c r="Z29" s="87"/>
      <c r="AA29" s="87"/>
      <c r="AB29" s="87"/>
      <c r="AC29" s="87"/>
      <c r="AD29" s="87"/>
      <c r="AE29" s="87"/>
      <c r="AF29" s="87"/>
      <c r="AG29" s="87"/>
    </row>
    <row r="30" spans="25:33" x14ac:dyDescent="0.2">
      <c r="Y30" s="87"/>
      <c r="Z30" s="87"/>
      <c r="AA30" s="87"/>
      <c r="AB30" s="87"/>
      <c r="AC30" s="87"/>
      <c r="AD30" s="87"/>
      <c r="AE30" s="87"/>
      <c r="AF30" s="87"/>
      <c r="AG30" s="87"/>
    </row>
    <row r="31" spans="25:33" x14ac:dyDescent="0.2">
      <c r="Y31" s="87"/>
      <c r="Z31" s="87"/>
      <c r="AA31" s="87"/>
      <c r="AB31" s="87"/>
      <c r="AC31" s="87"/>
      <c r="AD31" s="87"/>
      <c r="AE31" s="87"/>
      <c r="AF31" s="87"/>
      <c r="AG31" s="87"/>
    </row>
    <row r="32" spans="25:33" x14ac:dyDescent="0.2">
      <c r="Y32" s="87"/>
      <c r="Z32" s="87"/>
      <c r="AA32" s="87"/>
      <c r="AB32" s="87"/>
      <c r="AC32" s="87"/>
      <c r="AD32" s="87"/>
      <c r="AE32" s="87"/>
      <c r="AF32" s="87"/>
      <c r="AG32" s="87"/>
    </row>
    <row r="44" spans="17:33" ht="16" customHeight="1" x14ac:dyDescent="0.2">
      <c r="Q44" s="92" t="s">
        <v>641</v>
      </c>
      <c r="R44" s="87"/>
      <c r="S44" s="87"/>
      <c r="T44" s="87"/>
      <c r="U44" s="87"/>
      <c r="V44" s="87"/>
      <c r="W44" s="87"/>
      <c r="Y44" s="92" t="s">
        <v>442</v>
      </c>
      <c r="Z44" s="87"/>
      <c r="AA44" s="87"/>
      <c r="AB44" s="87"/>
      <c r="AC44" s="87"/>
      <c r="AD44" s="87"/>
      <c r="AE44" s="87"/>
      <c r="AF44" s="87"/>
      <c r="AG44" s="87"/>
    </row>
    <row r="45" spans="17:33" x14ac:dyDescent="0.2">
      <c r="Q45" s="10"/>
      <c r="R45" s="10" t="s">
        <v>443</v>
      </c>
      <c r="S45" s="10" t="s">
        <v>444</v>
      </c>
      <c r="W45" s="10" t="s">
        <v>445</v>
      </c>
    </row>
    <row r="46" spans="17:33" ht="22" customHeight="1" x14ac:dyDescent="0.2">
      <c r="Q46" s="11"/>
      <c r="R46" s="12">
        <v>1</v>
      </c>
      <c r="S46" s="86" t="s">
        <v>251</v>
      </c>
      <c r="T46" s="87"/>
      <c r="U46" s="87"/>
      <c r="V46" s="87"/>
      <c r="W46" s="6" t="s">
        <v>642</v>
      </c>
      <c r="Y46" s="91" t="s">
        <v>448</v>
      </c>
      <c r="Z46" s="87"/>
      <c r="AA46" s="87"/>
      <c r="AB46" s="87"/>
      <c r="AC46" s="87"/>
      <c r="AD46" s="87"/>
      <c r="AE46" s="87"/>
      <c r="AF46" s="87"/>
      <c r="AG46" s="87"/>
    </row>
    <row r="47" spans="17:33" ht="22" customHeight="1" x14ac:dyDescent="0.2">
      <c r="Q47" s="13"/>
      <c r="R47" s="12">
        <v>2</v>
      </c>
      <c r="S47" s="86" t="s">
        <v>426</v>
      </c>
      <c r="T47" s="87"/>
      <c r="U47" s="87"/>
      <c r="V47" s="87"/>
      <c r="W47" s="6" t="s">
        <v>643</v>
      </c>
      <c r="Y47" s="86" t="s">
        <v>644</v>
      </c>
      <c r="Z47" s="87"/>
      <c r="AA47" s="87"/>
      <c r="AB47" s="87"/>
      <c r="AC47" s="87"/>
      <c r="AD47" s="87"/>
      <c r="AE47" s="87"/>
      <c r="AF47" s="87"/>
      <c r="AG47" s="87"/>
    </row>
    <row r="48" spans="17:33" ht="22" customHeight="1" x14ac:dyDescent="0.2">
      <c r="Q48" s="14"/>
      <c r="R48" s="12">
        <v>3</v>
      </c>
      <c r="S48" s="86" t="s">
        <v>422</v>
      </c>
      <c r="T48" s="87"/>
      <c r="U48" s="87"/>
      <c r="V48" s="87"/>
      <c r="W48" s="6" t="s">
        <v>645</v>
      </c>
      <c r="Y48" s="87"/>
      <c r="Z48" s="87"/>
      <c r="AA48" s="87"/>
      <c r="AB48" s="87"/>
      <c r="AC48" s="87"/>
      <c r="AD48" s="87"/>
      <c r="AE48" s="87"/>
      <c r="AF48" s="87"/>
      <c r="AG48" s="87"/>
    </row>
    <row r="49" spans="17:33" ht="22" customHeight="1" x14ac:dyDescent="0.2">
      <c r="Q49" s="15"/>
      <c r="R49" s="12">
        <v>4</v>
      </c>
      <c r="S49" s="86" t="s">
        <v>425</v>
      </c>
      <c r="T49" s="87"/>
      <c r="U49" s="87"/>
      <c r="V49" s="87"/>
      <c r="W49" s="6" t="s">
        <v>458</v>
      </c>
      <c r="Y49" s="87"/>
      <c r="Z49" s="87"/>
      <c r="AA49" s="87"/>
      <c r="AB49" s="87"/>
      <c r="AC49" s="87"/>
      <c r="AD49" s="87"/>
      <c r="AE49" s="87"/>
      <c r="AF49" s="87"/>
      <c r="AG49" s="87"/>
    </row>
    <row r="50" spans="17:33" ht="22" customHeight="1" x14ac:dyDescent="0.2">
      <c r="Q50" s="16"/>
      <c r="R50" s="12">
        <v>5</v>
      </c>
      <c r="S50" s="86" t="s">
        <v>417</v>
      </c>
      <c r="T50" s="87"/>
      <c r="U50" s="87"/>
      <c r="V50" s="87"/>
      <c r="W50" s="6" t="s">
        <v>646</v>
      </c>
      <c r="Y50" s="87"/>
      <c r="Z50" s="87"/>
      <c r="AA50" s="87"/>
      <c r="AB50" s="87"/>
      <c r="AC50" s="87"/>
      <c r="AD50" s="87"/>
      <c r="AE50" s="87"/>
      <c r="AF50" s="87"/>
      <c r="AG50" s="87"/>
    </row>
    <row r="51" spans="17:33" ht="22" customHeight="1" x14ac:dyDescent="0.2">
      <c r="Q51" s="17"/>
      <c r="R51" s="12">
        <v>6</v>
      </c>
      <c r="S51" s="86" t="s">
        <v>419</v>
      </c>
      <c r="T51" s="87"/>
      <c r="U51" s="87"/>
      <c r="V51" s="87"/>
      <c r="W51" s="6" t="s">
        <v>647</v>
      </c>
    </row>
    <row r="52" spans="17:33" ht="22" customHeight="1" x14ac:dyDescent="0.2">
      <c r="Q52" s="18"/>
      <c r="R52" s="12">
        <v>7</v>
      </c>
      <c r="S52" s="86" t="s">
        <v>421</v>
      </c>
      <c r="T52" s="87"/>
      <c r="U52" s="87"/>
      <c r="V52" s="87"/>
      <c r="W52" s="6" t="s">
        <v>462</v>
      </c>
      <c r="Y52" s="91" t="s">
        <v>450</v>
      </c>
      <c r="Z52" s="87"/>
      <c r="AA52" s="87"/>
      <c r="AB52" s="87"/>
      <c r="AC52" s="87"/>
      <c r="AD52" s="87"/>
      <c r="AE52" s="87"/>
      <c r="AF52" s="87"/>
      <c r="AG52" s="87"/>
    </row>
    <row r="53" spans="17:33" ht="22" customHeight="1" x14ac:dyDescent="0.2">
      <c r="Q53" s="19"/>
      <c r="R53" s="12">
        <v>8</v>
      </c>
      <c r="S53" s="86" t="s">
        <v>432</v>
      </c>
      <c r="T53" s="87"/>
      <c r="U53" s="87"/>
      <c r="V53" s="87"/>
      <c r="W53" s="6" t="s">
        <v>648</v>
      </c>
      <c r="Y53" s="86" t="s">
        <v>649</v>
      </c>
      <c r="Z53" s="87"/>
      <c r="AA53" s="87"/>
      <c r="AB53" s="87"/>
      <c r="AC53" s="87"/>
      <c r="AD53" s="87"/>
      <c r="AE53" s="87"/>
      <c r="AF53" s="87"/>
      <c r="AG53" s="87"/>
    </row>
    <row r="54" spans="17:33" ht="22" customHeight="1" x14ac:dyDescent="0.2">
      <c r="Q54" s="20"/>
      <c r="R54" s="12">
        <v>9</v>
      </c>
      <c r="S54" s="86" t="s">
        <v>424</v>
      </c>
      <c r="T54" s="87"/>
      <c r="U54" s="87"/>
      <c r="V54" s="87"/>
      <c r="W54" s="6" t="s">
        <v>650</v>
      </c>
      <c r="Y54" s="87"/>
      <c r="Z54" s="87"/>
      <c r="AA54" s="87"/>
      <c r="AB54" s="87"/>
      <c r="AC54" s="87"/>
      <c r="AD54" s="87"/>
      <c r="AE54" s="87"/>
      <c r="AF54" s="87"/>
      <c r="AG54" s="87"/>
    </row>
    <row r="55" spans="17:33" ht="22" customHeight="1" x14ac:dyDescent="0.2">
      <c r="Q55" s="21"/>
      <c r="R55" s="12">
        <v>10</v>
      </c>
      <c r="S55" s="86" t="s">
        <v>344</v>
      </c>
      <c r="T55" s="87"/>
      <c r="U55" s="87"/>
      <c r="V55" s="87"/>
      <c r="W55" s="6" t="s">
        <v>467</v>
      </c>
      <c r="Y55" s="87"/>
      <c r="Z55" s="87"/>
      <c r="AA55" s="87"/>
      <c r="AB55" s="87"/>
      <c r="AC55" s="87"/>
      <c r="AD55" s="87"/>
      <c r="AE55" s="87"/>
      <c r="AF55" s="87"/>
      <c r="AG55" s="87"/>
    </row>
    <row r="56" spans="17:33" ht="22" customHeight="1" x14ac:dyDescent="0.2">
      <c r="Q56" s="22"/>
      <c r="R56" s="12">
        <v>11</v>
      </c>
      <c r="S56" s="86" t="s">
        <v>418</v>
      </c>
      <c r="T56" s="87"/>
      <c r="U56" s="87"/>
      <c r="V56" s="87"/>
      <c r="W56" s="6" t="s">
        <v>651</v>
      </c>
      <c r="Y56" s="87"/>
      <c r="Z56" s="87"/>
      <c r="AA56" s="87"/>
      <c r="AB56" s="87"/>
      <c r="AC56" s="87"/>
      <c r="AD56" s="87"/>
      <c r="AE56" s="87"/>
      <c r="AF56" s="87"/>
      <c r="AG56" s="87"/>
    </row>
    <row r="57" spans="17:33" ht="22" customHeight="1" x14ac:dyDescent="0.2">
      <c r="Q57" s="23"/>
      <c r="R57" s="12">
        <v>12</v>
      </c>
      <c r="S57" s="86" t="s">
        <v>423</v>
      </c>
      <c r="T57" s="87"/>
      <c r="U57" s="87"/>
      <c r="V57" s="87"/>
      <c r="W57" s="6" t="s">
        <v>652</v>
      </c>
    </row>
    <row r="58" spans="17:33" ht="22" customHeight="1" x14ac:dyDescent="0.2">
      <c r="Q58" s="11"/>
      <c r="R58" s="12">
        <v>13</v>
      </c>
      <c r="S58" s="86" t="s">
        <v>420</v>
      </c>
      <c r="T58" s="87"/>
      <c r="U58" s="87"/>
      <c r="V58" s="87"/>
      <c r="W58" s="6" t="s">
        <v>653</v>
      </c>
      <c r="Y58" s="91" t="s">
        <v>452</v>
      </c>
      <c r="Z58" s="87"/>
      <c r="AA58" s="87"/>
      <c r="AB58" s="87"/>
      <c r="AC58" s="87"/>
      <c r="AD58" s="87"/>
      <c r="AE58" s="87"/>
      <c r="AF58" s="87"/>
      <c r="AG58" s="87"/>
    </row>
    <row r="59" spans="17:33" ht="22" customHeight="1" x14ac:dyDescent="0.2">
      <c r="Q59" s="13"/>
      <c r="R59" s="12">
        <v>14</v>
      </c>
      <c r="S59" s="86" t="s">
        <v>427</v>
      </c>
      <c r="T59" s="87"/>
      <c r="U59" s="87"/>
      <c r="V59" s="87"/>
      <c r="W59" s="6" t="s">
        <v>477</v>
      </c>
      <c r="Y59" s="86" t="s">
        <v>473</v>
      </c>
      <c r="Z59" s="87"/>
      <c r="AA59" s="87"/>
      <c r="AB59" s="87"/>
      <c r="AC59" s="87"/>
      <c r="AD59" s="87"/>
      <c r="AE59" s="87"/>
      <c r="AF59" s="87"/>
      <c r="AG59" s="87"/>
    </row>
    <row r="60" spans="17:33" ht="22" customHeight="1" x14ac:dyDescent="0.2">
      <c r="Q60" s="14"/>
      <c r="R60" s="12">
        <v>15</v>
      </c>
      <c r="S60" s="86" t="s">
        <v>430</v>
      </c>
      <c r="T60" s="87"/>
      <c r="U60" s="87"/>
      <c r="V60" s="87"/>
      <c r="W60" s="6" t="s">
        <v>479</v>
      </c>
      <c r="Y60" s="87"/>
      <c r="Z60" s="87"/>
      <c r="AA60" s="87"/>
      <c r="AB60" s="87"/>
      <c r="AC60" s="87"/>
      <c r="AD60" s="87"/>
      <c r="AE60" s="87"/>
      <c r="AF60" s="87"/>
      <c r="AG60" s="87"/>
    </row>
    <row r="61" spans="17:33" ht="22" customHeight="1" x14ac:dyDescent="0.2">
      <c r="Q61" s="15"/>
      <c r="R61" s="12">
        <v>16</v>
      </c>
      <c r="S61" s="86" t="s">
        <v>89</v>
      </c>
      <c r="T61" s="87"/>
      <c r="U61" s="87"/>
      <c r="V61" s="87"/>
      <c r="W61" s="6" t="s">
        <v>654</v>
      </c>
      <c r="Y61" s="87"/>
      <c r="Z61" s="87"/>
      <c r="AA61" s="87"/>
      <c r="AB61" s="87"/>
      <c r="AC61" s="87"/>
      <c r="AD61" s="87"/>
      <c r="AE61" s="87"/>
      <c r="AF61" s="87"/>
      <c r="AG61" s="87"/>
    </row>
    <row r="62" spans="17:33" ht="22" customHeight="1" x14ac:dyDescent="0.2">
      <c r="Q62" s="16"/>
      <c r="R62" s="12">
        <v>17</v>
      </c>
      <c r="S62" s="86" t="s">
        <v>429</v>
      </c>
      <c r="T62" s="87"/>
      <c r="U62" s="87"/>
      <c r="V62" s="87"/>
      <c r="W62" s="6" t="s">
        <v>655</v>
      </c>
      <c r="Y62" s="87"/>
      <c r="Z62" s="87"/>
      <c r="AA62" s="87"/>
      <c r="AB62" s="87"/>
      <c r="AC62" s="87"/>
      <c r="AD62" s="87"/>
      <c r="AE62" s="87"/>
      <c r="AF62" s="87"/>
      <c r="AG62" s="87"/>
    </row>
    <row r="63" spans="17:33" ht="22" customHeight="1" x14ac:dyDescent="0.2">
      <c r="Q63" s="17"/>
      <c r="R63" s="12">
        <v>18</v>
      </c>
      <c r="S63" s="86" t="s">
        <v>428</v>
      </c>
      <c r="T63" s="87"/>
      <c r="U63" s="87"/>
      <c r="V63" s="87"/>
      <c r="W63" s="6" t="s">
        <v>489</v>
      </c>
    </row>
    <row r="64" spans="17:33" ht="22" customHeight="1" x14ac:dyDescent="0.2">
      <c r="Q64" s="18"/>
      <c r="R64" s="12">
        <v>19</v>
      </c>
      <c r="S64" s="86" t="s">
        <v>396</v>
      </c>
      <c r="T64" s="87"/>
      <c r="U64" s="87"/>
      <c r="V64" s="87"/>
      <c r="W64" s="6" t="s">
        <v>490</v>
      </c>
    </row>
    <row r="65" spans="17:33" ht="22" customHeight="1" x14ac:dyDescent="0.2">
      <c r="Q65" s="19"/>
      <c r="R65" s="12">
        <v>20</v>
      </c>
      <c r="S65" s="86" t="s">
        <v>433</v>
      </c>
      <c r="T65" s="87"/>
      <c r="U65" s="87"/>
      <c r="V65" s="87"/>
      <c r="W65" s="6" t="s">
        <v>497</v>
      </c>
    </row>
    <row r="66" spans="17:33" ht="22" customHeight="1" x14ac:dyDescent="0.2">
      <c r="Q66" s="20"/>
      <c r="R66" s="12">
        <v>21</v>
      </c>
      <c r="S66" s="86" t="s">
        <v>431</v>
      </c>
      <c r="T66" s="87"/>
      <c r="U66" s="87"/>
      <c r="V66" s="87"/>
      <c r="W66" s="6" t="s">
        <v>510</v>
      </c>
    </row>
    <row r="80" spans="17:33" ht="16" customHeight="1" x14ac:dyDescent="0.2">
      <c r="Q80" s="92" t="s">
        <v>520</v>
      </c>
      <c r="R80" s="87"/>
      <c r="S80" s="87"/>
      <c r="T80" s="87"/>
      <c r="U80" s="87"/>
      <c r="V80" s="87"/>
      <c r="W80" s="87"/>
      <c r="Y80" s="92" t="s">
        <v>442</v>
      </c>
      <c r="Z80" s="87"/>
      <c r="AA80" s="87"/>
      <c r="AB80" s="87"/>
      <c r="AC80" s="87"/>
      <c r="AD80" s="87"/>
      <c r="AE80" s="87"/>
      <c r="AF80" s="87"/>
      <c r="AG80" s="87"/>
    </row>
    <row r="81" spans="17:33" x14ac:dyDescent="0.2">
      <c r="Q81" s="10"/>
      <c r="R81" s="10" t="s">
        <v>443</v>
      </c>
      <c r="S81" s="10" t="s">
        <v>444</v>
      </c>
      <c r="W81" s="10" t="s">
        <v>445</v>
      </c>
    </row>
    <row r="82" spans="17:33" ht="22" customHeight="1" x14ac:dyDescent="0.2">
      <c r="Q82" s="11"/>
      <c r="R82" s="12">
        <v>1</v>
      </c>
      <c r="S82" s="86" t="s">
        <v>247</v>
      </c>
      <c r="T82" s="87"/>
      <c r="U82" s="87"/>
      <c r="V82" s="87"/>
      <c r="W82" s="6" t="s">
        <v>521</v>
      </c>
      <c r="Y82" s="91" t="s">
        <v>448</v>
      </c>
      <c r="Z82" s="87"/>
      <c r="AA82" s="87"/>
      <c r="AB82" s="87"/>
      <c r="AC82" s="87"/>
      <c r="AD82" s="87"/>
      <c r="AE82" s="87"/>
      <c r="AF82" s="87"/>
      <c r="AG82" s="87"/>
    </row>
    <row r="83" spans="17:33" ht="22" customHeight="1" x14ac:dyDescent="0.2">
      <c r="Q83" s="13"/>
      <c r="R83" s="12">
        <v>2</v>
      </c>
      <c r="S83" s="86" t="s">
        <v>110</v>
      </c>
      <c r="T83" s="87"/>
      <c r="U83" s="87"/>
      <c r="V83" s="87"/>
      <c r="W83" s="6" t="s">
        <v>524</v>
      </c>
      <c r="Y83" s="86" t="s">
        <v>523</v>
      </c>
      <c r="Z83" s="87"/>
      <c r="AA83" s="87"/>
      <c r="AB83" s="87"/>
      <c r="AC83" s="87"/>
      <c r="AD83" s="87"/>
      <c r="AE83" s="87"/>
      <c r="AF83" s="87"/>
      <c r="AG83" s="87"/>
    </row>
    <row r="84" spans="17:33" ht="22" customHeight="1" x14ac:dyDescent="0.2">
      <c r="Q84" s="14"/>
      <c r="R84" s="12">
        <v>3</v>
      </c>
      <c r="S84" s="86" t="s">
        <v>6</v>
      </c>
      <c r="T84" s="87"/>
      <c r="U84" s="87"/>
      <c r="V84" s="87"/>
      <c r="W84" s="6" t="s">
        <v>656</v>
      </c>
      <c r="Y84" s="87"/>
      <c r="Z84" s="87"/>
      <c r="AA84" s="87"/>
      <c r="AB84" s="87"/>
      <c r="AC84" s="87"/>
      <c r="AD84" s="87"/>
      <c r="AE84" s="87"/>
      <c r="AF84" s="87"/>
      <c r="AG84" s="87"/>
    </row>
    <row r="85" spans="17:33" ht="22" customHeight="1" x14ac:dyDescent="0.2">
      <c r="Q85" s="15"/>
      <c r="R85" s="12">
        <v>4</v>
      </c>
      <c r="S85" s="86" t="s">
        <v>235</v>
      </c>
      <c r="T85" s="87"/>
      <c r="U85" s="87"/>
      <c r="V85" s="87"/>
      <c r="W85" s="6" t="s">
        <v>525</v>
      </c>
      <c r="Y85" s="87"/>
      <c r="Z85" s="87"/>
      <c r="AA85" s="87"/>
      <c r="AB85" s="87"/>
      <c r="AC85" s="87"/>
      <c r="AD85" s="87"/>
      <c r="AE85" s="87"/>
      <c r="AF85" s="87"/>
      <c r="AG85" s="87"/>
    </row>
    <row r="86" spans="17:33" ht="22" customHeight="1" x14ac:dyDescent="0.2">
      <c r="Q86" s="16"/>
      <c r="R86" s="12">
        <v>5</v>
      </c>
      <c r="S86" s="86" t="s">
        <v>219</v>
      </c>
      <c r="T86" s="87"/>
      <c r="U86" s="87"/>
      <c r="V86" s="87"/>
      <c r="W86" s="6" t="s">
        <v>526</v>
      </c>
      <c r="Y86" s="87"/>
      <c r="Z86" s="87"/>
      <c r="AA86" s="87"/>
      <c r="AB86" s="87"/>
      <c r="AC86" s="87"/>
      <c r="AD86" s="87"/>
      <c r="AE86" s="87"/>
      <c r="AF86" s="87"/>
      <c r="AG86" s="87"/>
    </row>
    <row r="88" spans="17:33" x14ac:dyDescent="0.2">
      <c r="Y88" s="91" t="s">
        <v>450</v>
      </c>
      <c r="Z88" s="87"/>
      <c r="AA88" s="87"/>
      <c r="AB88" s="87"/>
      <c r="AC88" s="87"/>
      <c r="AD88" s="87"/>
      <c r="AE88" s="87"/>
      <c r="AF88" s="87"/>
      <c r="AG88" s="87"/>
    </row>
    <row r="89" spans="17:33" x14ac:dyDescent="0.2">
      <c r="Y89" s="86" t="s">
        <v>527</v>
      </c>
      <c r="Z89" s="87"/>
      <c r="AA89" s="87"/>
      <c r="AB89" s="87"/>
      <c r="AC89" s="87"/>
      <c r="AD89" s="87"/>
      <c r="AE89" s="87"/>
      <c r="AF89" s="87"/>
      <c r="AG89" s="87"/>
    </row>
    <row r="90" spans="17:33" x14ac:dyDescent="0.2">
      <c r="Y90" s="87"/>
      <c r="Z90" s="87"/>
      <c r="AA90" s="87"/>
      <c r="AB90" s="87"/>
      <c r="AC90" s="87"/>
      <c r="AD90" s="87"/>
      <c r="AE90" s="87"/>
      <c r="AF90" s="87"/>
      <c r="AG90" s="87"/>
    </row>
    <row r="91" spans="17:33" x14ac:dyDescent="0.2">
      <c r="Y91" s="87"/>
      <c r="Z91" s="87"/>
      <c r="AA91" s="87"/>
      <c r="AB91" s="87"/>
      <c r="AC91" s="87"/>
      <c r="AD91" s="87"/>
      <c r="AE91" s="87"/>
      <c r="AF91" s="87"/>
      <c r="AG91" s="87"/>
    </row>
    <row r="92" spans="17:33" x14ac:dyDescent="0.2">
      <c r="Y92" s="87"/>
      <c r="Z92" s="87"/>
      <c r="AA92" s="87"/>
      <c r="AB92" s="87"/>
      <c r="AC92" s="87"/>
      <c r="AD92" s="87"/>
      <c r="AE92" s="87"/>
      <c r="AF92" s="87"/>
      <c r="AG92" s="87"/>
    </row>
    <row r="94" spans="17:33" x14ac:dyDescent="0.2">
      <c r="Y94" s="91" t="s">
        <v>452</v>
      </c>
      <c r="Z94" s="87"/>
      <c r="AA94" s="87"/>
      <c r="AB94" s="87"/>
      <c r="AC94" s="87"/>
      <c r="AD94" s="87"/>
      <c r="AE94" s="87"/>
      <c r="AF94" s="87"/>
      <c r="AG94" s="87"/>
    </row>
    <row r="95" spans="17:33" x14ac:dyDescent="0.2">
      <c r="Y95" s="86" t="s">
        <v>528</v>
      </c>
      <c r="Z95" s="87"/>
      <c r="AA95" s="87"/>
      <c r="AB95" s="87"/>
      <c r="AC95" s="87"/>
      <c r="AD95" s="87"/>
      <c r="AE95" s="87"/>
      <c r="AF95" s="87"/>
      <c r="AG95" s="87"/>
    </row>
    <row r="96" spans="17:33" x14ac:dyDescent="0.2">
      <c r="Y96" s="87"/>
      <c r="Z96" s="87"/>
      <c r="AA96" s="87"/>
      <c r="AB96" s="87"/>
      <c r="AC96" s="87"/>
      <c r="AD96" s="87"/>
      <c r="AE96" s="87"/>
      <c r="AF96" s="87"/>
      <c r="AG96" s="87"/>
    </row>
    <row r="97" spans="25:33" x14ac:dyDescent="0.2">
      <c r="Y97" s="87"/>
      <c r="Z97" s="87"/>
      <c r="AA97" s="87"/>
      <c r="AB97" s="87"/>
      <c r="AC97" s="87"/>
      <c r="AD97" s="87"/>
      <c r="AE97" s="87"/>
      <c r="AF97" s="87"/>
      <c r="AG97" s="87"/>
    </row>
    <row r="98" spans="25:33" x14ac:dyDescent="0.2">
      <c r="Y98" s="87"/>
      <c r="Z98" s="87"/>
      <c r="AA98" s="87"/>
      <c r="AB98" s="87"/>
      <c r="AC98" s="87"/>
      <c r="AD98" s="87"/>
      <c r="AE98" s="87"/>
      <c r="AF98" s="87"/>
      <c r="AG98" s="87"/>
    </row>
    <row r="100" spans="25:33" x14ac:dyDescent="0.2">
      <c r="Y100" s="91" t="s">
        <v>454</v>
      </c>
      <c r="Z100" s="87"/>
      <c r="AA100" s="87"/>
      <c r="AB100" s="87"/>
      <c r="AC100" s="87"/>
      <c r="AD100" s="87"/>
      <c r="AE100" s="87"/>
      <c r="AF100" s="87"/>
      <c r="AG100" s="87"/>
    </row>
    <row r="101" spans="25:33" x14ac:dyDescent="0.2">
      <c r="Y101" s="86" t="s">
        <v>529</v>
      </c>
      <c r="Z101" s="87"/>
      <c r="AA101" s="87"/>
      <c r="AB101" s="87"/>
      <c r="AC101" s="87"/>
      <c r="AD101" s="87"/>
      <c r="AE101" s="87"/>
      <c r="AF101" s="87"/>
      <c r="AG101" s="87"/>
    </row>
    <row r="102" spans="25:33" x14ac:dyDescent="0.2">
      <c r="Y102" s="87"/>
      <c r="Z102" s="87"/>
      <c r="AA102" s="87"/>
      <c r="AB102" s="87"/>
      <c r="AC102" s="87"/>
      <c r="AD102" s="87"/>
      <c r="AE102" s="87"/>
      <c r="AF102" s="87"/>
      <c r="AG102" s="87"/>
    </row>
    <row r="103" spans="25:33" x14ac:dyDescent="0.2">
      <c r="Y103" s="87"/>
      <c r="Z103" s="87"/>
      <c r="AA103" s="87"/>
      <c r="AB103" s="87"/>
      <c r="AC103" s="87"/>
      <c r="AD103" s="87"/>
      <c r="AE103" s="87"/>
      <c r="AF103" s="87"/>
      <c r="AG103" s="87"/>
    </row>
    <row r="104" spans="25:33" x14ac:dyDescent="0.2">
      <c r="Y104" s="87"/>
      <c r="Z104" s="87"/>
      <c r="AA104" s="87"/>
      <c r="AB104" s="87"/>
      <c r="AC104" s="87"/>
      <c r="AD104" s="87"/>
      <c r="AE104" s="87"/>
      <c r="AF104" s="87"/>
      <c r="AG104" s="87"/>
    </row>
    <row r="116" spans="17:33" ht="16" customHeight="1" x14ac:dyDescent="0.2">
      <c r="Q116" s="92" t="s">
        <v>641</v>
      </c>
      <c r="R116" s="87"/>
      <c r="S116" s="87"/>
      <c r="T116" s="87"/>
      <c r="U116" s="87"/>
      <c r="V116" s="87"/>
      <c r="W116" s="87"/>
      <c r="Y116" s="92" t="s">
        <v>442</v>
      </c>
      <c r="Z116" s="87"/>
      <c r="AA116" s="87"/>
      <c r="AB116" s="87"/>
      <c r="AC116" s="87"/>
      <c r="AD116" s="87"/>
      <c r="AE116" s="87"/>
      <c r="AF116" s="87"/>
      <c r="AG116" s="87"/>
    </row>
    <row r="117" spans="17:33" x14ac:dyDescent="0.2">
      <c r="Q117" s="10"/>
      <c r="R117" s="10" t="s">
        <v>443</v>
      </c>
      <c r="S117" s="10" t="s">
        <v>444</v>
      </c>
      <c r="W117" s="10" t="s">
        <v>445</v>
      </c>
    </row>
    <row r="118" spans="17:33" ht="22" customHeight="1" x14ac:dyDescent="0.2">
      <c r="Q118" s="11"/>
      <c r="R118" s="12">
        <v>1</v>
      </c>
      <c r="S118" s="86" t="s">
        <v>251</v>
      </c>
      <c r="T118" s="87"/>
      <c r="U118" s="87"/>
      <c r="V118" s="87"/>
      <c r="W118" s="6" t="s">
        <v>657</v>
      </c>
      <c r="Y118" s="91" t="s">
        <v>448</v>
      </c>
      <c r="Z118" s="87"/>
      <c r="AA118" s="87"/>
      <c r="AB118" s="87"/>
      <c r="AC118" s="87"/>
      <c r="AD118" s="87"/>
      <c r="AE118" s="87"/>
      <c r="AF118" s="87"/>
      <c r="AG118" s="87"/>
    </row>
    <row r="119" spans="17:33" ht="22" customHeight="1" x14ac:dyDescent="0.2">
      <c r="Q119" s="13"/>
      <c r="R119" s="12">
        <v>2</v>
      </c>
      <c r="S119" s="86" t="s">
        <v>426</v>
      </c>
      <c r="T119" s="87"/>
      <c r="U119" s="87"/>
      <c r="V119" s="87"/>
      <c r="W119" s="6" t="s">
        <v>658</v>
      </c>
      <c r="Y119" s="86" t="s">
        <v>659</v>
      </c>
      <c r="Z119" s="87"/>
      <c r="AA119" s="87"/>
      <c r="AB119" s="87"/>
      <c r="AC119" s="87"/>
      <c r="AD119" s="87"/>
      <c r="AE119" s="87"/>
      <c r="AF119" s="87"/>
      <c r="AG119" s="87"/>
    </row>
    <row r="120" spans="17:33" ht="22" customHeight="1" x14ac:dyDescent="0.2">
      <c r="Q120" s="14"/>
      <c r="R120" s="12">
        <v>3</v>
      </c>
      <c r="S120" s="86" t="s">
        <v>422</v>
      </c>
      <c r="T120" s="87"/>
      <c r="U120" s="87"/>
      <c r="V120" s="87"/>
      <c r="W120" s="6" t="s">
        <v>660</v>
      </c>
      <c r="Y120" s="87"/>
      <c r="Z120" s="87"/>
      <c r="AA120" s="87"/>
      <c r="AB120" s="87"/>
      <c r="AC120" s="87"/>
      <c r="AD120" s="87"/>
      <c r="AE120" s="87"/>
      <c r="AF120" s="87"/>
      <c r="AG120" s="87"/>
    </row>
    <row r="121" spans="17:33" ht="22" customHeight="1" x14ac:dyDescent="0.2">
      <c r="Q121" s="15"/>
      <c r="R121" s="12">
        <v>4</v>
      </c>
      <c r="S121" s="86" t="s">
        <v>425</v>
      </c>
      <c r="T121" s="87"/>
      <c r="U121" s="87"/>
      <c r="V121" s="87"/>
      <c r="W121" s="6" t="s">
        <v>661</v>
      </c>
      <c r="Y121" s="87"/>
      <c r="Z121" s="87"/>
      <c r="AA121" s="87"/>
      <c r="AB121" s="87"/>
      <c r="AC121" s="87"/>
      <c r="AD121" s="87"/>
      <c r="AE121" s="87"/>
      <c r="AF121" s="87"/>
      <c r="AG121" s="87"/>
    </row>
    <row r="122" spans="17:33" ht="22" customHeight="1" x14ac:dyDescent="0.2">
      <c r="Q122" s="16"/>
      <c r="R122" s="12">
        <v>5</v>
      </c>
      <c r="S122" s="86" t="s">
        <v>417</v>
      </c>
      <c r="T122" s="87"/>
      <c r="U122" s="87"/>
      <c r="V122" s="87"/>
      <c r="W122" s="6" t="s">
        <v>662</v>
      </c>
      <c r="Y122" s="87"/>
      <c r="Z122" s="87"/>
      <c r="AA122" s="87"/>
      <c r="AB122" s="87"/>
      <c r="AC122" s="87"/>
      <c r="AD122" s="87"/>
      <c r="AE122" s="87"/>
      <c r="AF122" s="87"/>
      <c r="AG122" s="87"/>
    </row>
    <row r="123" spans="17:33" ht="22" customHeight="1" x14ac:dyDescent="0.2">
      <c r="Q123" s="17"/>
      <c r="R123" s="12">
        <v>6</v>
      </c>
      <c r="S123" s="86" t="s">
        <v>419</v>
      </c>
      <c r="T123" s="87"/>
      <c r="U123" s="87"/>
      <c r="V123" s="87"/>
      <c r="W123" s="6" t="s">
        <v>663</v>
      </c>
    </row>
    <row r="124" spans="17:33" ht="22" customHeight="1" x14ac:dyDescent="0.2">
      <c r="Q124" s="18"/>
      <c r="R124" s="12">
        <v>7</v>
      </c>
      <c r="S124" s="86" t="s">
        <v>421</v>
      </c>
      <c r="T124" s="87"/>
      <c r="U124" s="87"/>
      <c r="V124" s="87"/>
      <c r="W124" s="6" t="s">
        <v>664</v>
      </c>
      <c r="Y124" s="91" t="s">
        <v>450</v>
      </c>
      <c r="Z124" s="87"/>
      <c r="AA124" s="87"/>
      <c r="AB124" s="87"/>
      <c r="AC124" s="87"/>
      <c r="AD124" s="87"/>
      <c r="AE124" s="87"/>
      <c r="AF124" s="87"/>
      <c r="AG124" s="87"/>
    </row>
    <row r="125" spans="17:33" ht="22" customHeight="1" x14ac:dyDescent="0.2">
      <c r="Q125" s="19"/>
      <c r="R125" s="12">
        <v>8</v>
      </c>
      <c r="S125" s="86" t="s">
        <v>432</v>
      </c>
      <c r="T125" s="87"/>
      <c r="U125" s="87"/>
      <c r="V125" s="87"/>
      <c r="W125" s="6" t="s">
        <v>665</v>
      </c>
      <c r="Y125" s="86" t="s">
        <v>666</v>
      </c>
      <c r="Z125" s="87"/>
      <c r="AA125" s="87"/>
      <c r="AB125" s="87"/>
      <c r="AC125" s="87"/>
      <c r="AD125" s="87"/>
      <c r="AE125" s="87"/>
      <c r="AF125" s="87"/>
      <c r="AG125" s="87"/>
    </row>
    <row r="126" spans="17:33" ht="22" customHeight="1" x14ac:dyDescent="0.2">
      <c r="Q126" s="20"/>
      <c r="R126" s="12">
        <v>9</v>
      </c>
      <c r="S126" s="86" t="s">
        <v>424</v>
      </c>
      <c r="T126" s="87"/>
      <c r="U126" s="87"/>
      <c r="V126" s="87"/>
      <c r="W126" s="6" t="s">
        <v>667</v>
      </c>
      <c r="Y126" s="87"/>
      <c r="Z126" s="87"/>
      <c r="AA126" s="87"/>
      <c r="AB126" s="87"/>
      <c r="AC126" s="87"/>
      <c r="AD126" s="87"/>
      <c r="AE126" s="87"/>
      <c r="AF126" s="87"/>
      <c r="AG126" s="87"/>
    </row>
    <row r="127" spans="17:33" ht="22" customHeight="1" x14ac:dyDescent="0.2">
      <c r="Q127" s="21"/>
      <c r="R127" s="12">
        <v>10</v>
      </c>
      <c r="S127" s="86" t="s">
        <v>344</v>
      </c>
      <c r="T127" s="87"/>
      <c r="U127" s="87"/>
      <c r="V127" s="87"/>
      <c r="W127" s="6" t="s">
        <v>668</v>
      </c>
      <c r="Y127" s="87"/>
      <c r="Z127" s="87"/>
      <c r="AA127" s="87"/>
      <c r="AB127" s="87"/>
      <c r="AC127" s="87"/>
      <c r="AD127" s="87"/>
      <c r="AE127" s="87"/>
      <c r="AF127" s="87"/>
      <c r="AG127" s="87"/>
    </row>
    <row r="128" spans="17:33" ht="22" customHeight="1" x14ac:dyDescent="0.2">
      <c r="Q128" s="22"/>
      <c r="R128" s="12">
        <v>11</v>
      </c>
      <c r="S128" s="86" t="s">
        <v>418</v>
      </c>
      <c r="T128" s="87"/>
      <c r="U128" s="87"/>
      <c r="V128" s="87"/>
      <c r="W128" s="6" t="s">
        <v>669</v>
      </c>
      <c r="Y128" s="87"/>
      <c r="Z128" s="87"/>
      <c r="AA128" s="87"/>
      <c r="AB128" s="87"/>
      <c r="AC128" s="87"/>
      <c r="AD128" s="87"/>
      <c r="AE128" s="87"/>
      <c r="AF128" s="87"/>
      <c r="AG128" s="87"/>
    </row>
    <row r="129" spans="17:33" ht="22" customHeight="1" x14ac:dyDescent="0.2">
      <c r="Q129" s="23"/>
      <c r="R129" s="12">
        <v>12</v>
      </c>
      <c r="S129" s="86" t="s">
        <v>423</v>
      </c>
      <c r="T129" s="87"/>
      <c r="U129" s="87"/>
      <c r="V129" s="87"/>
      <c r="W129" s="6" t="s">
        <v>670</v>
      </c>
    </row>
    <row r="130" spans="17:33" ht="22" customHeight="1" x14ac:dyDescent="0.2">
      <c r="Q130" s="11"/>
      <c r="R130" s="12">
        <v>13</v>
      </c>
      <c r="S130" s="86" t="s">
        <v>420</v>
      </c>
      <c r="T130" s="87"/>
      <c r="U130" s="87"/>
      <c r="V130" s="87"/>
      <c r="W130" s="6" t="s">
        <v>671</v>
      </c>
      <c r="Y130" s="91" t="s">
        <v>452</v>
      </c>
      <c r="Z130" s="87"/>
      <c r="AA130" s="87"/>
      <c r="AB130" s="87"/>
      <c r="AC130" s="87"/>
      <c r="AD130" s="87"/>
      <c r="AE130" s="87"/>
      <c r="AF130" s="87"/>
      <c r="AG130" s="87"/>
    </row>
    <row r="131" spans="17:33" ht="22" customHeight="1" x14ac:dyDescent="0.2">
      <c r="Q131" s="13"/>
      <c r="R131" s="12">
        <v>14</v>
      </c>
      <c r="S131" s="86" t="s">
        <v>427</v>
      </c>
      <c r="T131" s="87"/>
      <c r="U131" s="87"/>
      <c r="V131" s="87"/>
      <c r="W131" s="6" t="s">
        <v>672</v>
      </c>
      <c r="Y131" s="86" t="s">
        <v>673</v>
      </c>
      <c r="Z131" s="87"/>
      <c r="AA131" s="87"/>
      <c r="AB131" s="87"/>
      <c r="AC131" s="87"/>
      <c r="AD131" s="87"/>
      <c r="AE131" s="87"/>
      <c r="AF131" s="87"/>
      <c r="AG131" s="87"/>
    </row>
    <row r="132" spans="17:33" ht="22" customHeight="1" x14ac:dyDescent="0.2">
      <c r="Q132" s="14"/>
      <c r="R132" s="12">
        <v>15</v>
      </c>
      <c r="S132" s="86" t="s">
        <v>430</v>
      </c>
      <c r="T132" s="87"/>
      <c r="U132" s="87"/>
      <c r="V132" s="87"/>
      <c r="W132" s="6" t="s">
        <v>674</v>
      </c>
      <c r="Y132" s="87"/>
      <c r="Z132" s="87"/>
      <c r="AA132" s="87"/>
      <c r="AB132" s="87"/>
      <c r="AC132" s="87"/>
      <c r="AD132" s="87"/>
      <c r="AE132" s="87"/>
      <c r="AF132" s="87"/>
      <c r="AG132" s="87"/>
    </row>
    <row r="133" spans="17:33" ht="22" customHeight="1" x14ac:dyDescent="0.2">
      <c r="Q133" s="15"/>
      <c r="R133" s="12">
        <v>16</v>
      </c>
      <c r="S133" s="86" t="s">
        <v>89</v>
      </c>
      <c r="T133" s="87"/>
      <c r="U133" s="87"/>
      <c r="V133" s="87"/>
      <c r="W133" s="6" t="s">
        <v>675</v>
      </c>
      <c r="Y133" s="87"/>
      <c r="Z133" s="87"/>
      <c r="AA133" s="87"/>
      <c r="AB133" s="87"/>
      <c r="AC133" s="87"/>
      <c r="AD133" s="87"/>
      <c r="AE133" s="87"/>
      <c r="AF133" s="87"/>
      <c r="AG133" s="87"/>
    </row>
    <row r="134" spans="17:33" ht="22" customHeight="1" x14ac:dyDescent="0.2">
      <c r="Q134" s="16"/>
      <c r="R134" s="12">
        <v>17</v>
      </c>
      <c r="S134" s="86" t="s">
        <v>429</v>
      </c>
      <c r="T134" s="87"/>
      <c r="U134" s="87"/>
      <c r="V134" s="87"/>
      <c r="W134" s="6" t="s">
        <v>676</v>
      </c>
      <c r="Y134" s="87"/>
      <c r="Z134" s="87"/>
      <c r="AA134" s="87"/>
      <c r="AB134" s="87"/>
      <c r="AC134" s="87"/>
      <c r="AD134" s="87"/>
      <c r="AE134" s="87"/>
      <c r="AF134" s="87"/>
      <c r="AG134" s="87"/>
    </row>
    <row r="135" spans="17:33" ht="22" customHeight="1" x14ac:dyDescent="0.2">
      <c r="Q135" s="17"/>
      <c r="R135" s="12">
        <v>18</v>
      </c>
      <c r="S135" s="86" t="s">
        <v>428</v>
      </c>
      <c r="T135" s="87"/>
      <c r="U135" s="87"/>
      <c r="V135" s="87"/>
      <c r="W135" s="6" t="s">
        <v>677</v>
      </c>
    </row>
    <row r="136" spans="17:33" ht="22" customHeight="1" x14ac:dyDescent="0.2">
      <c r="Q136" s="18"/>
      <c r="R136" s="12">
        <v>19</v>
      </c>
      <c r="S136" s="86" t="s">
        <v>396</v>
      </c>
      <c r="T136" s="87"/>
      <c r="U136" s="87"/>
      <c r="V136" s="87"/>
      <c r="W136" s="6" t="s">
        <v>678</v>
      </c>
      <c r="Y136" s="91" t="s">
        <v>454</v>
      </c>
      <c r="Z136" s="87"/>
      <c r="AA136" s="87"/>
      <c r="AB136" s="87"/>
      <c r="AC136" s="87"/>
      <c r="AD136" s="87"/>
      <c r="AE136" s="87"/>
      <c r="AF136" s="87"/>
      <c r="AG136" s="87"/>
    </row>
    <row r="137" spans="17:33" ht="22" customHeight="1" x14ac:dyDescent="0.2">
      <c r="Q137" s="19"/>
      <c r="R137" s="12">
        <v>20</v>
      </c>
      <c r="S137" s="86" t="s">
        <v>433</v>
      </c>
      <c r="T137" s="87"/>
      <c r="U137" s="87"/>
      <c r="V137" s="87"/>
      <c r="W137" s="6" t="s">
        <v>679</v>
      </c>
      <c r="Y137" s="86" t="s">
        <v>680</v>
      </c>
      <c r="Z137" s="87"/>
      <c r="AA137" s="87"/>
      <c r="AB137" s="87"/>
      <c r="AC137" s="87"/>
      <c r="AD137" s="87"/>
      <c r="AE137" s="87"/>
      <c r="AF137" s="87"/>
      <c r="AG137" s="87"/>
    </row>
    <row r="138" spans="17:33" ht="22" customHeight="1" x14ac:dyDescent="0.2">
      <c r="Q138" s="20"/>
      <c r="R138" s="12">
        <v>21</v>
      </c>
      <c r="S138" s="86" t="s">
        <v>431</v>
      </c>
      <c r="T138" s="87"/>
      <c r="U138" s="87"/>
      <c r="V138" s="87"/>
      <c r="W138" s="6" t="s">
        <v>681</v>
      </c>
      <c r="Y138" s="87"/>
      <c r="Z138" s="87"/>
      <c r="AA138" s="87"/>
      <c r="AB138" s="87"/>
      <c r="AC138" s="87"/>
      <c r="AD138" s="87"/>
      <c r="AE138" s="87"/>
      <c r="AF138" s="87"/>
      <c r="AG138" s="87"/>
    </row>
    <row r="139" spans="17:33" x14ac:dyDescent="0.2">
      <c r="Y139" s="87"/>
      <c r="Z139" s="87"/>
      <c r="AA139" s="87"/>
      <c r="AB139" s="87"/>
      <c r="AC139" s="87"/>
      <c r="AD139" s="87"/>
      <c r="AE139" s="87"/>
      <c r="AF139" s="87"/>
      <c r="AG139" s="87"/>
    </row>
    <row r="140" spans="17:33" x14ac:dyDescent="0.2">
      <c r="Y140" s="87"/>
      <c r="Z140" s="87"/>
      <c r="AA140" s="87"/>
      <c r="AB140" s="87"/>
      <c r="AC140" s="87"/>
      <c r="AD140" s="87"/>
      <c r="AE140" s="87"/>
      <c r="AF140" s="87"/>
      <c r="AG140" s="87"/>
    </row>
    <row r="152" spans="17:33" ht="16" customHeight="1" x14ac:dyDescent="0.2">
      <c r="Q152" s="92" t="s">
        <v>594</v>
      </c>
      <c r="R152" s="87"/>
      <c r="S152" s="87"/>
      <c r="T152" s="87"/>
      <c r="U152" s="87"/>
      <c r="V152" s="87"/>
      <c r="W152" s="87"/>
      <c r="Y152" s="92" t="s">
        <v>442</v>
      </c>
      <c r="Z152" s="87"/>
      <c r="AA152" s="87"/>
      <c r="AB152" s="87"/>
      <c r="AC152" s="87"/>
      <c r="AD152" s="87"/>
      <c r="AE152" s="87"/>
      <c r="AF152" s="87"/>
      <c r="AG152" s="87"/>
    </row>
    <row r="153" spans="17:33" x14ac:dyDescent="0.2">
      <c r="Q153" s="10"/>
      <c r="R153" s="10" t="s">
        <v>443</v>
      </c>
      <c r="S153" s="10" t="s">
        <v>444</v>
      </c>
      <c r="W153" s="10" t="s">
        <v>445</v>
      </c>
    </row>
    <row r="154" spans="17:33" ht="22" customHeight="1" x14ac:dyDescent="0.2">
      <c r="Q154" s="11"/>
      <c r="R154" s="12">
        <v>1</v>
      </c>
      <c r="S154" s="86" t="s">
        <v>269</v>
      </c>
      <c r="T154" s="87"/>
      <c r="U154" s="87"/>
      <c r="V154" s="87"/>
      <c r="W154" s="6" t="s">
        <v>595</v>
      </c>
      <c r="Y154" s="91" t="s">
        <v>448</v>
      </c>
      <c r="Z154" s="87"/>
      <c r="AA154" s="87"/>
      <c r="AB154" s="87"/>
      <c r="AC154" s="87"/>
      <c r="AD154" s="87"/>
      <c r="AE154" s="87"/>
      <c r="AF154" s="87"/>
      <c r="AG154" s="87"/>
    </row>
    <row r="155" spans="17:33" ht="22" customHeight="1" x14ac:dyDescent="0.2">
      <c r="Q155" s="13"/>
      <c r="R155" s="12">
        <v>2</v>
      </c>
      <c r="S155" s="86" t="s">
        <v>261</v>
      </c>
      <c r="T155" s="87"/>
      <c r="U155" s="87"/>
      <c r="V155" s="87"/>
      <c r="W155" s="6" t="s">
        <v>462</v>
      </c>
      <c r="Y155" s="86" t="s">
        <v>596</v>
      </c>
      <c r="Z155" s="87"/>
      <c r="AA155" s="87"/>
      <c r="AB155" s="87"/>
      <c r="AC155" s="87"/>
      <c r="AD155" s="87"/>
      <c r="AE155" s="87"/>
      <c r="AF155" s="87"/>
      <c r="AG155" s="87"/>
    </row>
    <row r="156" spans="17:33" ht="22" customHeight="1" x14ac:dyDescent="0.2">
      <c r="Q156" s="14"/>
      <c r="R156" s="12">
        <v>3</v>
      </c>
      <c r="S156" s="86" t="s">
        <v>295</v>
      </c>
      <c r="T156" s="87"/>
      <c r="U156" s="87"/>
      <c r="V156" s="87"/>
      <c r="W156" s="6" t="s">
        <v>597</v>
      </c>
      <c r="Y156" s="87"/>
      <c r="Z156" s="87"/>
      <c r="AA156" s="87"/>
      <c r="AB156" s="87"/>
      <c r="AC156" s="87"/>
      <c r="AD156" s="87"/>
      <c r="AE156" s="87"/>
      <c r="AF156" s="87"/>
      <c r="AG156" s="87"/>
    </row>
    <row r="157" spans="17:33" ht="22" customHeight="1" x14ac:dyDescent="0.2">
      <c r="Q157" s="15"/>
      <c r="R157" s="12">
        <v>4</v>
      </c>
      <c r="S157" s="86" t="s">
        <v>343</v>
      </c>
      <c r="T157" s="87"/>
      <c r="U157" s="87"/>
      <c r="V157" s="87"/>
      <c r="W157" s="6" t="s">
        <v>467</v>
      </c>
      <c r="Y157" s="87"/>
      <c r="Z157" s="87"/>
      <c r="AA157" s="87"/>
      <c r="AB157" s="87"/>
      <c r="AC157" s="87"/>
      <c r="AD157" s="87"/>
      <c r="AE157" s="87"/>
      <c r="AF157" s="87"/>
      <c r="AG157" s="87"/>
    </row>
    <row r="158" spans="17:33" ht="22" customHeight="1" x14ac:dyDescent="0.2">
      <c r="Q158" s="16"/>
      <c r="R158" s="12">
        <v>5</v>
      </c>
      <c r="S158" s="86" t="s">
        <v>244</v>
      </c>
      <c r="T158" s="87"/>
      <c r="U158" s="87"/>
      <c r="V158" s="87"/>
      <c r="W158" s="6" t="s">
        <v>598</v>
      </c>
      <c r="Y158" s="87"/>
      <c r="Z158" s="87"/>
      <c r="AA158" s="87"/>
      <c r="AB158" s="87"/>
      <c r="AC158" s="87"/>
      <c r="AD158" s="87"/>
      <c r="AE158" s="87"/>
      <c r="AF158" s="87"/>
      <c r="AG158" s="87"/>
    </row>
    <row r="159" spans="17:33" ht="22" customHeight="1" x14ac:dyDescent="0.2">
      <c r="Q159" s="17"/>
      <c r="R159" s="12">
        <v>6</v>
      </c>
      <c r="S159" s="86" t="s">
        <v>293</v>
      </c>
      <c r="T159" s="87"/>
      <c r="U159" s="87"/>
      <c r="V159" s="87"/>
      <c r="W159" s="6" t="s">
        <v>599</v>
      </c>
    </row>
    <row r="160" spans="17:33" ht="22" customHeight="1" x14ac:dyDescent="0.2">
      <c r="Q160" s="18"/>
      <c r="R160" s="12">
        <v>7</v>
      </c>
      <c r="S160" s="86" t="s">
        <v>280</v>
      </c>
      <c r="T160" s="87"/>
      <c r="U160" s="87"/>
      <c r="V160" s="87"/>
      <c r="W160" s="6" t="s">
        <v>469</v>
      </c>
      <c r="Y160" s="91" t="s">
        <v>450</v>
      </c>
      <c r="Z160" s="87"/>
      <c r="AA160" s="87"/>
      <c r="AB160" s="87"/>
      <c r="AC160" s="87"/>
      <c r="AD160" s="87"/>
      <c r="AE160" s="87"/>
      <c r="AF160" s="87"/>
      <c r="AG160" s="87"/>
    </row>
    <row r="161" spans="17:33" ht="22" customHeight="1" x14ac:dyDescent="0.2">
      <c r="Q161" s="19"/>
      <c r="R161" s="12">
        <v>8</v>
      </c>
      <c r="S161" s="86" t="s">
        <v>286</v>
      </c>
      <c r="T161" s="87"/>
      <c r="U161" s="87"/>
      <c r="V161" s="87"/>
      <c r="W161" s="6" t="s">
        <v>602</v>
      </c>
      <c r="Y161" s="86" t="s">
        <v>601</v>
      </c>
      <c r="Z161" s="87"/>
      <c r="AA161" s="87"/>
      <c r="AB161" s="87"/>
      <c r="AC161" s="87"/>
      <c r="AD161" s="87"/>
      <c r="AE161" s="87"/>
      <c r="AF161" s="87"/>
      <c r="AG161" s="87"/>
    </row>
    <row r="162" spans="17:33" ht="22" customHeight="1" x14ac:dyDescent="0.2">
      <c r="Q162" s="20"/>
      <c r="R162" s="12">
        <v>9</v>
      </c>
      <c r="S162" s="86" t="s">
        <v>128</v>
      </c>
      <c r="T162" s="87"/>
      <c r="U162" s="87"/>
      <c r="V162" s="87"/>
      <c r="W162" s="6" t="s">
        <v>603</v>
      </c>
      <c r="Y162" s="87"/>
      <c r="Z162" s="87"/>
      <c r="AA162" s="87"/>
      <c r="AB162" s="87"/>
      <c r="AC162" s="87"/>
      <c r="AD162" s="87"/>
      <c r="AE162" s="87"/>
      <c r="AF162" s="87"/>
      <c r="AG162" s="87"/>
    </row>
    <row r="163" spans="17:33" ht="22" customHeight="1" x14ac:dyDescent="0.2">
      <c r="Q163" s="21"/>
      <c r="R163" s="12">
        <v>10</v>
      </c>
      <c r="S163" s="86" t="s">
        <v>256</v>
      </c>
      <c r="T163" s="87"/>
      <c r="U163" s="87"/>
      <c r="V163" s="87"/>
      <c r="W163" s="6" t="s">
        <v>682</v>
      </c>
      <c r="Y163" s="87"/>
      <c r="Z163" s="87"/>
      <c r="AA163" s="87"/>
      <c r="AB163" s="87"/>
      <c r="AC163" s="87"/>
      <c r="AD163" s="87"/>
      <c r="AE163" s="87"/>
      <c r="AF163" s="87"/>
      <c r="AG163" s="87"/>
    </row>
    <row r="164" spans="17:33" x14ac:dyDescent="0.2">
      <c r="Y164" s="87"/>
      <c r="Z164" s="87"/>
      <c r="AA164" s="87"/>
      <c r="AB164" s="87"/>
      <c r="AC164" s="87"/>
      <c r="AD164" s="87"/>
      <c r="AE164" s="87"/>
      <c r="AF164" s="87"/>
      <c r="AG164" s="87"/>
    </row>
    <row r="166" spans="17:33" x14ac:dyDescent="0.2">
      <c r="Y166" s="91" t="s">
        <v>452</v>
      </c>
      <c r="Z166" s="87"/>
      <c r="AA166" s="87"/>
      <c r="AB166" s="87"/>
      <c r="AC166" s="87"/>
      <c r="AD166" s="87"/>
      <c r="AE166" s="87"/>
      <c r="AF166" s="87"/>
      <c r="AG166" s="87"/>
    </row>
    <row r="167" spans="17:33" x14ac:dyDescent="0.2">
      <c r="Y167" s="86" t="s">
        <v>604</v>
      </c>
      <c r="Z167" s="87"/>
      <c r="AA167" s="87"/>
      <c r="AB167" s="87"/>
      <c r="AC167" s="87"/>
      <c r="AD167" s="87"/>
      <c r="AE167" s="87"/>
      <c r="AF167" s="87"/>
      <c r="AG167" s="87"/>
    </row>
    <row r="168" spans="17:33" x14ac:dyDescent="0.2">
      <c r="Y168" s="87"/>
      <c r="Z168" s="87"/>
      <c r="AA168" s="87"/>
      <c r="AB168" s="87"/>
      <c r="AC168" s="87"/>
      <c r="AD168" s="87"/>
      <c r="AE168" s="87"/>
      <c r="AF168" s="87"/>
      <c r="AG168" s="87"/>
    </row>
    <row r="169" spans="17:33" x14ac:dyDescent="0.2">
      <c r="Y169" s="87"/>
      <c r="Z169" s="87"/>
      <c r="AA169" s="87"/>
      <c r="AB169" s="87"/>
      <c r="AC169" s="87"/>
      <c r="AD169" s="87"/>
      <c r="AE169" s="87"/>
      <c r="AF169" s="87"/>
      <c r="AG169" s="87"/>
    </row>
    <row r="170" spans="17:33" x14ac:dyDescent="0.2">
      <c r="Y170" s="87"/>
      <c r="Z170" s="87"/>
      <c r="AA170" s="87"/>
      <c r="AB170" s="87"/>
      <c r="AC170" s="87"/>
      <c r="AD170" s="87"/>
      <c r="AE170" s="87"/>
      <c r="AF170" s="87"/>
      <c r="AG170" s="87"/>
    </row>
    <row r="172" spans="17:33" x14ac:dyDescent="0.2">
      <c r="Y172" s="91" t="s">
        <v>454</v>
      </c>
      <c r="Z172" s="87"/>
      <c r="AA172" s="87"/>
      <c r="AB172" s="87"/>
      <c r="AC172" s="87"/>
      <c r="AD172" s="87"/>
      <c r="AE172" s="87"/>
      <c r="AF172" s="87"/>
      <c r="AG172" s="87"/>
    </row>
    <row r="173" spans="17:33" x14ac:dyDescent="0.2">
      <c r="Y173" s="86" t="s">
        <v>605</v>
      </c>
      <c r="Z173" s="87"/>
      <c r="AA173" s="87"/>
      <c r="AB173" s="87"/>
      <c r="AC173" s="87"/>
      <c r="AD173" s="87"/>
      <c r="AE173" s="87"/>
      <c r="AF173" s="87"/>
      <c r="AG173" s="87"/>
    </row>
    <row r="174" spans="17:33" x14ac:dyDescent="0.2">
      <c r="Y174" s="87"/>
      <c r="Z174" s="87"/>
      <c r="AA174" s="87"/>
      <c r="AB174" s="87"/>
      <c r="AC174" s="87"/>
      <c r="AD174" s="87"/>
      <c r="AE174" s="87"/>
      <c r="AF174" s="87"/>
      <c r="AG174" s="87"/>
    </row>
    <row r="175" spans="17:33" x14ac:dyDescent="0.2">
      <c r="Y175" s="87"/>
      <c r="Z175" s="87"/>
      <c r="AA175" s="87"/>
      <c r="AB175" s="87"/>
      <c r="AC175" s="87"/>
      <c r="AD175" s="87"/>
      <c r="AE175" s="87"/>
      <c r="AF175" s="87"/>
      <c r="AG175" s="87"/>
    </row>
    <row r="176" spans="17:33" x14ac:dyDescent="0.2">
      <c r="Y176" s="87"/>
      <c r="Z176" s="87"/>
      <c r="AA176" s="87"/>
      <c r="AB176" s="87"/>
      <c r="AC176" s="87"/>
      <c r="AD176" s="87"/>
      <c r="AE176" s="87"/>
      <c r="AF176" s="87"/>
      <c r="AG176" s="87"/>
    </row>
    <row r="188" spans="17:33" ht="16" customHeight="1" x14ac:dyDescent="0.2">
      <c r="Q188" s="92" t="s">
        <v>606</v>
      </c>
      <c r="R188" s="87"/>
      <c r="S188" s="87"/>
      <c r="T188" s="87"/>
      <c r="U188" s="87"/>
      <c r="V188" s="87"/>
      <c r="W188" s="87"/>
      <c r="Y188" s="92" t="s">
        <v>442</v>
      </c>
      <c r="Z188" s="87"/>
      <c r="AA188" s="87"/>
      <c r="AB188" s="87"/>
      <c r="AC188" s="87"/>
      <c r="AD188" s="87"/>
      <c r="AE188" s="87"/>
      <c r="AF188" s="87"/>
      <c r="AG188" s="87"/>
    </row>
    <row r="189" spans="17:33" x14ac:dyDescent="0.2">
      <c r="Q189" s="10"/>
      <c r="R189" s="10" t="s">
        <v>443</v>
      </c>
      <c r="S189" s="10" t="s">
        <v>444</v>
      </c>
      <c r="W189" s="10" t="s">
        <v>445</v>
      </c>
    </row>
    <row r="190" spans="17:33" ht="22" customHeight="1" x14ac:dyDescent="0.2">
      <c r="Q190" s="11"/>
      <c r="R190" s="12">
        <v>1</v>
      </c>
      <c r="S190" s="86" t="s">
        <v>247</v>
      </c>
      <c r="T190" s="87"/>
      <c r="U190" s="87"/>
      <c r="V190" s="87"/>
      <c r="W190" s="6" t="s">
        <v>521</v>
      </c>
      <c r="Y190" s="91" t="s">
        <v>448</v>
      </c>
      <c r="Z190" s="87"/>
      <c r="AA190" s="87"/>
      <c r="AB190" s="87"/>
      <c r="AC190" s="87"/>
      <c r="AD190" s="87"/>
      <c r="AE190" s="87"/>
      <c r="AF190" s="87"/>
      <c r="AG190" s="87"/>
    </row>
    <row r="191" spans="17:33" ht="22" customHeight="1" x14ac:dyDescent="0.2">
      <c r="Q191" s="13"/>
      <c r="R191" s="12">
        <v>2</v>
      </c>
      <c r="S191" s="86" t="s">
        <v>110</v>
      </c>
      <c r="T191" s="87"/>
      <c r="U191" s="87"/>
      <c r="V191" s="87"/>
      <c r="W191" s="6" t="s">
        <v>524</v>
      </c>
      <c r="Y191" s="86" t="s">
        <v>607</v>
      </c>
      <c r="Z191" s="87"/>
      <c r="AA191" s="87"/>
      <c r="AB191" s="87"/>
      <c r="AC191" s="87"/>
      <c r="AD191" s="87"/>
      <c r="AE191" s="87"/>
      <c r="AF191" s="87"/>
      <c r="AG191" s="87"/>
    </row>
    <row r="192" spans="17:33" ht="22" customHeight="1" x14ac:dyDescent="0.2">
      <c r="Q192" s="14"/>
      <c r="R192" s="12">
        <v>3</v>
      </c>
      <c r="S192" s="86" t="s">
        <v>6</v>
      </c>
      <c r="T192" s="87"/>
      <c r="U192" s="87"/>
      <c r="V192" s="87"/>
      <c r="W192" s="6" t="s">
        <v>656</v>
      </c>
      <c r="Y192" s="87"/>
      <c r="Z192" s="87"/>
      <c r="AA192" s="87"/>
      <c r="AB192" s="87"/>
      <c r="AC192" s="87"/>
      <c r="AD192" s="87"/>
      <c r="AE192" s="87"/>
      <c r="AF192" s="87"/>
      <c r="AG192" s="87"/>
    </row>
    <row r="193" spans="17:33" ht="22" customHeight="1" x14ac:dyDescent="0.2">
      <c r="Q193" s="15"/>
      <c r="R193" s="12">
        <v>4</v>
      </c>
      <c r="S193" s="86" t="s">
        <v>235</v>
      </c>
      <c r="T193" s="87"/>
      <c r="U193" s="87"/>
      <c r="V193" s="87"/>
      <c r="W193" s="6" t="s">
        <v>525</v>
      </c>
      <c r="Y193" s="87"/>
      <c r="Z193" s="87"/>
      <c r="AA193" s="87"/>
      <c r="AB193" s="87"/>
      <c r="AC193" s="87"/>
      <c r="AD193" s="87"/>
      <c r="AE193" s="87"/>
      <c r="AF193" s="87"/>
      <c r="AG193" s="87"/>
    </row>
    <row r="194" spans="17:33" ht="22" customHeight="1" x14ac:dyDescent="0.2">
      <c r="Q194" s="16"/>
      <c r="R194" s="12">
        <v>5</v>
      </c>
      <c r="S194" s="86" t="s">
        <v>219</v>
      </c>
      <c r="T194" s="87"/>
      <c r="U194" s="87"/>
      <c r="V194" s="87"/>
      <c r="W194" s="6" t="s">
        <v>526</v>
      </c>
      <c r="Y194" s="87"/>
      <c r="Z194" s="87"/>
      <c r="AA194" s="87"/>
      <c r="AB194" s="87"/>
      <c r="AC194" s="87"/>
      <c r="AD194" s="87"/>
      <c r="AE194" s="87"/>
      <c r="AF194" s="87"/>
      <c r="AG194" s="87"/>
    </row>
    <row r="195" spans="17:33" ht="22" customHeight="1" x14ac:dyDescent="0.2">
      <c r="Q195" s="24"/>
      <c r="R195" s="12">
        <v>1</v>
      </c>
      <c r="S195" s="86" t="s">
        <v>608</v>
      </c>
      <c r="T195" s="87"/>
      <c r="U195" s="87"/>
      <c r="V195" s="87"/>
      <c r="W195" s="6" t="s">
        <v>640</v>
      </c>
    </row>
    <row r="196" spans="17:33" x14ac:dyDescent="0.2">
      <c r="Y196" s="91" t="s">
        <v>450</v>
      </c>
      <c r="Z196" s="87"/>
      <c r="AA196" s="87"/>
      <c r="AB196" s="87"/>
      <c r="AC196" s="87"/>
      <c r="AD196" s="87"/>
      <c r="AE196" s="87"/>
      <c r="AF196" s="87"/>
      <c r="AG196" s="87"/>
    </row>
    <row r="197" spans="17:33" x14ac:dyDescent="0.2">
      <c r="Y197" s="86" t="s">
        <v>609</v>
      </c>
      <c r="Z197" s="87"/>
      <c r="AA197" s="87"/>
      <c r="AB197" s="87"/>
      <c r="AC197" s="87"/>
      <c r="AD197" s="87"/>
      <c r="AE197" s="87"/>
      <c r="AF197" s="87"/>
      <c r="AG197" s="87"/>
    </row>
    <row r="198" spans="17:33" x14ac:dyDescent="0.2">
      <c r="Y198" s="87"/>
      <c r="Z198" s="87"/>
      <c r="AA198" s="87"/>
      <c r="AB198" s="87"/>
      <c r="AC198" s="87"/>
      <c r="AD198" s="87"/>
      <c r="AE198" s="87"/>
      <c r="AF198" s="87"/>
      <c r="AG198" s="87"/>
    </row>
    <row r="199" spans="17:33" x14ac:dyDescent="0.2">
      <c r="Y199" s="87"/>
      <c r="Z199" s="87"/>
      <c r="AA199" s="87"/>
      <c r="AB199" s="87"/>
      <c r="AC199" s="87"/>
      <c r="AD199" s="87"/>
      <c r="AE199" s="87"/>
      <c r="AF199" s="87"/>
      <c r="AG199" s="87"/>
    </row>
    <row r="200" spans="17:33" x14ac:dyDescent="0.2">
      <c r="Y200" s="87"/>
      <c r="Z200" s="87"/>
      <c r="AA200" s="87"/>
      <c r="AB200" s="87"/>
      <c r="AC200" s="87"/>
      <c r="AD200" s="87"/>
      <c r="AE200" s="87"/>
      <c r="AF200" s="87"/>
      <c r="AG200" s="87"/>
    </row>
    <row r="202" spans="17:33" x14ac:dyDescent="0.2">
      <c r="Y202" s="91" t="s">
        <v>452</v>
      </c>
      <c r="Z202" s="87"/>
      <c r="AA202" s="87"/>
      <c r="AB202" s="87"/>
      <c r="AC202" s="87"/>
      <c r="AD202" s="87"/>
      <c r="AE202" s="87"/>
      <c r="AF202" s="87"/>
      <c r="AG202" s="87"/>
    </row>
    <row r="203" spans="17:33" x14ac:dyDescent="0.2">
      <c r="Y203" s="86" t="s">
        <v>610</v>
      </c>
      <c r="Z203" s="87"/>
      <c r="AA203" s="87"/>
      <c r="AB203" s="87"/>
      <c r="AC203" s="87"/>
      <c r="AD203" s="87"/>
      <c r="AE203" s="87"/>
      <c r="AF203" s="87"/>
      <c r="AG203" s="87"/>
    </row>
    <row r="204" spans="17:33" x14ac:dyDescent="0.2">
      <c r="Y204" s="87"/>
      <c r="Z204" s="87"/>
      <c r="AA204" s="87"/>
      <c r="AB204" s="87"/>
      <c r="AC204" s="87"/>
      <c r="AD204" s="87"/>
      <c r="AE204" s="87"/>
      <c r="AF204" s="87"/>
      <c r="AG204" s="87"/>
    </row>
    <row r="205" spans="17:33" x14ac:dyDescent="0.2">
      <c r="Y205" s="87"/>
      <c r="Z205" s="87"/>
      <c r="AA205" s="87"/>
      <c r="AB205" s="87"/>
      <c r="AC205" s="87"/>
      <c r="AD205" s="87"/>
      <c r="AE205" s="87"/>
      <c r="AF205" s="87"/>
      <c r="AG205" s="87"/>
    </row>
    <row r="206" spans="17:33" x14ac:dyDescent="0.2">
      <c r="Y206" s="87"/>
      <c r="Z206" s="87"/>
      <c r="AA206" s="87"/>
      <c r="AB206" s="87"/>
      <c r="AC206" s="87"/>
      <c r="AD206" s="87"/>
      <c r="AE206" s="87"/>
      <c r="AF206" s="87"/>
      <c r="AG206" s="87"/>
    </row>
    <row r="208" spans="17:33" x14ac:dyDescent="0.2">
      <c r="Y208" s="91" t="s">
        <v>454</v>
      </c>
      <c r="Z208" s="87"/>
      <c r="AA208" s="87"/>
      <c r="AB208" s="87"/>
      <c r="AC208" s="87"/>
      <c r="AD208" s="87"/>
      <c r="AE208" s="87"/>
      <c r="AF208" s="87"/>
      <c r="AG208" s="87"/>
    </row>
    <row r="209" spans="17:33" x14ac:dyDescent="0.2">
      <c r="Y209" s="86" t="s">
        <v>611</v>
      </c>
      <c r="Z209" s="87"/>
      <c r="AA209" s="87"/>
      <c r="AB209" s="87"/>
      <c r="AC209" s="87"/>
      <c r="AD209" s="87"/>
      <c r="AE209" s="87"/>
      <c r="AF209" s="87"/>
      <c r="AG209" s="87"/>
    </row>
    <row r="210" spans="17:33" x14ac:dyDescent="0.2">
      <c r="Y210" s="87"/>
      <c r="Z210" s="87"/>
      <c r="AA210" s="87"/>
      <c r="AB210" s="87"/>
      <c r="AC210" s="87"/>
      <c r="AD210" s="87"/>
      <c r="AE210" s="87"/>
      <c r="AF210" s="87"/>
      <c r="AG210" s="87"/>
    </row>
    <row r="211" spans="17:33" x14ac:dyDescent="0.2">
      <c r="Y211" s="87"/>
      <c r="Z211" s="87"/>
      <c r="AA211" s="87"/>
      <c r="AB211" s="87"/>
      <c r="AC211" s="87"/>
      <c r="AD211" s="87"/>
      <c r="AE211" s="87"/>
      <c r="AF211" s="87"/>
      <c r="AG211" s="87"/>
    </row>
    <row r="212" spans="17:33" x14ac:dyDescent="0.2">
      <c r="Y212" s="87"/>
      <c r="Z212" s="87"/>
      <c r="AA212" s="87"/>
      <c r="AB212" s="87"/>
      <c r="AC212" s="87"/>
      <c r="AD212" s="87"/>
      <c r="AE212" s="87"/>
      <c r="AF212" s="87"/>
      <c r="AG212" s="87"/>
    </row>
    <row r="224" spans="17:33" ht="16" customHeight="1" x14ac:dyDescent="0.2">
      <c r="Q224" s="92" t="s">
        <v>641</v>
      </c>
      <c r="R224" s="87"/>
      <c r="S224" s="87"/>
      <c r="T224" s="87"/>
      <c r="U224" s="87"/>
      <c r="V224" s="87"/>
      <c r="W224" s="87"/>
      <c r="Y224" s="92" t="s">
        <v>442</v>
      </c>
      <c r="Z224" s="87"/>
      <c r="AA224" s="87"/>
      <c r="AB224" s="87"/>
      <c r="AC224" s="87"/>
      <c r="AD224" s="87"/>
      <c r="AE224" s="87"/>
      <c r="AF224" s="87"/>
      <c r="AG224" s="87"/>
    </row>
    <row r="225" spans="17:33" x14ac:dyDescent="0.2">
      <c r="Q225" s="10"/>
      <c r="R225" s="10" t="s">
        <v>443</v>
      </c>
      <c r="S225" s="10" t="s">
        <v>444</v>
      </c>
      <c r="W225" s="10" t="s">
        <v>445</v>
      </c>
    </row>
    <row r="226" spans="17:33" ht="22" customHeight="1" x14ac:dyDescent="0.2">
      <c r="Q226" s="11"/>
      <c r="R226" s="12">
        <v>1</v>
      </c>
      <c r="S226" s="86" t="s">
        <v>426</v>
      </c>
      <c r="T226" s="87"/>
      <c r="U226" s="87"/>
      <c r="V226" s="87"/>
      <c r="W226" s="6" t="s">
        <v>683</v>
      </c>
      <c r="Y226" s="91" t="s">
        <v>448</v>
      </c>
      <c r="Z226" s="87"/>
      <c r="AA226" s="87"/>
      <c r="AB226" s="87"/>
      <c r="AC226" s="87"/>
      <c r="AD226" s="87"/>
      <c r="AE226" s="87"/>
      <c r="AF226" s="87"/>
      <c r="AG226" s="87"/>
    </row>
    <row r="227" spans="17:33" ht="22" customHeight="1" x14ac:dyDescent="0.2">
      <c r="Q227" s="13"/>
      <c r="R227" s="12">
        <v>2</v>
      </c>
      <c r="S227" s="86" t="s">
        <v>417</v>
      </c>
      <c r="T227" s="87"/>
      <c r="U227" s="87"/>
      <c r="V227" s="87"/>
      <c r="W227" s="6" t="s">
        <v>613</v>
      </c>
      <c r="Y227" s="86" t="s">
        <v>684</v>
      </c>
      <c r="Z227" s="87"/>
      <c r="AA227" s="87"/>
      <c r="AB227" s="87"/>
      <c r="AC227" s="87"/>
      <c r="AD227" s="87"/>
      <c r="AE227" s="87"/>
      <c r="AF227" s="87"/>
      <c r="AG227" s="87"/>
    </row>
    <row r="228" spans="17:33" ht="22" customHeight="1" x14ac:dyDescent="0.2">
      <c r="Q228" s="14"/>
      <c r="R228" s="12">
        <v>3</v>
      </c>
      <c r="S228" s="86" t="s">
        <v>422</v>
      </c>
      <c r="T228" s="87"/>
      <c r="U228" s="87"/>
      <c r="V228" s="87"/>
      <c r="W228" s="6" t="s">
        <v>685</v>
      </c>
      <c r="Y228" s="87"/>
      <c r="Z228" s="87"/>
      <c r="AA228" s="87"/>
      <c r="AB228" s="87"/>
      <c r="AC228" s="87"/>
      <c r="AD228" s="87"/>
      <c r="AE228" s="87"/>
      <c r="AF228" s="87"/>
      <c r="AG228" s="87"/>
    </row>
    <row r="229" spans="17:33" ht="22" customHeight="1" x14ac:dyDescent="0.2">
      <c r="Q229" s="15"/>
      <c r="R229" s="12">
        <v>4</v>
      </c>
      <c r="S229" s="86" t="s">
        <v>425</v>
      </c>
      <c r="T229" s="87"/>
      <c r="U229" s="87"/>
      <c r="V229" s="87"/>
      <c r="W229" s="6" t="s">
        <v>615</v>
      </c>
      <c r="Y229" s="87"/>
      <c r="Z229" s="87"/>
      <c r="AA229" s="87"/>
      <c r="AB229" s="87"/>
      <c r="AC229" s="87"/>
      <c r="AD229" s="87"/>
      <c r="AE229" s="87"/>
      <c r="AF229" s="87"/>
      <c r="AG229" s="87"/>
    </row>
    <row r="230" spans="17:33" ht="22" customHeight="1" x14ac:dyDescent="0.2">
      <c r="Q230" s="16"/>
      <c r="R230" s="12">
        <v>5</v>
      </c>
      <c r="S230" s="86" t="s">
        <v>251</v>
      </c>
      <c r="T230" s="87"/>
      <c r="U230" s="87"/>
      <c r="V230" s="87"/>
      <c r="W230" s="6" t="s">
        <v>686</v>
      </c>
      <c r="Y230" s="87"/>
      <c r="Z230" s="87"/>
      <c r="AA230" s="87"/>
      <c r="AB230" s="87"/>
      <c r="AC230" s="87"/>
      <c r="AD230" s="87"/>
      <c r="AE230" s="87"/>
      <c r="AF230" s="87"/>
      <c r="AG230" s="87"/>
    </row>
    <row r="231" spans="17:33" ht="22" customHeight="1" x14ac:dyDescent="0.2">
      <c r="Q231" s="17"/>
      <c r="R231" s="12">
        <v>6</v>
      </c>
      <c r="S231" s="86" t="s">
        <v>419</v>
      </c>
      <c r="T231" s="87"/>
      <c r="U231" s="87"/>
      <c r="V231" s="87"/>
      <c r="W231" s="6" t="s">
        <v>616</v>
      </c>
    </row>
    <row r="232" spans="17:33" ht="22" customHeight="1" x14ac:dyDescent="0.2">
      <c r="Q232" s="18"/>
      <c r="R232" s="12">
        <v>7</v>
      </c>
      <c r="S232" s="86" t="s">
        <v>423</v>
      </c>
      <c r="T232" s="87"/>
      <c r="U232" s="87"/>
      <c r="V232" s="87"/>
      <c r="W232" s="6" t="s">
        <v>687</v>
      </c>
      <c r="Y232" s="91" t="s">
        <v>450</v>
      </c>
      <c r="Z232" s="87"/>
      <c r="AA232" s="87"/>
      <c r="AB232" s="87"/>
      <c r="AC232" s="87"/>
      <c r="AD232" s="87"/>
      <c r="AE232" s="87"/>
      <c r="AF232" s="87"/>
      <c r="AG232" s="87"/>
    </row>
    <row r="233" spans="17:33" ht="22" customHeight="1" x14ac:dyDescent="0.2">
      <c r="Q233" s="19"/>
      <c r="R233" s="12">
        <v>8</v>
      </c>
      <c r="S233" s="86" t="s">
        <v>424</v>
      </c>
      <c r="T233" s="87"/>
      <c r="U233" s="87"/>
      <c r="V233" s="87"/>
      <c r="W233" s="6" t="s">
        <v>618</v>
      </c>
      <c r="Y233" s="86" t="s">
        <v>688</v>
      </c>
      <c r="Z233" s="87"/>
      <c r="AA233" s="87"/>
      <c r="AB233" s="87"/>
      <c r="AC233" s="87"/>
      <c r="AD233" s="87"/>
      <c r="AE233" s="87"/>
      <c r="AF233" s="87"/>
      <c r="AG233" s="87"/>
    </row>
    <row r="234" spans="17:33" ht="22" customHeight="1" x14ac:dyDescent="0.2">
      <c r="Q234" s="20"/>
      <c r="R234" s="12">
        <v>9</v>
      </c>
      <c r="S234" s="86" t="s">
        <v>420</v>
      </c>
      <c r="T234" s="87"/>
      <c r="U234" s="87"/>
      <c r="V234" s="87"/>
      <c r="W234" s="6" t="s">
        <v>620</v>
      </c>
      <c r="Y234" s="87"/>
      <c r="Z234" s="87"/>
      <c r="AA234" s="87"/>
      <c r="AB234" s="87"/>
      <c r="AC234" s="87"/>
      <c r="AD234" s="87"/>
      <c r="AE234" s="87"/>
      <c r="AF234" s="87"/>
      <c r="AG234" s="87"/>
    </row>
    <row r="235" spans="17:33" ht="22" customHeight="1" x14ac:dyDescent="0.2">
      <c r="Q235" s="21"/>
      <c r="R235" s="12">
        <v>10</v>
      </c>
      <c r="S235" s="86" t="s">
        <v>418</v>
      </c>
      <c r="T235" s="87"/>
      <c r="U235" s="87"/>
      <c r="V235" s="87"/>
      <c r="W235" s="6" t="s">
        <v>620</v>
      </c>
      <c r="Y235" s="87"/>
      <c r="Z235" s="87"/>
      <c r="AA235" s="87"/>
      <c r="AB235" s="87"/>
      <c r="AC235" s="87"/>
      <c r="AD235" s="87"/>
      <c r="AE235" s="87"/>
      <c r="AF235" s="87"/>
      <c r="AG235" s="87"/>
    </row>
    <row r="236" spans="17:33" ht="22" customHeight="1" x14ac:dyDescent="0.2">
      <c r="Q236" s="22"/>
      <c r="R236" s="12">
        <v>11</v>
      </c>
      <c r="S236" s="86" t="s">
        <v>432</v>
      </c>
      <c r="T236" s="87"/>
      <c r="U236" s="87"/>
      <c r="V236" s="87"/>
      <c r="W236" s="6" t="s">
        <v>620</v>
      </c>
      <c r="Y236" s="87"/>
      <c r="Z236" s="87"/>
      <c r="AA236" s="87"/>
      <c r="AB236" s="87"/>
      <c r="AC236" s="87"/>
      <c r="AD236" s="87"/>
      <c r="AE236" s="87"/>
      <c r="AF236" s="87"/>
      <c r="AG236" s="87"/>
    </row>
    <row r="237" spans="17:33" ht="22" customHeight="1" x14ac:dyDescent="0.2">
      <c r="Q237" s="23"/>
      <c r="R237" s="12">
        <v>12</v>
      </c>
      <c r="S237" s="86" t="s">
        <v>89</v>
      </c>
      <c r="T237" s="87"/>
      <c r="U237" s="87"/>
      <c r="V237" s="87"/>
      <c r="W237" s="6" t="s">
        <v>623</v>
      </c>
    </row>
    <row r="238" spans="17:33" ht="22" customHeight="1" x14ac:dyDescent="0.2">
      <c r="Q238" s="11"/>
      <c r="R238" s="12">
        <v>13</v>
      </c>
      <c r="S238" s="86" t="s">
        <v>428</v>
      </c>
      <c r="T238" s="87"/>
      <c r="U238" s="87"/>
      <c r="V238" s="87"/>
      <c r="W238" s="6" t="s">
        <v>623</v>
      </c>
      <c r="Y238" s="91" t="s">
        <v>452</v>
      </c>
      <c r="Z238" s="87"/>
      <c r="AA238" s="87"/>
      <c r="AB238" s="87"/>
      <c r="AC238" s="87"/>
      <c r="AD238" s="87"/>
      <c r="AE238" s="87"/>
      <c r="AF238" s="87"/>
      <c r="AG238" s="87"/>
    </row>
    <row r="239" spans="17:33" ht="22" customHeight="1" x14ac:dyDescent="0.2">
      <c r="Q239" s="13"/>
      <c r="R239" s="12">
        <v>14</v>
      </c>
      <c r="S239" s="86" t="s">
        <v>429</v>
      </c>
      <c r="T239" s="87"/>
      <c r="U239" s="87"/>
      <c r="V239" s="87"/>
      <c r="W239" s="6" t="s">
        <v>623</v>
      </c>
      <c r="Y239" s="86" t="s">
        <v>689</v>
      </c>
      <c r="Z239" s="87"/>
      <c r="AA239" s="87"/>
      <c r="AB239" s="87"/>
      <c r="AC239" s="87"/>
      <c r="AD239" s="87"/>
      <c r="AE239" s="87"/>
      <c r="AF239" s="87"/>
      <c r="AG239" s="87"/>
    </row>
    <row r="240" spans="17:33" ht="22" customHeight="1" x14ac:dyDescent="0.2">
      <c r="Q240" s="14"/>
      <c r="R240" s="12">
        <v>15</v>
      </c>
      <c r="S240" s="86" t="s">
        <v>421</v>
      </c>
      <c r="T240" s="87"/>
      <c r="U240" s="87"/>
      <c r="V240" s="87"/>
      <c r="W240" s="6" t="s">
        <v>623</v>
      </c>
      <c r="Y240" s="87"/>
      <c r="Z240" s="87"/>
      <c r="AA240" s="87"/>
      <c r="AB240" s="87"/>
      <c r="AC240" s="87"/>
      <c r="AD240" s="87"/>
      <c r="AE240" s="87"/>
      <c r="AF240" s="87"/>
      <c r="AG240" s="87"/>
    </row>
    <row r="241" spans="17:33" ht="22" customHeight="1" x14ac:dyDescent="0.2">
      <c r="Q241" s="15"/>
      <c r="R241" s="12">
        <v>16</v>
      </c>
      <c r="S241" s="86" t="s">
        <v>430</v>
      </c>
      <c r="T241" s="87"/>
      <c r="U241" s="87"/>
      <c r="V241" s="87"/>
      <c r="W241" s="6" t="s">
        <v>623</v>
      </c>
      <c r="Y241" s="87"/>
      <c r="Z241" s="87"/>
      <c r="AA241" s="87"/>
      <c r="AB241" s="87"/>
      <c r="AC241" s="87"/>
      <c r="AD241" s="87"/>
      <c r="AE241" s="87"/>
      <c r="AF241" s="87"/>
      <c r="AG241" s="87"/>
    </row>
    <row r="242" spans="17:33" ht="22" customHeight="1" x14ac:dyDescent="0.2">
      <c r="Q242" s="16"/>
      <c r="R242" s="12">
        <v>17</v>
      </c>
      <c r="S242" s="86" t="s">
        <v>427</v>
      </c>
      <c r="T242" s="87"/>
      <c r="U242" s="87"/>
      <c r="V242" s="87"/>
      <c r="W242" s="6" t="s">
        <v>624</v>
      </c>
      <c r="Y242" s="87"/>
      <c r="Z242" s="87"/>
      <c r="AA242" s="87"/>
      <c r="AB242" s="87"/>
      <c r="AC242" s="87"/>
      <c r="AD242" s="87"/>
      <c r="AE242" s="87"/>
      <c r="AF242" s="87"/>
      <c r="AG242" s="87"/>
    </row>
    <row r="243" spans="17:33" ht="22" customHeight="1" x14ac:dyDescent="0.2">
      <c r="Q243" s="17"/>
      <c r="R243" s="12">
        <v>18</v>
      </c>
      <c r="S243" s="86" t="s">
        <v>344</v>
      </c>
      <c r="T243" s="87"/>
      <c r="U243" s="87"/>
      <c r="V243" s="87"/>
      <c r="W243" s="6" t="s">
        <v>624</v>
      </c>
    </row>
    <row r="244" spans="17:33" ht="22" customHeight="1" x14ac:dyDescent="0.2">
      <c r="Q244" s="18"/>
      <c r="R244" s="12">
        <v>19</v>
      </c>
      <c r="S244" s="86" t="s">
        <v>433</v>
      </c>
      <c r="T244" s="87"/>
      <c r="U244" s="87"/>
      <c r="V244" s="87"/>
      <c r="W244" s="6" t="s">
        <v>624</v>
      </c>
    </row>
    <row r="245" spans="17:33" ht="22" customHeight="1" x14ac:dyDescent="0.2">
      <c r="Q245" s="19"/>
      <c r="R245" s="12">
        <v>20</v>
      </c>
      <c r="S245" s="86" t="s">
        <v>431</v>
      </c>
      <c r="T245" s="87"/>
      <c r="U245" s="87"/>
      <c r="V245" s="87"/>
      <c r="W245" s="6" t="s">
        <v>624</v>
      </c>
    </row>
    <row r="246" spans="17:33" ht="22" customHeight="1" x14ac:dyDescent="0.2">
      <c r="Q246" s="20"/>
      <c r="R246" s="12">
        <v>21</v>
      </c>
      <c r="S246" s="86" t="s">
        <v>396</v>
      </c>
      <c r="T246" s="87"/>
      <c r="U246" s="87"/>
      <c r="V246" s="87"/>
      <c r="W246" s="6" t="s">
        <v>624</v>
      </c>
    </row>
  </sheetData>
  <mergeCells count="152">
    <mergeCell ref="S244:V244"/>
    <mergeCell ref="S130:V130"/>
    <mergeCell ref="S82:V82"/>
    <mergeCell ref="S231:V231"/>
    <mergeCell ref="S240:V240"/>
    <mergeCell ref="S66:V66"/>
    <mergeCell ref="S132:V132"/>
    <mergeCell ref="S190:V190"/>
    <mergeCell ref="Y119:AG122"/>
    <mergeCell ref="Y224:AG224"/>
    <mergeCell ref="Y202:AG202"/>
    <mergeCell ref="S239:V239"/>
    <mergeCell ref="Q188:W188"/>
    <mergeCell ref="S84:V84"/>
    <mergeCell ref="Q8:W8"/>
    <mergeCell ref="S86:V86"/>
    <mergeCell ref="Y89:AG92"/>
    <mergeCell ref="Y191:AG194"/>
    <mergeCell ref="S122:V122"/>
    <mergeCell ref="Y161:AG164"/>
    <mergeCell ref="Y137:AG140"/>
    <mergeCell ref="Y226:AG226"/>
    <mergeCell ref="Y203:AG206"/>
    <mergeCell ref="Q152:W152"/>
    <mergeCell ref="S53:V53"/>
    <mergeCell ref="S133:V133"/>
    <mergeCell ref="Q44:W44"/>
    <mergeCell ref="S127:V127"/>
    <mergeCell ref="Y44:AG44"/>
    <mergeCell ref="S55:V55"/>
    <mergeCell ref="Y172:AG172"/>
    <mergeCell ref="S64:V64"/>
    <mergeCell ref="S162:V162"/>
    <mergeCell ref="Y188:AG188"/>
    <mergeCell ref="S54:V54"/>
    <mergeCell ref="S63:V63"/>
    <mergeCell ref="Y197:AG200"/>
    <mergeCell ref="Y23:AG26"/>
    <mergeCell ref="S246:V246"/>
    <mergeCell ref="Y209:AG212"/>
    <mergeCell ref="S47:V47"/>
    <mergeCell ref="S233:V233"/>
    <mergeCell ref="S59:V59"/>
    <mergeCell ref="S119:V119"/>
    <mergeCell ref="Y131:AG134"/>
    <mergeCell ref="Y154:AG154"/>
    <mergeCell ref="S46:V46"/>
    <mergeCell ref="S61:V61"/>
    <mergeCell ref="Y116:AG116"/>
    <mergeCell ref="S48:V48"/>
    <mergeCell ref="S194:V194"/>
    <mergeCell ref="Y130:AG130"/>
    <mergeCell ref="S160:V160"/>
    <mergeCell ref="S131:V131"/>
    <mergeCell ref="S245:V245"/>
    <mergeCell ref="S49:V49"/>
    <mergeCell ref="S128:V128"/>
    <mergeCell ref="Y118:AG118"/>
    <mergeCell ref="Y155:AG158"/>
    <mergeCell ref="S137:V137"/>
    <mergeCell ref="S195:V195"/>
    <mergeCell ref="Y232:AG232"/>
    <mergeCell ref="S243:V243"/>
    <mergeCell ref="Y173:AG176"/>
    <mergeCell ref="Y17:AG20"/>
    <mergeCell ref="Y196:AG196"/>
    <mergeCell ref="Y11:AG14"/>
    <mergeCell ref="S57:V57"/>
    <mergeCell ref="Y152:AG152"/>
    <mergeCell ref="S229:V229"/>
    <mergeCell ref="Y59:AG62"/>
    <mergeCell ref="Y239:AG242"/>
    <mergeCell ref="S83:V83"/>
    <mergeCell ref="Y95:AG98"/>
    <mergeCell ref="S154:V154"/>
    <mergeCell ref="S163:V163"/>
    <mergeCell ref="S124:V124"/>
    <mergeCell ref="Y88:AG88"/>
    <mergeCell ref="S85:V85"/>
    <mergeCell ref="Q80:W80"/>
    <mergeCell ref="S65:V65"/>
    <mergeCell ref="Y94:AG94"/>
    <mergeCell ref="S157:V157"/>
    <mergeCell ref="S237:V237"/>
    <mergeCell ref="Y22:AG22"/>
    <mergeCell ref="Y101:AG104"/>
    <mergeCell ref="A1:AG2"/>
    <mergeCell ref="Y83:AG86"/>
    <mergeCell ref="Y100:AG100"/>
    <mergeCell ref="S241:V241"/>
    <mergeCell ref="S58:V58"/>
    <mergeCell ref="Y160:AG160"/>
    <mergeCell ref="S228:V228"/>
    <mergeCell ref="Q224:W224"/>
    <mergeCell ref="S120:V120"/>
    <mergeCell ref="S191:V191"/>
    <mergeCell ref="Y8:AG8"/>
    <mergeCell ref="S10:V10"/>
    <mergeCell ref="S129:V129"/>
    <mergeCell ref="S123:V123"/>
    <mergeCell ref="S138:V138"/>
    <mergeCell ref="S50:V50"/>
    <mergeCell ref="S230:V230"/>
    <mergeCell ref="S51:V51"/>
    <mergeCell ref="Y125:AG128"/>
    <mergeCell ref="S60:V60"/>
    <mergeCell ref="Y80:AG80"/>
    <mergeCell ref="Y208:AG208"/>
    <mergeCell ref="S236:V236"/>
    <mergeCell ref="Y53:AG56"/>
    <mergeCell ref="S242:V242"/>
    <mergeCell ref="S125:V125"/>
    <mergeCell ref="Q116:W116"/>
    <mergeCell ref="S134:V134"/>
    <mergeCell ref="S192:V192"/>
    <mergeCell ref="S226:V226"/>
    <mergeCell ref="S161:V161"/>
    <mergeCell ref="S62:V62"/>
    <mergeCell ref="Y227:AG230"/>
    <mergeCell ref="S232:V232"/>
    <mergeCell ref="Y136:AG136"/>
    <mergeCell ref="S155:V155"/>
    <mergeCell ref="Y167:AG170"/>
    <mergeCell ref="S234:V234"/>
    <mergeCell ref="S235:V235"/>
    <mergeCell ref="S227:V227"/>
    <mergeCell ref="Y124:AG124"/>
    <mergeCell ref="Y190:AG190"/>
    <mergeCell ref="S156:V156"/>
    <mergeCell ref="S126:V126"/>
    <mergeCell ref="Y166:AG166"/>
    <mergeCell ref="S238:V238"/>
    <mergeCell ref="Y238:AG238"/>
    <mergeCell ref="S121:V121"/>
    <mergeCell ref="S136:V136"/>
    <mergeCell ref="S118:V118"/>
    <mergeCell ref="Y82:AG82"/>
    <mergeCell ref="S158:V158"/>
    <mergeCell ref="Y233:AG236"/>
    <mergeCell ref="Y10:AG10"/>
    <mergeCell ref="Y16:AG16"/>
    <mergeCell ref="S135:V135"/>
    <mergeCell ref="S193:V193"/>
    <mergeCell ref="Y52:AG52"/>
    <mergeCell ref="S159:V159"/>
    <mergeCell ref="Y47:AG50"/>
    <mergeCell ref="S52:V52"/>
    <mergeCell ref="Y46:AG46"/>
    <mergeCell ref="Y28:AG28"/>
    <mergeCell ref="S56:V56"/>
    <mergeCell ref="Y29:AG32"/>
    <mergeCell ref="Y58:AG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3"/>
  <sheetViews>
    <sheetView workbookViewId="0"/>
  </sheetViews>
  <sheetFormatPr baseColWidth="10" defaultColWidth="8.83203125" defaultRowHeight="15" x14ac:dyDescent="0.2"/>
  <sheetData>
    <row r="1" spans="1:30" x14ac:dyDescent="0.2">
      <c r="A1" s="25" t="s">
        <v>625</v>
      </c>
      <c r="E1" s="25" t="s">
        <v>690</v>
      </c>
      <c r="I1" s="25" t="s">
        <v>627</v>
      </c>
      <c r="M1" s="25" t="s">
        <v>691</v>
      </c>
      <c r="Q1" s="25" t="s">
        <v>629</v>
      </c>
      <c r="U1" s="25" t="s">
        <v>692</v>
      </c>
      <c r="Y1" s="25" t="s">
        <v>631</v>
      </c>
    </row>
    <row r="2" spans="1:30" x14ac:dyDescent="0.2">
      <c r="A2" s="25" t="s">
        <v>632</v>
      </c>
      <c r="B2" s="25" t="s">
        <v>633</v>
      </c>
      <c r="C2" s="25" t="s">
        <v>634</v>
      </c>
      <c r="E2" s="25" t="s">
        <v>632</v>
      </c>
      <c r="F2" s="25" t="s">
        <v>398</v>
      </c>
      <c r="G2" s="25" t="s">
        <v>634</v>
      </c>
      <c r="I2" s="25" t="s">
        <v>632</v>
      </c>
      <c r="J2" s="25" t="s">
        <v>1</v>
      </c>
      <c r="K2" s="25" t="s">
        <v>634</v>
      </c>
      <c r="M2" s="25" t="s">
        <v>632</v>
      </c>
      <c r="N2" s="25" t="s">
        <v>398</v>
      </c>
      <c r="O2" s="25" t="s">
        <v>634</v>
      </c>
      <c r="Q2" s="25" t="s">
        <v>632</v>
      </c>
      <c r="R2" s="25" t="s">
        <v>2</v>
      </c>
      <c r="S2" s="25" t="s">
        <v>634</v>
      </c>
      <c r="U2" s="25" t="s">
        <v>632</v>
      </c>
      <c r="V2" s="25" t="s">
        <v>398</v>
      </c>
      <c r="W2" s="25" t="s">
        <v>635</v>
      </c>
      <c r="Y2" s="25" t="s">
        <v>636</v>
      </c>
      <c r="Z2" s="25" t="s">
        <v>624</v>
      </c>
      <c r="AA2" s="25" t="s">
        <v>623</v>
      </c>
      <c r="AB2" s="25" t="s">
        <v>621</v>
      </c>
      <c r="AC2" s="25" t="s">
        <v>620</v>
      </c>
      <c r="AD2" s="25" t="s">
        <v>618</v>
      </c>
    </row>
    <row r="3" spans="1:30" x14ac:dyDescent="0.2">
      <c r="A3">
        <v>1</v>
      </c>
      <c r="B3" s="4">
        <v>46235</v>
      </c>
      <c r="C3" s="5">
        <v>899.73000000000047</v>
      </c>
      <c r="E3">
        <v>1</v>
      </c>
      <c r="F3" t="s">
        <v>251</v>
      </c>
      <c r="G3" s="5">
        <v>146.02000000000001</v>
      </c>
      <c r="I3">
        <v>1</v>
      </c>
      <c r="J3" t="s">
        <v>247</v>
      </c>
      <c r="K3" s="5">
        <v>574.97000000000037</v>
      </c>
      <c r="M3">
        <v>1</v>
      </c>
      <c r="N3" t="s">
        <v>251</v>
      </c>
      <c r="O3" s="5">
        <v>146.02000000000001</v>
      </c>
      <c r="Q3">
        <v>1</v>
      </c>
      <c r="R3" t="s">
        <v>269</v>
      </c>
      <c r="S3" s="5">
        <v>79.540000000000006</v>
      </c>
      <c r="U3">
        <v>1</v>
      </c>
      <c r="V3" t="s">
        <v>426</v>
      </c>
      <c r="W3">
        <v>42</v>
      </c>
      <c r="Y3">
        <v>1</v>
      </c>
      <c r="Z3" s="5">
        <v>574.97000000000037</v>
      </c>
      <c r="AA3" s="5">
        <v>145.58000000000001</v>
      </c>
      <c r="AB3" s="5">
        <v>100.82</v>
      </c>
      <c r="AC3" s="5">
        <v>48.12</v>
      </c>
      <c r="AD3" s="5">
        <v>30.24</v>
      </c>
    </row>
    <row r="4" spans="1:30" x14ac:dyDescent="0.2">
      <c r="E4">
        <v>2</v>
      </c>
      <c r="F4" t="s">
        <v>426</v>
      </c>
      <c r="G4" s="5">
        <v>111.93</v>
      </c>
      <c r="I4">
        <v>2</v>
      </c>
      <c r="J4" t="s">
        <v>110</v>
      </c>
      <c r="K4" s="5">
        <v>145.58000000000001</v>
      </c>
      <c r="M4">
        <v>2</v>
      </c>
      <c r="N4" t="s">
        <v>426</v>
      </c>
      <c r="O4" s="5">
        <v>111.93</v>
      </c>
      <c r="Q4">
        <v>2</v>
      </c>
      <c r="R4" t="s">
        <v>261</v>
      </c>
      <c r="S4" s="5">
        <v>47.88</v>
      </c>
      <c r="U4">
        <v>2</v>
      </c>
      <c r="V4" t="s">
        <v>417</v>
      </c>
      <c r="W4">
        <v>23</v>
      </c>
    </row>
    <row r="5" spans="1:30" x14ac:dyDescent="0.2">
      <c r="E5">
        <v>3</v>
      </c>
      <c r="F5" t="s">
        <v>422</v>
      </c>
      <c r="G5" s="5">
        <v>111.26</v>
      </c>
      <c r="I5">
        <v>3</v>
      </c>
      <c r="J5" t="s">
        <v>6</v>
      </c>
      <c r="K5" s="5">
        <v>100.82</v>
      </c>
      <c r="M5">
        <v>3</v>
      </c>
      <c r="N5" t="s">
        <v>422</v>
      </c>
      <c r="O5" s="5">
        <v>111.26</v>
      </c>
      <c r="Q5">
        <v>3</v>
      </c>
      <c r="R5" t="s">
        <v>295</v>
      </c>
      <c r="S5" s="5">
        <v>46.78</v>
      </c>
      <c r="U5">
        <v>3</v>
      </c>
      <c r="V5" t="s">
        <v>422</v>
      </c>
      <c r="W5">
        <v>19</v>
      </c>
    </row>
    <row r="6" spans="1:30" x14ac:dyDescent="0.2">
      <c r="E6">
        <v>4</v>
      </c>
      <c r="F6" t="s">
        <v>425</v>
      </c>
      <c r="G6" s="5">
        <v>87.39</v>
      </c>
      <c r="I6">
        <v>4</v>
      </c>
      <c r="J6" t="s">
        <v>235</v>
      </c>
      <c r="K6" s="5">
        <v>48.12</v>
      </c>
      <c r="M6">
        <v>4</v>
      </c>
      <c r="N6" t="s">
        <v>425</v>
      </c>
      <c r="O6" s="5">
        <v>87.39</v>
      </c>
      <c r="Q6">
        <v>4</v>
      </c>
      <c r="R6" t="s">
        <v>343</v>
      </c>
      <c r="S6" s="5">
        <v>28.54</v>
      </c>
      <c r="U6">
        <v>4</v>
      </c>
      <c r="V6" t="s">
        <v>425</v>
      </c>
      <c r="W6">
        <v>14</v>
      </c>
    </row>
    <row r="7" spans="1:30" x14ac:dyDescent="0.2">
      <c r="E7">
        <v>5</v>
      </c>
      <c r="F7" t="s">
        <v>417</v>
      </c>
      <c r="G7" s="5">
        <v>86.179999999999993</v>
      </c>
      <c r="I7">
        <v>5</v>
      </c>
      <c r="J7" t="s">
        <v>219</v>
      </c>
      <c r="K7" s="5">
        <v>30.24</v>
      </c>
      <c r="M7">
        <v>5</v>
      </c>
      <c r="N7" t="s">
        <v>417</v>
      </c>
      <c r="O7" s="5">
        <v>86.179999999999993</v>
      </c>
      <c r="Q7">
        <v>5</v>
      </c>
      <c r="R7" t="s">
        <v>244</v>
      </c>
      <c r="S7" s="5">
        <v>24.88</v>
      </c>
      <c r="U7">
        <v>5</v>
      </c>
      <c r="V7" t="s">
        <v>251</v>
      </c>
      <c r="W7">
        <v>11</v>
      </c>
    </row>
    <row r="8" spans="1:30" x14ac:dyDescent="0.2">
      <c r="E8">
        <v>6</v>
      </c>
      <c r="F8" t="s">
        <v>419</v>
      </c>
      <c r="G8" s="5">
        <v>56.28</v>
      </c>
      <c r="M8">
        <v>6</v>
      </c>
      <c r="N8" t="s">
        <v>419</v>
      </c>
      <c r="O8" s="5">
        <v>56.28</v>
      </c>
      <c r="Q8">
        <v>6</v>
      </c>
      <c r="R8" t="s">
        <v>293</v>
      </c>
      <c r="S8" s="5">
        <v>19.96</v>
      </c>
      <c r="U8">
        <v>6</v>
      </c>
      <c r="V8" t="s">
        <v>419</v>
      </c>
      <c r="W8">
        <v>10</v>
      </c>
    </row>
    <row r="9" spans="1:30" x14ac:dyDescent="0.2">
      <c r="E9">
        <v>7</v>
      </c>
      <c r="F9" t="s">
        <v>421</v>
      </c>
      <c r="G9" s="5">
        <v>47.88</v>
      </c>
      <c r="M9">
        <v>7</v>
      </c>
      <c r="N9" t="s">
        <v>421</v>
      </c>
      <c r="O9" s="5">
        <v>47.88</v>
      </c>
      <c r="Q9">
        <v>7</v>
      </c>
      <c r="R9" t="s">
        <v>280</v>
      </c>
      <c r="S9" s="5">
        <v>19.88</v>
      </c>
      <c r="U9">
        <v>7</v>
      </c>
      <c r="V9" t="s">
        <v>423</v>
      </c>
      <c r="W9">
        <v>7</v>
      </c>
    </row>
    <row r="10" spans="1:30" x14ac:dyDescent="0.2">
      <c r="E10">
        <v>8</v>
      </c>
      <c r="F10" t="s">
        <v>432</v>
      </c>
      <c r="G10" s="5">
        <v>42.2</v>
      </c>
      <c r="M10">
        <v>8</v>
      </c>
      <c r="N10" t="s">
        <v>432</v>
      </c>
      <c r="O10" s="5">
        <v>42.2</v>
      </c>
      <c r="Q10">
        <v>8</v>
      </c>
      <c r="R10" t="s">
        <v>286</v>
      </c>
      <c r="S10" s="5">
        <v>19.34</v>
      </c>
      <c r="U10">
        <v>8</v>
      </c>
      <c r="V10" t="s">
        <v>424</v>
      </c>
      <c r="W10">
        <v>5</v>
      </c>
    </row>
    <row r="11" spans="1:30" x14ac:dyDescent="0.2">
      <c r="E11">
        <v>9</v>
      </c>
      <c r="F11" t="s">
        <v>424</v>
      </c>
      <c r="G11" s="5">
        <v>37.96</v>
      </c>
      <c r="M11">
        <v>9</v>
      </c>
      <c r="N11" t="s">
        <v>424</v>
      </c>
      <c r="O11" s="5">
        <v>37.96</v>
      </c>
      <c r="Q11">
        <v>9</v>
      </c>
      <c r="R11" t="s">
        <v>128</v>
      </c>
      <c r="S11" s="5">
        <v>18.57</v>
      </c>
      <c r="U11">
        <v>9</v>
      </c>
      <c r="V11" t="s">
        <v>420</v>
      </c>
      <c r="W11">
        <v>4</v>
      </c>
    </row>
    <row r="12" spans="1:30" x14ac:dyDescent="0.2">
      <c r="E12">
        <v>10</v>
      </c>
      <c r="F12" t="s">
        <v>344</v>
      </c>
      <c r="G12" s="5">
        <v>28.54</v>
      </c>
      <c r="M12">
        <v>10</v>
      </c>
      <c r="N12" t="s">
        <v>344</v>
      </c>
      <c r="O12" s="5">
        <v>28.54</v>
      </c>
      <c r="Q12">
        <v>10</v>
      </c>
      <c r="R12" t="s">
        <v>256</v>
      </c>
      <c r="S12" s="5">
        <v>16.739999999999998</v>
      </c>
      <c r="U12">
        <v>10</v>
      </c>
      <c r="V12" t="s">
        <v>418</v>
      </c>
      <c r="W12">
        <v>4</v>
      </c>
    </row>
    <row r="13" spans="1:30" x14ac:dyDescent="0.2">
      <c r="E13">
        <v>11</v>
      </c>
      <c r="F13" t="s">
        <v>418</v>
      </c>
      <c r="G13" s="5">
        <v>25.48</v>
      </c>
      <c r="M13">
        <v>11</v>
      </c>
      <c r="N13" t="s">
        <v>418</v>
      </c>
      <c r="O13" s="5">
        <v>25.48</v>
      </c>
      <c r="U13">
        <v>11</v>
      </c>
      <c r="V13" t="s">
        <v>432</v>
      </c>
      <c r="W13">
        <v>4</v>
      </c>
    </row>
    <row r="14" spans="1:30" x14ac:dyDescent="0.2">
      <c r="E14">
        <v>12</v>
      </c>
      <c r="F14" t="s">
        <v>423</v>
      </c>
      <c r="G14" s="5">
        <v>24.83</v>
      </c>
      <c r="M14">
        <v>12</v>
      </c>
      <c r="N14" t="s">
        <v>423</v>
      </c>
      <c r="O14" s="5">
        <v>24.83</v>
      </c>
      <c r="U14">
        <v>12</v>
      </c>
      <c r="V14" t="s">
        <v>89</v>
      </c>
      <c r="W14">
        <v>2</v>
      </c>
    </row>
    <row r="15" spans="1:30" x14ac:dyDescent="0.2">
      <c r="E15">
        <v>13</v>
      </c>
      <c r="F15" t="s">
        <v>420</v>
      </c>
      <c r="G15" s="5">
        <v>22.13</v>
      </c>
      <c r="M15">
        <v>13</v>
      </c>
      <c r="N15" t="s">
        <v>420</v>
      </c>
      <c r="O15" s="5">
        <v>22.13</v>
      </c>
      <c r="U15">
        <v>13</v>
      </c>
      <c r="V15" t="s">
        <v>428</v>
      </c>
      <c r="W15">
        <v>2</v>
      </c>
    </row>
    <row r="16" spans="1:30" x14ac:dyDescent="0.2">
      <c r="E16">
        <v>14</v>
      </c>
      <c r="F16" t="s">
        <v>427</v>
      </c>
      <c r="G16" s="5">
        <v>14.29</v>
      </c>
      <c r="M16">
        <v>14</v>
      </c>
      <c r="N16" t="s">
        <v>427</v>
      </c>
      <c r="O16" s="5">
        <v>14.29</v>
      </c>
      <c r="U16">
        <v>14</v>
      </c>
      <c r="V16" t="s">
        <v>429</v>
      </c>
      <c r="W16">
        <v>2</v>
      </c>
    </row>
    <row r="17" spans="5:23" x14ac:dyDescent="0.2">
      <c r="E17">
        <v>15</v>
      </c>
      <c r="F17" t="s">
        <v>430</v>
      </c>
      <c r="G17" s="5">
        <v>13.92</v>
      </c>
      <c r="M17">
        <v>15</v>
      </c>
      <c r="N17" t="s">
        <v>430</v>
      </c>
      <c r="O17" s="5">
        <v>13.92</v>
      </c>
      <c r="U17">
        <v>15</v>
      </c>
      <c r="V17" t="s">
        <v>421</v>
      </c>
      <c r="W17">
        <v>2</v>
      </c>
    </row>
    <row r="18" spans="5:23" x14ac:dyDescent="0.2">
      <c r="E18">
        <v>16</v>
      </c>
      <c r="F18" t="s">
        <v>89</v>
      </c>
      <c r="G18" s="5">
        <v>9.76</v>
      </c>
      <c r="M18">
        <v>16</v>
      </c>
      <c r="N18" t="s">
        <v>89</v>
      </c>
      <c r="O18" s="5">
        <v>9.76</v>
      </c>
      <c r="U18">
        <v>16</v>
      </c>
      <c r="V18" t="s">
        <v>430</v>
      </c>
      <c r="W18">
        <v>2</v>
      </c>
    </row>
    <row r="19" spans="5:23" x14ac:dyDescent="0.2">
      <c r="E19">
        <v>17</v>
      </c>
      <c r="F19" t="s">
        <v>429</v>
      </c>
      <c r="G19" s="5">
        <v>9.5599999999999987</v>
      </c>
      <c r="M19">
        <v>17</v>
      </c>
      <c r="N19" t="s">
        <v>429</v>
      </c>
      <c r="O19" s="5">
        <v>9.5599999999999987</v>
      </c>
      <c r="U19">
        <v>17</v>
      </c>
      <c r="V19" t="s">
        <v>427</v>
      </c>
      <c r="W19">
        <v>1</v>
      </c>
    </row>
    <row r="20" spans="5:23" x14ac:dyDescent="0.2">
      <c r="E20">
        <v>18</v>
      </c>
      <c r="F20" t="s">
        <v>428</v>
      </c>
      <c r="G20" s="5">
        <v>7.78</v>
      </c>
      <c r="M20">
        <v>18</v>
      </c>
      <c r="N20" t="s">
        <v>428</v>
      </c>
      <c r="O20" s="5">
        <v>7.78</v>
      </c>
      <c r="U20">
        <v>18</v>
      </c>
      <c r="V20" t="s">
        <v>344</v>
      </c>
      <c r="W20">
        <v>1</v>
      </c>
    </row>
    <row r="21" spans="5:23" x14ac:dyDescent="0.2">
      <c r="E21">
        <v>19</v>
      </c>
      <c r="F21" t="s">
        <v>396</v>
      </c>
      <c r="G21" s="5">
        <v>7.19</v>
      </c>
      <c r="M21">
        <v>19</v>
      </c>
      <c r="N21" t="s">
        <v>396</v>
      </c>
      <c r="O21" s="5">
        <v>7.19</v>
      </c>
      <c r="U21">
        <v>19</v>
      </c>
      <c r="V21" t="s">
        <v>433</v>
      </c>
      <c r="W21">
        <v>1</v>
      </c>
    </row>
    <row r="22" spans="5:23" x14ac:dyDescent="0.2">
      <c r="E22">
        <v>20</v>
      </c>
      <c r="F22" t="s">
        <v>433</v>
      </c>
      <c r="G22" s="5">
        <v>5.99</v>
      </c>
      <c r="M22">
        <v>20</v>
      </c>
      <c r="N22" t="s">
        <v>433</v>
      </c>
      <c r="O22" s="5">
        <v>5.99</v>
      </c>
      <c r="U22">
        <v>20</v>
      </c>
      <c r="V22" t="s">
        <v>431</v>
      </c>
      <c r="W22">
        <v>1</v>
      </c>
    </row>
    <row r="23" spans="5:23" x14ac:dyDescent="0.2">
      <c r="E23">
        <v>21</v>
      </c>
      <c r="F23" t="s">
        <v>431</v>
      </c>
      <c r="G23" s="5">
        <v>3.16</v>
      </c>
      <c r="M23">
        <v>21</v>
      </c>
      <c r="N23" t="s">
        <v>431</v>
      </c>
      <c r="O23" s="5">
        <v>3.16</v>
      </c>
      <c r="U23">
        <v>21</v>
      </c>
      <c r="V23" t="s">
        <v>396</v>
      </c>
      <c r="W2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16" customWidth="1"/>
    <col min="4" max="4" width="22" customWidth="1"/>
  </cols>
  <sheetData>
    <row r="1" spans="1:4" x14ac:dyDescent="0.2">
      <c r="A1" s="63" t="s">
        <v>693</v>
      </c>
      <c r="B1" s="63" t="s">
        <v>97</v>
      </c>
      <c r="C1" s="63" t="s">
        <v>694</v>
      </c>
      <c r="D1" s="63" t="s">
        <v>695</v>
      </c>
    </row>
    <row r="2" spans="1:4" x14ac:dyDescent="0.2">
      <c r="A2" t="s">
        <v>696</v>
      </c>
      <c r="B2" t="s">
        <v>114</v>
      </c>
      <c r="C2" s="2">
        <v>46259</v>
      </c>
      <c r="D2" s="3">
        <v>46260.753207858797</v>
      </c>
    </row>
    <row r="3" spans="1:4" x14ac:dyDescent="0.2">
      <c r="A3" t="s">
        <v>697</v>
      </c>
      <c r="B3" t="s">
        <v>135</v>
      </c>
      <c r="C3" s="2">
        <v>46257</v>
      </c>
      <c r="D3" s="3">
        <v>46260.873204756943</v>
      </c>
    </row>
    <row r="4" spans="1:4" x14ac:dyDescent="0.2">
      <c r="A4" t="s">
        <v>698</v>
      </c>
      <c r="B4" t="s">
        <v>221</v>
      </c>
      <c r="C4" s="2">
        <v>46258</v>
      </c>
      <c r="D4" s="3">
        <v>46261.509354467591</v>
      </c>
    </row>
    <row r="5" spans="1:4" x14ac:dyDescent="0.2">
      <c r="A5" t="s">
        <v>699</v>
      </c>
      <c r="B5" t="s">
        <v>111</v>
      </c>
      <c r="C5" s="2">
        <v>46261</v>
      </c>
      <c r="D5" s="3">
        <v>46261.69623483796</v>
      </c>
    </row>
    <row r="6" spans="1:4" x14ac:dyDescent="0.2">
      <c r="A6" t="s">
        <v>700</v>
      </c>
      <c r="B6" t="s">
        <v>249</v>
      </c>
      <c r="C6" s="2">
        <v>46240</v>
      </c>
      <c r="D6" s="3">
        <v>46261.874585370373</v>
      </c>
    </row>
    <row r="7" spans="1:4" x14ac:dyDescent="0.2">
      <c r="A7" t="s">
        <v>701</v>
      </c>
      <c r="B7" t="s">
        <v>249</v>
      </c>
      <c r="C7" s="2">
        <v>46241</v>
      </c>
      <c r="D7" s="3">
        <v>46262.598739479166</v>
      </c>
    </row>
    <row r="8" spans="1:4" x14ac:dyDescent="0.2">
      <c r="A8" t="s">
        <v>702</v>
      </c>
      <c r="B8" t="s">
        <v>249</v>
      </c>
      <c r="C8" s="2">
        <v>46247</v>
      </c>
      <c r="D8" s="3">
        <v>46262.65887388889</v>
      </c>
    </row>
    <row r="9" spans="1:4" x14ac:dyDescent="0.2">
      <c r="A9" t="s">
        <v>703</v>
      </c>
      <c r="B9" t="s">
        <v>249</v>
      </c>
      <c r="C9" s="2">
        <v>46247</v>
      </c>
      <c r="D9" s="3">
        <v>46262.660042743053</v>
      </c>
    </row>
    <row r="10" spans="1:4" x14ac:dyDescent="0.2">
      <c r="A10" t="s">
        <v>704</v>
      </c>
      <c r="B10" t="s">
        <v>249</v>
      </c>
      <c r="C10" s="2">
        <v>46260</v>
      </c>
      <c r="D10" s="3">
        <v>46262.676458125003</v>
      </c>
    </row>
    <row r="11" spans="1:4" x14ac:dyDescent="0.2">
      <c r="A11" t="s">
        <v>705</v>
      </c>
      <c r="B11" t="s">
        <v>361</v>
      </c>
      <c r="C11" s="2">
        <v>46262</v>
      </c>
      <c r="D11" s="3">
        <v>46262.700758634259</v>
      </c>
    </row>
    <row r="12" spans="1:4" x14ac:dyDescent="0.2">
      <c r="A12" t="s">
        <v>706</v>
      </c>
      <c r="B12" t="s">
        <v>397</v>
      </c>
      <c r="C12" s="2">
        <v>46264</v>
      </c>
      <c r="D12" s="3">
        <v>46264.691584328713</v>
      </c>
    </row>
    <row r="13" spans="1:4" x14ac:dyDescent="0.2">
      <c r="A13" t="s">
        <v>706</v>
      </c>
      <c r="B13" t="s">
        <v>397</v>
      </c>
      <c r="C13" s="2">
        <v>46264</v>
      </c>
      <c r="D13" s="3">
        <v>46265.912048997838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F33"/>
  <sheetViews>
    <sheetView workbookViewId="0">
      <selection activeCell="F44" sqref="F44"/>
    </sheetView>
  </sheetViews>
  <sheetFormatPr baseColWidth="10" defaultRowHeight="15" x14ac:dyDescent="0.2"/>
  <cols>
    <col min="3" max="3" width="19.33203125" bestFit="1" customWidth="1"/>
    <col min="4" max="4" width="45.33203125" customWidth="1"/>
    <col min="5" max="5" width="38.5" customWidth="1"/>
    <col min="6" max="6" width="34.83203125" customWidth="1"/>
    <col min="7" max="7" width="54.1640625" customWidth="1"/>
  </cols>
  <sheetData>
    <row r="5" spans="1:6" x14ac:dyDescent="0.2">
      <c r="A5" s="26" t="s">
        <v>0</v>
      </c>
      <c r="B5" s="26" t="s">
        <v>1</v>
      </c>
      <c r="C5" s="26" t="s">
        <v>2</v>
      </c>
      <c r="D5" s="26" t="s">
        <v>3</v>
      </c>
      <c r="E5" s="26" t="s">
        <v>4</v>
      </c>
      <c r="F5" s="26" t="s">
        <v>5</v>
      </c>
    </row>
    <row r="6" spans="1:6" ht="16" customHeight="1" x14ac:dyDescent="0.2">
      <c r="A6">
        <v>125</v>
      </c>
      <c r="B6" t="s">
        <v>6</v>
      </c>
      <c r="C6" t="s">
        <v>7</v>
      </c>
      <c r="D6" t="s">
        <v>7</v>
      </c>
      <c r="E6" t="s">
        <v>8</v>
      </c>
      <c r="F6" t="s">
        <v>9</v>
      </c>
    </row>
    <row r="7" spans="1:6" x14ac:dyDescent="0.2">
      <c r="A7">
        <v>126</v>
      </c>
      <c r="B7" t="s">
        <v>6</v>
      </c>
      <c r="C7" t="s">
        <v>10</v>
      </c>
      <c r="D7" t="s">
        <v>10</v>
      </c>
      <c r="E7" t="s">
        <v>8</v>
      </c>
      <c r="F7" t="s">
        <v>11</v>
      </c>
    </row>
    <row r="8" spans="1:6" x14ac:dyDescent="0.2">
      <c r="A8">
        <v>127</v>
      </c>
      <c r="B8" t="s">
        <v>6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2">
      <c r="A9">
        <v>128</v>
      </c>
      <c r="B9" t="s">
        <v>6</v>
      </c>
      <c r="C9" t="s">
        <v>16</v>
      </c>
      <c r="D9" t="s">
        <v>17</v>
      </c>
      <c r="E9" t="s">
        <v>14</v>
      </c>
      <c r="F9" t="s">
        <v>18</v>
      </c>
    </row>
    <row r="10" spans="1:6" x14ac:dyDescent="0.2">
      <c r="A10">
        <v>129</v>
      </c>
      <c r="B10" t="s">
        <v>6</v>
      </c>
      <c r="C10" t="s">
        <v>19</v>
      </c>
      <c r="D10" t="s">
        <v>20</v>
      </c>
      <c r="E10" t="s">
        <v>21</v>
      </c>
      <c r="F10" t="s">
        <v>22</v>
      </c>
    </row>
    <row r="11" spans="1:6" x14ac:dyDescent="0.2">
      <c r="A11">
        <v>130</v>
      </c>
      <c r="B11" t="s">
        <v>6</v>
      </c>
      <c r="C11" t="s">
        <v>23</v>
      </c>
      <c r="D11" t="s">
        <v>24</v>
      </c>
      <c r="E11" t="s">
        <v>25</v>
      </c>
      <c r="F11" t="s">
        <v>26</v>
      </c>
    </row>
    <row r="12" spans="1:6" x14ac:dyDescent="0.2">
      <c r="A12">
        <v>131</v>
      </c>
      <c r="B12" t="s">
        <v>6</v>
      </c>
      <c r="C12" t="s">
        <v>27</v>
      </c>
      <c r="D12" t="s">
        <v>28</v>
      </c>
      <c r="E12" t="s">
        <v>29</v>
      </c>
      <c r="F12" t="s">
        <v>30</v>
      </c>
    </row>
    <row r="13" spans="1:6" ht="16" customHeight="1" x14ac:dyDescent="0.2">
      <c r="A13">
        <v>132</v>
      </c>
      <c r="B13" t="s">
        <v>6</v>
      </c>
      <c r="C13" t="s">
        <v>31</v>
      </c>
      <c r="D13" t="s">
        <v>31</v>
      </c>
      <c r="E13" t="s">
        <v>8</v>
      </c>
      <c r="F13" t="s">
        <v>32</v>
      </c>
    </row>
    <row r="14" spans="1:6" x14ac:dyDescent="0.2">
      <c r="A14">
        <v>133</v>
      </c>
      <c r="B14" t="s">
        <v>6</v>
      </c>
      <c r="C14" t="s">
        <v>33</v>
      </c>
      <c r="D14" t="s">
        <v>34</v>
      </c>
      <c r="E14" t="s">
        <v>35</v>
      </c>
      <c r="F14" t="s">
        <v>36</v>
      </c>
    </row>
    <row r="15" spans="1:6" x14ac:dyDescent="0.2">
      <c r="A15">
        <v>134</v>
      </c>
      <c r="B15" t="s">
        <v>6</v>
      </c>
      <c r="C15" t="s">
        <v>37</v>
      </c>
      <c r="D15" t="s">
        <v>38</v>
      </c>
      <c r="E15" t="s">
        <v>39</v>
      </c>
      <c r="F15" t="s">
        <v>40</v>
      </c>
    </row>
    <row r="16" spans="1:6" x14ac:dyDescent="0.2">
      <c r="A16">
        <v>135</v>
      </c>
      <c r="B16" t="s">
        <v>6</v>
      </c>
      <c r="C16" t="s">
        <v>41</v>
      </c>
      <c r="D16" t="s">
        <v>41</v>
      </c>
      <c r="E16" t="s">
        <v>8</v>
      </c>
      <c r="F16" t="s">
        <v>42</v>
      </c>
    </row>
    <row r="17" spans="1:6" ht="16" customHeight="1" x14ac:dyDescent="0.2">
      <c r="A17">
        <v>136</v>
      </c>
      <c r="B17" t="s">
        <v>6</v>
      </c>
      <c r="C17" t="s">
        <v>43</v>
      </c>
      <c r="D17" t="s">
        <v>44</v>
      </c>
      <c r="E17" t="s">
        <v>45</v>
      </c>
      <c r="F17" t="s">
        <v>46</v>
      </c>
    </row>
    <row r="18" spans="1:6" ht="16" customHeight="1" x14ac:dyDescent="0.2">
      <c r="A18">
        <v>137</v>
      </c>
      <c r="B18" t="s">
        <v>6</v>
      </c>
      <c r="C18" t="s">
        <v>47</v>
      </c>
      <c r="D18" t="s">
        <v>47</v>
      </c>
      <c r="E18" t="s">
        <v>48</v>
      </c>
      <c r="F18" t="s">
        <v>49</v>
      </c>
    </row>
    <row r="19" spans="1:6" ht="16" customHeight="1" x14ac:dyDescent="0.2">
      <c r="A19">
        <v>138</v>
      </c>
      <c r="B19" t="s">
        <v>6</v>
      </c>
      <c r="C19" t="s">
        <v>50</v>
      </c>
      <c r="D19" t="s">
        <v>51</v>
      </c>
      <c r="E19" t="s">
        <v>52</v>
      </c>
      <c r="F19" t="s">
        <v>53</v>
      </c>
    </row>
    <row r="20" spans="1:6" x14ac:dyDescent="0.2">
      <c r="A20">
        <v>139</v>
      </c>
      <c r="B20" t="s">
        <v>6</v>
      </c>
      <c r="C20" t="s">
        <v>54</v>
      </c>
      <c r="D20" t="s">
        <v>54</v>
      </c>
      <c r="E20" t="s">
        <v>25</v>
      </c>
      <c r="F20" t="s">
        <v>55</v>
      </c>
    </row>
    <row r="21" spans="1:6" x14ac:dyDescent="0.2">
      <c r="A21">
        <v>140</v>
      </c>
      <c r="B21" t="s">
        <v>6</v>
      </c>
      <c r="C21" t="s">
        <v>56</v>
      </c>
      <c r="D21" t="s">
        <v>56</v>
      </c>
      <c r="E21" t="s">
        <v>8</v>
      </c>
      <c r="F21" t="s">
        <v>57</v>
      </c>
    </row>
    <row r="22" spans="1:6" x14ac:dyDescent="0.2">
      <c r="A22">
        <v>141</v>
      </c>
      <c r="B22" t="s">
        <v>6</v>
      </c>
      <c r="C22" t="s">
        <v>58</v>
      </c>
      <c r="D22" t="s">
        <v>58</v>
      </c>
      <c r="E22" t="s">
        <v>29</v>
      </c>
      <c r="F22" t="s">
        <v>59</v>
      </c>
    </row>
    <row r="23" spans="1:6" x14ac:dyDescent="0.2">
      <c r="A23">
        <v>142</v>
      </c>
      <c r="B23" t="s">
        <v>6</v>
      </c>
      <c r="C23" t="s">
        <v>60</v>
      </c>
      <c r="D23" t="s">
        <v>61</v>
      </c>
      <c r="E23" t="s">
        <v>62</v>
      </c>
      <c r="F23" t="s">
        <v>63</v>
      </c>
    </row>
    <row r="24" spans="1:6" x14ac:dyDescent="0.2">
      <c r="A24">
        <v>143</v>
      </c>
      <c r="B24" t="s">
        <v>6</v>
      </c>
      <c r="C24" t="s">
        <v>64</v>
      </c>
      <c r="D24" t="s">
        <v>65</v>
      </c>
      <c r="E24" t="s">
        <v>66</v>
      </c>
      <c r="F24" t="s">
        <v>67</v>
      </c>
    </row>
    <row r="25" spans="1:6" x14ac:dyDescent="0.2">
      <c r="A25">
        <v>144</v>
      </c>
      <c r="B25" t="s">
        <v>6</v>
      </c>
      <c r="C25" t="s">
        <v>68</v>
      </c>
      <c r="D25" t="s">
        <v>69</v>
      </c>
      <c r="E25" t="s">
        <v>70</v>
      </c>
      <c r="F25" t="s">
        <v>71</v>
      </c>
    </row>
    <row r="26" spans="1:6" ht="16" customHeight="1" x14ac:dyDescent="0.2">
      <c r="A26">
        <v>145</v>
      </c>
      <c r="B26" t="s">
        <v>6</v>
      </c>
      <c r="C26" t="s">
        <v>72</v>
      </c>
      <c r="D26" t="s">
        <v>72</v>
      </c>
      <c r="E26" t="s">
        <v>25</v>
      </c>
      <c r="F26" t="s">
        <v>73</v>
      </c>
    </row>
    <row r="27" spans="1:6" x14ac:dyDescent="0.2">
      <c r="A27">
        <v>146</v>
      </c>
      <c r="B27" t="s">
        <v>6</v>
      </c>
      <c r="C27" t="s">
        <v>74</v>
      </c>
      <c r="D27" t="s">
        <v>75</v>
      </c>
      <c r="E27" t="s">
        <v>52</v>
      </c>
      <c r="F27" t="s">
        <v>76</v>
      </c>
    </row>
    <row r="28" spans="1:6" ht="16" customHeight="1" x14ac:dyDescent="0.2">
      <c r="A28">
        <v>147</v>
      </c>
      <c r="B28" t="s">
        <v>6</v>
      </c>
      <c r="C28" t="s">
        <v>77</v>
      </c>
      <c r="D28" t="s">
        <v>78</v>
      </c>
      <c r="E28" t="s">
        <v>8</v>
      </c>
      <c r="F28" t="s">
        <v>79</v>
      </c>
    </row>
    <row r="29" spans="1:6" x14ac:dyDescent="0.2">
      <c r="A29">
        <v>148</v>
      </c>
      <c r="B29" t="s">
        <v>6</v>
      </c>
      <c r="C29" t="s">
        <v>80</v>
      </c>
      <c r="D29" t="s">
        <v>80</v>
      </c>
      <c r="E29" t="s">
        <v>25</v>
      </c>
      <c r="F29" t="s">
        <v>81</v>
      </c>
    </row>
    <row r="30" spans="1:6" x14ac:dyDescent="0.2">
      <c r="A30">
        <v>149</v>
      </c>
      <c r="B30" t="s">
        <v>6</v>
      </c>
      <c r="C30" t="s">
        <v>82</v>
      </c>
      <c r="D30" t="s">
        <v>82</v>
      </c>
      <c r="E30" t="s">
        <v>25</v>
      </c>
      <c r="F30" t="s">
        <v>83</v>
      </c>
    </row>
    <row r="31" spans="1:6" x14ac:dyDescent="0.2">
      <c r="A31">
        <v>150</v>
      </c>
      <c r="B31" t="s">
        <v>6</v>
      </c>
      <c r="C31" t="s">
        <v>84</v>
      </c>
      <c r="D31" t="s">
        <v>85</v>
      </c>
      <c r="E31" t="s">
        <v>86</v>
      </c>
      <c r="F31" t="s">
        <v>87</v>
      </c>
    </row>
    <row r="32" spans="1:6" x14ac:dyDescent="0.2">
      <c r="A32">
        <v>151</v>
      </c>
      <c r="B32" t="s">
        <v>6</v>
      </c>
      <c r="C32" t="s">
        <v>88</v>
      </c>
      <c r="D32" t="s">
        <v>88</v>
      </c>
      <c r="E32" t="s">
        <v>89</v>
      </c>
      <c r="F32" t="s">
        <v>90</v>
      </c>
    </row>
    <row r="33" spans="1:6" x14ac:dyDescent="0.2">
      <c r="A33">
        <v>152</v>
      </c>
      <c r="B33" t="s">
        <v>6</v>
      </c>
      <c r="C33" t="s">
        <v>91</v>
      </c>
      <c r="D33" t="s">
        <v>92</v>
      </c>
      <c r="E33" t="s">
        <v>62</v>
      </c>
      <c r="F33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5" width="16" customWidth="1"/>
  </cols>
  <sheetData>
    <row r="1" spans="1:55" ht="24" x14ac:dyDescent="0.3">
      <c r="A1" s="95" t="s">
        <v>707</v>
      </c>
      <c r="B1" s="87"/>
      <c r="C1" s="87"/>
      <c r="D1" s="87"/>
      <c r="E1" s="87"/>
      <c r="F1" s="87"/>
      <c r="G1" s="87"/>
      <c r="H1" s="87"/>
      <c r="AB1" s="63" t="s">
        <v>708</v>
      </c>
      <c r="AC1" s="63" t="s">
        <v>709</v>
      </c>
      <c r="AD1" s="63" t="s">
        <v>710</v>
      </c>
      <c r="AE1" s="63" t="s">
        <v>711</v>
      </c>
      <c r="AG1" s="63" t="s">
        <v>712</v>
      </c>
      <c r="AH1" s="63" t="s">
        <v>713</v>
      </c>
      <c r="AI1" s="63" t="s">
        <v>624</v>
      </c>
      <c r="AJ1" s="63" t="s">
        <v>623</v>
      </c>
      <c r="AK1" s="63" t="s">
        <v>621</v>
      </c>
      <c r="AL1" s="63" t="s">
        <v>620</v>
      </c>
      <c r="AM1" s="63" t="s">
        <v>618</v>
      </c>
      <c r="AN1" s="63" t="s">
        <v>617</v>
      </c>
      <c r="AO1" s="63" t="s">
        <v>687</v>
      </c>
      <c r="AP1" s="63" t="s">
        <v>714</v>
      </c>
      <c r="AQ1" s="63" t="s">
        <v>715</v>
      </c>
      <c r="AR1" s="63" t="s">
        <v>616</v>
      </c>
      <c r="AS1" s="63" t="s">
        <v>686</v>
      </c>
      <c r="AT1" s="63" t="s">
        <v>716</v>
      </c>
      <c r="AU1" s="63" t="s">
        <v>717</v>
      </c>
      <c r="AV1" s="63" t="s">
        <v>615</v>
      </c>
      <c r="AW1" s="63" t="s">
        <v>718</v>
      </c>
      <c r="AX1" s="63" t="s">
        <v>719</v>
      </c>
      <c r="AY1" s="63" t="s">
        <v>720</v>
      </c>
      <c r="AZ1" s="63" t="s">
        <v>721</v>
      </c>
      <c r="BA1" s="63" t="s">
        <v>685</v>
      </c>
      <c r="BB1" s="63" t="s">
        <v>722</v>
      </c>
      <c r="BC1" s="63" t="s">
        <v>723</v>
      </c>
    </row>
    <row r="2" spans="1:55" x14ac:dyDescent="0.2">
      <c r="AB2" s="2">
        <v>46264</v>
      </c>
      <c r="AC2" s="5">
        <v>280</v>
      </c>
      <c r="AD2" s="5">
        <v>199.93</v>
      </c>
      <c r="AE2" s="5">
        <v>80.070000000000007</v>
      </c>
      <c r="AG2" t="s">
        <v>713</v>
      </c>
      <c r="AH2" s="5">
        <v>280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</row>
    <row r="3" spans="1:55" x14ac:dyDescent="0.2">
      <c r="A3" s="64" t="s">
        <v>724</v>
      </c>
      <c r="B3" t="s">
        <v>707</v>
      </c>
      <c r="AB3" s="2">
        <v>46265</v>
      </c>
      <c r="AC3" s="5">
        <v>233.33333333333329</v>
      </c>
      <c r="AD3" s="5">
        <v>199.93</v>
      </c>
      <c r="AE3" s="5">
        <v>80.070000000000007</v>
      </c>
      <c r="AG3" t="s">
        <v>725</v>
      </c>
      <c r="AH3" s="5">
        <v>0</v>
      </c>
      <c r="AI3" s="5">
        <v>0</v>
      </c>
      <c r="AJ3" s="5">
        <v>0</v>
      </c>
      <c r="AK3" s="5">
        <v>8.3800000000000008</v>
      </c>
      <c r="AL3" s="5">
        <v>3.28</v>
      </c>
      <c r="AM3" s="5">
        <v>3.12</v>
      </c>
      <c r="AN3" s="5">
        <v>3.32</v>
      </c>
      <c r="AO3" s="5">
        <v>0</v>
      </c>
      <c r="AP3" s="5">
        <v>0</v>
      </c>
      <c r="AQ3" s="5">
        <v>0</v>
      </c>
      <c r="AR3" s="5">
        <v>19.16</v>
      </c>
      <c r="AS3" s="5">
        <v>0</v>
      </c>
      <c r="AT3" s="5">
        <v>0</v>
      </c>
      <c r="AU3" s="5">
        <v>0</v>
      </c>
      <c r="AV3" s="5">
        <v>15.3</v>
      </c>
      <c r="AW3" s="5">
        <v>0</v>
      </c>
      <c r="AX3" s="5">
        <v>0</v>
      </c>
      <c r="AY3" s="5">
        <v>27.51</v>
      </c>
      <c r="AZ3" s="5">
        <v>0</v>
      </c>
      <c r="BA3" s="5">
        <v>0</v>
      </c>
      <c r="BB3" s="5">
        <v>0</v>
      </c>
      <c r="BC3" s="5">
        <v>0</v>
      </c>
    </row>
    <row r="4" spans="1:55" x14ac:dyDescent="0.2">
      <c r="A4" s="64" t="s">
        <v>726</v>
      </c>
      <c r="B4" s="2">
        <v>46264</v>
      </c>
      <c r="AB4" s="2">
        <v>46266</v>
      </c>
      <c r="AC4" s="5">
        <v>186.66666666666671</v>
      </c>
      <c r="AD4" s="5">
        <v>199.93</v>
      </c>
      <c r="AE4" s="5">
        <v>80.070000000000007</v>
      </c>
    </row>
    <row r="5" spans="1:55" x14ac:dyDescent="0.2">
      <c r="A5" s="64" t="s">
        <v>727</v>
      </c>
      <c r="B5" s="2">
        <v>46270</v>
      </c>
      <c r="AB5" s="2">
        <v>46267</v>
      </c>
      <c r="AC5" s="5">
        <v>140</v>
      </c>
      <c r="AD5" s="5">
        <v>199.93</v>
      </c>
      <c r="AE5" s="5">
        <v>80.070000000000007</v>
      </c>
    </row>
    <row r="6" spans="1:55" x14ac:dyDescent="0.2">
      <c r="A6" s="64" t="s">
        <v>728</v>
      </c>
      <c r="B6" t="s">
        <v>729</v>
      </c>
      <c r="AB6" s="2">
        <v>46268</v>
      </c>
      <c r="AC6" s="5">
        <v>93.333333333333343</v>
      </c>
      <c r="AD6" s="5">
        <v>199.93</v>
      </c>
      <c r="AE6" s="5">
        <v>80.070000000000007</v>
      </c>
    </row>
    <row r="7" spans="1:55" x14ac:dyDescent="0.2">
      <c r="A7" s="64" t="s">
        <v>638</v>
      </c>
      <c r="B7" t="s">
        <v>729</v>
      </c>
      <c r="AB7" s="2">
        <v>46269</v>
      </c>
      <c r="AC7" s="5">
        <v>46.666666666666657</v>
      </c>
      <c r="AD7" s="5">
        <v>199.93</v>
      </c>
      <c r="AE7" s="5">
        <v>80.070000000000007</v>
      </c>
    </row>
    <row r="8" spans="1:55" x14ac:dyDescent="0.2">
      <c r="A8" s="64" t="s">
        <v>713</v>
      </c>
      <c r="B8" s="5">
        <v>280</v>
      </c>
      <c r="AB8" s="2">
        <v>46270</v>
      </c>
      <c r="AC8" s="5">
        <v>0</v>
      </c>
      <c r="AD8" s="5">
        <v>199.93</v>
      </c>
      <c r="AE8" s="5">
        <v>80.070000000000007</v>
      </c>
    </row>
    <row r="9" spans="1:55" x14ac:dyDescent="0.2">
      <c r="A9" s="64" t="s">
        <v>730</v>
      </c>
      <c r="B9" s="5">
        <v>80.070000000000007</v>
      </c>
    </row>
    <row r="10" spans="1:55" x14ac:dyDescent="0.2">
      <c r="A10" s="64" t="s">
        <v>731</v>
      </c>
      <c r="B10">
        <v>199.93</v>
      </c>
    </row>
    <row r="11" spans="1:55" x14ac:dyDescent="0.2">
      <c r="A11" s="64" t="s">
        <v>732</v>
      </c>
      <c r="B11" s="2">
        <v>46264</v>
      </c>
    </row>
    <row r="12" spans="1:55" x14ac:dyDescent="0.2">
      <c r="A12" s="64" t="s">
        <v>733</v>
      </c>
      <c r="B12" s="5">
        <v>0</v>
      </c>
    </row>
    <row r="13" spans="1:55" x14ac:dyDescent="0.2">
      <c r="A13" s="64" t="s">
        <v>734</v>
      </c>
      <c r="B13" s="5">
        <v>80.070000000000007</v>
      </c>
    </row>
    <row r="14" spans="1:55" x14ac:dyDescent="0.2">
      <c r="A14" s="64" t="s">
        <v>735</v>
      </c>
      <c r="B14" t="s">
        <v>736</v>
      </c>
    </row>
    <row r="16" spans="1:55" ht="19" x14ac:dyDescent="0.25">
      <c r="A16" s="65" t="s">
        <v>737</v>
      </c>
    </row>
    <row r="18" spans="10:12" ht="16" x14ac:dyDescent="0.2">
      <c r="J18" s="94" t="s">
        <v>738</v>
      </c>
      <c r="K18" s="87"/>
      <c r="L18" s="87"/>
    </row>
    <row r="19" spans="10:12" x14ac:dyDescent="0.2">
      <c r="J19" s="63" t="s">
        <v>443</v>
      </c>
      <c r="K19" s="63" t="s">
        <v>398</v>
      </c>
      <c r="L19" s="63" t="s">
        <v>725</v>
      </c>
    </row>
    <row r="20" spans="10:12" x14ac:dyDescent="0.2">
      <c r="J20" s="66">
        <v>1</v>
      </c>
      <c r="K20" t="s">
        <v>251</v>
      </c>
      <c r="L20" s="5">
        <v>0</v>
      </c>
    </row>
    <row r="21" spans="10:12" x14ac:dyDescent="0.2">
      <c r="J21" s="67">
        <v>2</v>
      </c>
      <c r="K21" t="s">
        <v>420</v>
      </c>
      <c r="L21" s="5">
        <v>0</v>
      </c>
    </row>
    <row r="22" spans="10:12" x14ac:dyDescent="0.2">
      <c r="J22" s="68">
        <v>3</v>
      </c>
      <c r="K22" t="s">
        <v>423</v>
      </c>
      <c r="L22" s="5">
        <v>8.3800000000000008</v>
      </c>
    </row>
    <row r="23" spans="10:12" x14ac:dyDescent="0.2">
      <c r="J23" s="69">
        <v>4</v>
      </c>
      <c r="K23" t="s">
        <v>422</v>
      </c>
      <c r="L23" s="5">
        <v>3.28</v>
      </c>
    </row>
    <row r="24" spans="10:12" x14ac:dyDescent="0.2">
      <c r="J24" s="70">
        <v>5</v>
      </c>
      <c r="K24" t="s">
        <v>418</v>
      </c>
      <c r="L24" s="5">
        <v>3.12</v>
      </c>
    </row>
    <row r="25" spans="10:12" x14ac:dyDescent="0.2">
      <c r="J25" s="71">
        <v>6</v>
      </c>
      <c r="K25" t="s">
        <v>89</v>
      </c>
      <c r="L25" s="5">
        <v>3.32</v>
      </c>
    </row>
    <row r="26" spans="10:12" x14ac:dyDescent="0.2">
      <c r="J26" s="72">
        <v>7</v>
      </c>
      <c r="K26" t="s">
        <v>425</v>
      </c>
      <c r="L26" s="5">
        <v>0</v>
      </c>
    </row>
    <row r="27" spans="10:12" x14ac:dyDescent="0.2">
      <c r="J27" s="73">
        <v>8</v>
      </c>
      <c r="K27" t="s">
        <v>427</v>
      </c>
      <c r="L27" s="5">
        <v>0</v>
      </c>
    </row>
    <row r="28" spans="10:12" x14ac:dyDescent="0.2">
      <c r="J28" s="74">
        <v>9</v>
      </c>
      <c r="K28" t="s">
        <v>428</v>
      </c>
      <c r="L28" s="5">
        <v>0</v>
      </c>
    </row>
    <row r="29" spans="10:12" x14ac:dyDescent="0.2">
      <c r="J29" s="75">
        <v>10</v>
      </c>
      <c r="K29" t="s">
        <v>429</v>
      </c>
      <c r="L29" s="5">
        <v>19.16</v>
      </c>
    </row>
    <row r="30" spans="10:12" x14ac:dyDescent="0.2">
      <c r="J30" s="76">
        <v>11</v>
      </c>
      <c r="K30" t="s">
        <v>344</v>
      </c>
      <c r="L30" s="5">
        <v>0</v>
      </c>
    </row>
    <row r="31" spans="10:12" x14ac:dyDescent="0.2">
      <c r="J31" s="77">
        <v>12</v>
      </c>
      <c r="K31" t="s">
        <v>424</v>
      </c>
      <c r="L31" s="5">
        <v>0</v>
      </c>
    </row>
    <row r="32" spans="10:12" x14ac:dyDescent="0.2">
      <c r="J32" s="78">
        <v>13</v>
      </c>
      <c r="K32" t="s">
        <v>433</v>
      </c>
      <c r="L32" s="5">
        <v>0</v>
      </c>
    </row>
    <row r="33" spans="1:12" x14ac:dyDescent="0.2">
      <c r="J33" s="79">
        <v>14</v>
      </c>
      <c r="K33" t="s">
        <v>417</v>
      </c>
      <c r="L33" s="5">
        <v>15.3</v>
      </c>
    </row>
    <row r="34" spans="1:12" x14ac:dyDescent="0.2">
      <c r="J34" s="80">
        <v>15</v>
      </c>
      <c r="K34" t="s">
        <v>421</v>
      </c>
      <c r="L34" s="5">
        <v>0</v>
      </c>
    </row>
    <row r="35" spans="1:12" x14ac:dyDescent="0.2">
      <c r="J35" s="81">
        <v>16</v>
      </c>
      <c r="K35" t="s">
        <v>432</v>
      </c>
      <c r="L35" s="5">
        <v>0</v>
      </c>
    </row>
    <row r="36" spans="1:12" x14ac:dyDescent="0.2">
      <c r="J36" s="82">
        <v>17</v>
      </c>
      <c r="K36" t="s">
        <v>426</v>
      </c>
      <c r="L36" s="5">
        <v>27.51</v>
      </c>
    </row>
    <row r="37" spans="1:12" x14ac:dyDescent="0.2">
      <c r="J37" s="83">
        <v>18</v>
      </c>
      <c r="K37" t="s">
        <v>430</v>
      </c>
      <c r="L37" s="5">
        <v>0</v>
      </c>
    </row>
    <row r="38" spans="1:12" x14ac:dyDescent="0.2">
      <c r="J38" s="84">
        <v>19</v>
      </c>
      <c r="K38" t="s">
        <v>419</v>
      </c>
      <c r="L38" s="5">
        <v>0</v>
      </c>
    </row>
    <row r="39" spans="1:12" x14ac:dyDescent="0.2">
      <c r="J39" s="85">
        <v>20</v>
      </c>
      <c r="K39" t="s">
        <v>431</v>
      </c>
      <c r="L39" s="5">
        <v>0</v>
      </c>
    </row>
    <row r="40" spans="1:12" x14ac:dyDescent="0.2">
      <c r="J40" s="66">
        <v>21</v>
      </c>
      <c r="K40" t="s">
        <v>396</v>
      </c>
      <c r="L40" s="5">
        <v>0</v>
      </c>
    </row>
    <row r="47" spans="1:12" x14ac:dyDescent="0.2">
      <c r="A47" s="86" t="s">
        <v>739</v>
      </c>
      <c r="B47" s="87"/>
      <c r="C47" s="87"/>
      <c r="D47" s="87"/>
      <c r="E47" s="87"/>
      <c r="F47" s="87"/>
      <c r="G47" s="87"/>
      <c r="H47" s="87"/>
    </row>
    <row r="48" spans="1:12" x14ac:dyDescent="0.2">
      <c r="A48" s="87"/>
      <c r="B48" s="87"/>
      <c r="C48" s="87"/>
      <c r="D48" s="87"/>
      <c r="E48" s="87"/>
      <c r="F48" s="87"/>
      <c r="G48" s="87"/>
      <c r="H48" s="87"/>
    </row>
    <row r="49" spans="1:8" x14ac:dyDescent="0.2">
      <c r="A49" s="87"/>
      <c r="B49" s="87"/>
      <c r="C49" s="87"/>
      <c r="D49" s="87"/>
      <c r="E49" s="87"/>
      <c r="F49" s="87"/>
      <c r="G49" s="87"/>
      <c r="H49" s="87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5" width="16" customWidth="1"/>
  </cols>
  <sheetData>
    <row r="1" spans="1:55" ht="24" x14ac:dyDescent="0.3">
      <c r="A1" s="95" t="s">
        <v>740</v>
      </c>
      <c r="B1" s="87"/>
      <c r="C1" s="87"/>
      <c r="D1" s="87"/>
      <c r="E1" s="87"/>
      <c r="F1" s="87"/>
      <c r="G1" s="87"/>
      <c r="H1" s="87"/>
      <c r="AB1" s="63" t="s">
        <v>708</v>
      </c>
      <c r="AC1" s="63" t="s">
        <v>709</v>
      </c>
      <c r="AD1" s="63" t="s">
        <v>710</v>
      </c>
      <c r="AE1" s="63" t="s">
        <v>711</v>
      </c>
      <c r="AG1" s="63" t="s">
        <v>712</v>
      </c>
      <c r="AH1" s="63" t="s">
        <v>713</v>
      </c>
      <c r="AI1" s="63" t="s">
        <v>624</v>
      </c>
      <c r="AJ1" s="63" t="s">
        <v>623</v>
      </c>
      <c r="AK1" s="63" t="s">
        <v>621</v>
      </c>
      <c r="AL1" s="63" t="s">
        <v>620</v>
      </c>
      <c r="AM1" s="63" t="s">
        <v>618</v>
      </c>
      <c r="AN1" s="63" t="s">
        <v>617</v>
      </c>
      <c r="AO1" s="63" t="s">
        <v>687</v>
      </c>
      <c r="AP1" s="63" t="s">
        <v>714</v>
      </c>
      <c r="AQ1" s="63" t="s">
        <v>715</v>
      </c>
      <c r="AR1" s="63" t="s">
        <v>616</v>
      </c>
      <c r="AS1" s="63" t="s">
        <v>686</v>
      </c>
      <c r="AT1" s="63" t="s">
        <v>716</v>
      </c>
      <c r="AU1" s="63" t="s">
        <v>717</v>
      </c>
      <c r="AV1" s="63" t="s">
        <v>615</v>
      </c>
      <c r="AW1" s="63" t="s">
        <v>718</v>
      </c>
      <c r="AX1" s="63" t="s">
        <v>719</v>
      </c>
      <c r="AY1" s="63" t="s">
        <v>720</v>
      </c>
      <c r="AZ1" s="63" t="s">
        <v>721</v>
      </c>
      <c r="BA1" s="63" t="s">
        <v>685</v>
      </c>
      <c r="BB1" s="63" t="s">
        <v>722</v>
      </c>
      <c r="BC1" s="63" t="s">
        <v>723</v>
      </c>
    </row>
    <row r="2" spans="1:55" x14ac:dyDescent="0.2">
      <c r="AB2" s="2">
        <v>46264</v>
      </c>
      <c r="AC2" s="5">
        <v>230</v>
      </c>
      <c r="AD2" s="5">
        <v>149.93</v>
      </c>
      <c r="AE2" s="5">
        <v>80.070000000000007</v>
      </c>
      <c r="AG2" t="s">
        <v>713</v>
      </c>
      <c r="AH2" s="5">
        <v>230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</row>
    <row r="3" spans="1:55" x14ac:dyDescent="0.2">
      <c r="A3" s="64" t="s">
        <v>724</v>
      </c>
      <c r="B3" t="s">
        <v>740</v>
      </c>
      <c r="AB3" s="2">
        <v>46265</v>
      </c>
      <c r="AC3" s="5">
        <v>191.66666666666671</v>
      </c>
      <c r="AD3" s="5">
        <v>149.93</v>
      </c>
      <c r="AE3" s="5">
        <v>80.070000000000007</v>
      </c>
      <c r="AG3" t="s">
        <v>725</v>
      </c>
      <c r="AH3" s="5">
        <v>0</v>
      </c>
      <c r="AI3" s="5">
        <v>0</v>
      </c>
      <c r="AJ3" s="5">
        <v>0</v>
      </c>
      <c r="AK3" s="5">
        <v>8.3800000000000008</v>
      </c>
      <c r="AL3" s="5">
        <v>3.28</v>
      </c>
      <c r="AM3" s="5">
        <v>3.12</v>
      </c>
      <c r="AN3" s="5">
        <v>3.32</v>
      </c>
      <c r="AO3" s="5">
        <v>0</v>
      </c>
      <c r="AP3" s="5">
        <v>0</v>
      </c>
      <c r="AQ3" s="5">
        <v>0</v>
      </c>
      <c r="AR3" s="5">
        <v>19.16</v>
      </c>
      <c r="AS3" s="5">
        <v>0</v>
      </c>
      <c r="AT3" s="5">
        <v>0</v>
      </c>
      <c r="AU3" s="5">
        <v>0</v>
      </c>
      <c r="AV3" s="5">
        <v>15.3</v>
      </c>
      <c r="AW3" s="5">
        <v>0</v>
      </c>
      <c r="AX3" s="5">
        <v>0</v>
      </c>
      <c r="AY3" s="5">
        <v>27.51</v>
      </c>
      <c r="AZ3" s="5">
        <v>0</v>
      </c>
      <c r="BA3" s="5">
        <v>0</v>
      </c>
      <c r="BB3" s="5">
        <v>0</v>
      </c>
      <c r="BC3" s="5">
        <v>0</v>
      </c>
    </row>
    <row r="4" spans="1:55" x14ac:dyDescent="0.2">
      <c r="A4" s="64" t="s">
        <v>726</v>
      </c>
      <c r="B4" s="2">
        <v>46264</v>
      </c>
      <c r="AB4" s="2">
        <v>46266</v>
      </c>
      <c r="AC4" s="5">
        <v>153.33333333333329</v>
      </c>
      <c r="AD4" s="5">
        <v>149.93</v>
      </c>
      <c r="AE4" s="5">
        <v>80.070000000000007</v>
      </c>
    </row>
    <row r="5" spans="1:55" x14ac:dyDescent="0.2">
      <c r="A5" s="64" t="s">
        <v>727</v>
      </c>
      <c r="B5" s="2">
        <v>46270</v>
      </c>
      <c r="AB5" s="2">
        <v>46267</v>
      </c>
      <c r="AC5" s="5">
        <v>115</v>
      </c>
      <c r="AD5" s="5">
        <v>149.93</v>
      </c>
      <c r="AE5" s="5">
        <v>80.070000000000007</v>
      </c>
    </row>
    <row r="6" spans="1:55" x14ac:dyDescent="0.2">
      <c r="A6" s="64" t="s">
        <v>728</v>
      </c>
      <c r="B6" t="s">
        <v>729</v>
      </c>
      <c r="AB6" s="2">
        <v>46268</v>
      </c>
      <c r="AC6" s="5">
        <v>76.666666666666671</v>
      </c>
      <c r="AD6" s="5">
        <v>149.93</v>
      </c>
      <c r="AE6" s="5">
        <v>80.070000000000007</v>
      </c>
    </row>
    <row r="7" spans="1:55" x14ac:dyDescent="0.2">
      <c r="A7" s="64" t="s">
        <v>638</v>
      </c>
      <c r="B7" t="s">
        <v>729</v>
      </c>
      <c r="AB7" s="2">
        <v>46269</v>
      </c>
      <c r="AC7" s="5">
        <v>38.333333333333321</v>
      </c>
      <c r="AD7" s="5">
        <v>149.93</v>
      </c>
      <c r="AE7" s="5">
        <v>80.070000000000007</v>
      </c>
    </row>
    <row r="8" spans="1:55" x14ac:dyDescent="0.2">
      <c r="A8" s="64" t="s">
        <v>713</v>
      </c>
      <c r="B8" s="5">
        <v>230</v>
      </c>
      <c r="AB8" s="2">
        <v>46270</v>
      </c>
      <c r="AC8" s="5">
        <v>0</v>
      </c>
      <c r="AD8" s="5">
        <v>149.93</v>
      </c>
      <c r="AE8" s="5">
        <v>80.070000000000007</v>
      </c>
    </row>
    <row r="9" spans="1:55" x14ac:dyDescent="0.2">
      <c r="A9" s="64" t="s">
        <v>730</v>
      </c>
      <c r="B9" s="5">
        <v>80.070000000000007</v>
      </c>
    </row>
    <row r="10" spans="1:55" x14ac:dyDescent="0.2">
      <c r="A10" s="64" t="s">
        <v>731</v>
      </c>
      <c r="B10">
        <v>149.93</v>
      </c>
    </row>
    <row r="11" spans="1:55" x14ac:dyDescent="0.2">
      <c r="A11" s="64" t="s">
        <v>732</v>
      </c>
      <c r="B11" s="2">
        <v>46264</v>
      </c>
    </row>
    <row r="12" spans="1:55" x14ac:dyDescent="0.2">
      <c r="A12" s="64" t="s">
        <v>733</v>
      </c>
      <c r="B12" s="5">
        <v>0</v>
      </c>
    </row>
    <row r="13" spans="1:55" x14ac:dyDescent="0.2">
      <c r="A13" s="64" t="s">
        <v>734</v>
      </c>
      <c r="B13" s="5">
        <v>80.070000000000007</v>
      </c>
    </row>
    <row r="14" spans="1:55" x14ac:dyDescent="0.2">
      <c r="A14" s="64" t="s">
        <v>735</v>
      </c>
      <c r="B14" t="s">
        <v>736</v>
      </c>
    </row>
    <row r="16" spans="1:55" ht="19" x14ac:dyDescent="0.25">
      <c r="A16" s="65" t="s">
        <v>737</v>
      </c>
    </row>
    <row r="18" spans="10:12" ht="16" x14ac:dyDescent="0.2">
      <c r="J18" s="94" t="s">
        <v>738</v>
      </c>
      <c r="K18" s="87"/>
      <c r="L18" s="87"/>
    </row>
    <row r="19" spans="10:12" x14ac:dyDescent="0.2">
      <c r="J19" s="63" t="s">
        <v>443</v>
      </c>
      <c r="K19" s="63" t="s">
        <v>398</v>
      </c>
      <c r="L19" s="63" t="s">
        <v>725</v>
      </c>
    </row>
    <row r="20" spans="10:12" x14ac:dyDescent="0.2">
      <c r="J20" s="66">
        <v>1</v>
      </c>
      <c r="K20" t="s">
        <v>251</v>
      </c>
      <c r="L20" s="5">
        <v>0</v>
      </c>
    </row>
    <row r="21" spans="10:12" x14ac:dyDescent="0.2">
      <c r="J21" s="67">
        <v>2</v>
      </c>
      <c r="K21" t="s">
        <v>420</v>
      </c>
      <c r="L21" s="5">
        <v>0</v>
      </c>
    </row>
    <row r="22" spans="10:12" x14ac:dyDescent="0.2">
      <c r="J22" s="68">
        <v>3</v>
      </c>
      <c r="K22" t="s">
        <v>423</v>
      </c>
      <c r="L22" s="5">
        <v>8.3800000000000008</v>
      </c>
    </row>
    <row r="23" spans="10:12" x14ac:dyDescent="0.2">
      <c r="J23" s="69">
        <v>4</v>
      </c>
      <c r="K23" t="s">
        <v>422</v>
      </c>
      <c r="L23" s="5">
        <v>3.28</v>
      </c>
    </row>
    <row r="24" spans="10:12" x14ac:dyDescent="0.2">
      <c r="J24" s="70">
        <v>5</v>
      </c>
      <c r="K24" t="s">
        <v>418</v>
      </c>
      <c r="L24" s="5">
        <v>3.12</v>
      </c>
    </row>
    <row r="25" spans="10:12" x14ac:dyDescent="0.2">
      <c r="J25" s="71">
        <v>6</v>
      </c>
      <c r="K25" t="s">
        <v>89</v>
      </c>
      <c r="L25" s="5">
        <v>3.32</v>
      </c>
    </row>
    <row r="26" spans="10:12" x14ac:dyDescent="0.2">
      <c r="J26" s="72">
        <v>7</v>
      </c>
      <c r="K26" t="s">
        <v>425</v>
      </c>
      <c r="L26" s="5">
        <v>0</v>
      </c>
    </row>
    <row r="27" spans="10:12" x14ac:dyDescent="0.2">
      <c r="J27" s="73">
        <v>8</v>
      </c>
      <c r="K27" t="s">
        <v>427</v>
      </c>
      <c r="L27" s="5">
        <v>0</v>
      </c>
    </row>
    <row r="28" spans="10:12" x14ac:dyDescent="0.2">
      <c r="J28" s="74">
        <v>9</v>
      </c>
      <c r="K28" t="s">
        <v>428</v>
      </c>
      <c r="L28" s="5">
        <v>0</v>
      </c>
    </row>
    <row r="29" spans="10:12" x14ac:dyDescent="0.2">
      <c r="J29" s="75">
        <v>10</v>
      </c>
      <c r="K29" t="s">
        <v>429</v>
      </c>
      <c r="L29" s="5">
        <v>19.16</v>
      </c>
    </row>
    <row r="30" spans="10:12" x14ac:dyDescent="0.2">
      <c r="J30" s="76">
        <v>11</v>
      </c>
      <c r="K30" t="s">
        <v>344</v>
      </c>
      <c r="L30" s="5">
        <v>0</v>
      </c>
    </row>
    <row r="31" spans="10:12" x14ac:dyDescent="0.2">
      <c r="J31" s="77">
        <v>12</v>
      </c>
      <c r="K31" t="s">
        <v>424</v>
      </c>
      <c r="L31" s="5">
        <v>0</v>
      </c>
    </row>
    <row r="32" spans="10:12" x14ac:dyDescent="0.2">
      <c r="J32" s="78">
        <v>13</v>
      </c>
      <c r="K32" t="s">
        <v>433</v>
      </c>
      <c r="L32" s="5">
        <v>0</v>
      </c>
    </row>
    <row r="33" spans="1:12" x14ac:dyDescent="0.2">
      <c r="J33" s="79">
        <v>14</v>
      </c>
      <c r="K33" t="s">
        <v>417</v>
      </c>
      <c r="L33" s="5">
        <v>15.3</v>
      </c>
    </row>
    <row r="34" spans="1:12" x14ac:dyDescent="0.2">
      <c r="J34" s="80">
        <v>15</v>
      </c>
      <c r="K34" t="s">
        <v>421</v>
      </c>
      <c r="L34" s="5">
        <v>0</v>
      </c>
    </row>
    <row r="35" spans="1:12" x14ac:dyDescent="0.2">
      <c r="J35" s="81">
        <v>16</v>
      </c>
      <c r="K35" t="s">
        <v>432</v>
      </c>
      <c r="L35" s="5">
        <v>0</v>
      </c>
    </row>
    <row r="36" spans="1:12" x14ac:dyDescent="0.2">
      <c r="J36" s="82">
        <v>17</v>
      </c>
      <c r="K36" t="s">
        <v>426</v>
      </c>
      <c r="L36" s="5">
        <v>27.51</v>
      </c>
    </row>
    <row r="37" spans="1:12" x14ac:dyDescent="0.2">
      <c r="J37" s="83">
        <v>18</v>
      </c>
      <c r="K37" t="s">
        <v>430</v>
      </c>
      <c r="L37" s="5">
        <v>0</v>
      </c>
    </row>
    <row r="38" spans="1:12" x14ac:dyDescent="0.2">
      <c r="J38" s="84">
        <v>19</v>
      </c>
      <c r="K38" t="s">
        <v>419</v>
      </c>
      <c r="L38" s="5">
        <v>0</v>
      </c>
    </row>
    <row r="39" spans="1:12" x14ac:dyDescent="0.2">
      <c r="J39" s="85">
        <v>20</v>
      </c>
      <c r="K39" t="s">
        <v>431</v>
      </c>
      <c r="L39" s="5">
        <v>0</v>
      </c>
    </row>
    <row r="40" spans="1:12" x14ac:dyDescent="0.2">
      <c r="J40" s="66">
        <v>21</v>
      </c>
      <c r="K40" t="s">
        <v>396</v>
      </c>
      <c r="L40" s="5">
        <v>0</v>
      </c>
    </row>
    <row r="47" spans="1:12" x14ac:dyDescent="0.2">
      <c r="A47" s="86" t="s">
        <v>739</v>
      </c>
      <c r="B47" s="87"/>
      <c r="C47" s="87"/>
      <c r="D47" s="87"/>
      <c r="E47" s="87"/>
      <c r="F47" s="87"/>
      <c r="G47" s="87"/>
      <c r="H47" s="87"/>
    </row>
    <row r="48" spans="1:12" x14ac:dyDescent="0.2">
      <c r="A48" s="87"/>
      <c r="B48" s="87"/>
      <c r="C48" s="87"/>
      <c r="D48" s="87"/>
      <c r="E48" s="87"/>
      <c r="F48" s="87"/>
      <c r="G48" s="87"/>
      <c r="H48" s="87"/>
    </row>
    <row r="49" spans="1:8" x14ac:dyDescent="0.2">
      <c r="A49" s="87"/>
      <c r="B49" s="87"/>
      <c r="C49" s="87"/>
      <c r="D49" s="87"/>
      <c r="E49" s="87"/>
      <c r="F49" s="87"/>
      <c r="G49" s="87"/>
      <c r="H49" s="87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Purchase History</vt:lpstr>
      <vt:lpstr>Category Manager</vt:lpstr>
      <vt:lpstr>Sub Analytics</vt:lpstr>
      <vt:lpstr>_SubAnalyticsData</vt:lpstr>
      <vt:lpstr>Analytics</vt:lpstr>
      <vt:lpstr>_AnalyticsData</vt:lpstr>
      <vt:lpstr>Imported Receipts</vt:lpstr>
      <vt:lpstr>Sheet1</vt:lpstr>
      <vt:lpstr>BP w1_Aug 26</vt:lpstr>
      <vt:lpstr>BP w1_sep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garzoncarlosandres@gmail.com</cp:lastModifiedBy>
  <dcterms:created xsi:type="dcterms:W3CDTF">2026-08-26T22:04:37Z</dcterms:created>
  <dcterms:modified xsi:type="dcterms:W3CDTF">2026-09-01T01:57:57Z</dcterms:modified>
</cp:coreProperties>
</file>