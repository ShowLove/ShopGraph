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0" yWindow="760" windowWidth="33540" windowHeight="21580" tabRatio="600" firstSheet="0" activeTab="0" autoFilterDateGrouping="1"/>
  </bookViews>
  <sheets>
    <sheet xmlns:r="http://schemas.openxmlformats.org/officeDocument/2006/relationships" name="Purchase History" sheetId="1" state="visible" r:id="rId1"/>
    <sheet xmlns:r="http://schemas.openxmlformats.org/officeDocument/2006/relationships" name="Category Manager" sheetId="2" state="visible" r:id="rId2"/>
    <sheet xmlns:r="http://schemas.openxmlformats.org/officeDocument/2006/relationships" name="Analytics" sheetId="3" state="visible" r:id="rId3"/>
    <sheet xmlns:r="http://schemas.openxmlformats.org/officeDocument/2006/relationships" name="_AnalyticsData" sheetId="4" state="hidden" r:id="rId4"/>
    <sheet xmlns:r="http://schemas.openxmlformats.org/officeDocument/2006/relationships" name="Sub Analytics" sheetId="5" state="visible" r:id="rId5"/>
    <sheet xmlns:r="http://schemas.openxmlformats.org/officeDocument/2006/relationships" name="_SubAnalyticsData" sheetId="6" state="hidden" r:id="rId6"/>
    <sheet xmlns:r="http://schemas.openxmlformats.org/officeDocument/2006/relationships" name="Imported Receipts" sheetId="7" state="hidden" r:id="rId7"/>
    <sheet xmlns:r="http://schemas.openxmlformats.org/officeDocument/2006/relationships" name="Sheet1" sheetId="8" state="visible" r:id="rId8"/>
    <sheet xmlns:r="http://schemas.openxmlformats.org/officeDocument/2006/relationships" name="BP 9_26 26" sheetId="9" state="visible" r:id="rId9"/>
    <sheet xmlns:r="http://schemas.openxmlformats.org/officeDocument/2006/relationships" name="BP 9_26w1 26" sheetId="10" state="visible" r:id="rId10"/>
    <sheet xmlns:r="http://schemas.openxmlformats.org/officeDocument/2006/relationships" name="BP 9_26w2 26" sheetId="11" state="visible" r:id="rId11"/>
    <sheet xmlns:r="http://schemas.openxmlformats.org/officeDocument/2006/relationships" name="BP 9_26w3 26" sheetId="12" state="visible" r:id="rId12"/>
    <sheet xmlns:r="http://schemas.openxmlformats.org/officeDocument/2006/relationships" name="BP 9_26w4 26" sheetId="13" state="visible" r:id="rId13"/>
  </sheets>
  <definedNames>
    <definedName name="_xlnm._FilterDatabase" localSheetId="0" hidden="1">'Purchase History'!$A$1:$U$306</definedName>
    <definedName name="_xlnm._FilterDatabase" localSheetId="1" hidden="1">'Category Manager'!$A$1:$AA$84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mm/dd/yyyy\ hh:mm"/>
    <numFmt numFmtId="166" formatCode="mmm\ yyyy"/>
    <numFmt numFmtId="167" formatCode="\$#,##0.00"/>
    <numFmt numFmtId="168" formatCode="mm/dd/yyyy hh:mm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b val="1"/>
      <color rgb="FFFFFFFF"/>
      <sz val="22"/>
    </font>
    <font>
      <name val="Calibri"/>
      <family val="2"/>
      <b val="1"/>
      <color rgb="FF404040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1F4E78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8"/>
    </font>
    <font>
      <name val="Calibri"/>
      <family val="2"/>
      <b val="1"/>
      <sz val="14"/>
    </font>
    <font>
      <name val="Calibri"/>
      <family val="2"/>
      <b val="1"/>
      <sz val="12"/>
    </font>
    <font>
      <name val="Calibri"/>
      <family val="2"/>
      <b val="1"/>
      <sz val="11"/>
    </font>
    <font>
      <b val="1"/>
      <color rgb="00FFFFFF"/>
    </font>
    <font>
      <b val="1"/>
    </font>
  </fonts>
  <fills count="5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9E480E"/>
      </patternFill>
    </fill>
    <fill>
      <patternFill patternType="solid">
        <fgColor rgb="FF636363"/>
      </patternFill>
    </fill>
    <fill>
      <patternFill patternType="solid">
        <fgColor rgb="FF264478"/>
      </patternFill>
    </fill>
    <fill>
      <patternFill patternType="solid">
        <fgColor rgb="FF8064A2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255E91"/>
      </patternFill>
    </fill>
    <fill>
      <patternFill patternType="solid">
        <fgColor rgb="FF9E480E"/>
      </patternFill>
    </fill>
    <fill>
      <patternFill patternType="solid">
        <fgColor rgb="FF636363"/>
      </patternFill>
    </fill>
    <fill>
      <patternFill patternType="solid">
        <fgColor rgb="FF997300"/>
      </patternFill>
    </fill>
    <fill>
      <patternFill patternType="solid">
        <fgColor rgb="FF264478"/>
      </patternFill>
    </fill>
    <fill>
      <patternFill patternType="solid">
        <fgColor rgb="FF43682B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92A9CF"/>
      </patternFill>
    </fill>
    <fill>
      <patternFill patternType="solid">
        <fgColor rgb="FF95B3D7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7F7F7F"/>
      </patternFill>
    </fill>
    <fill>
      <patternFill patternType="solid">
        <fgColor rgb="FF806000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right" vertical="top"/>
    </xf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left"/>
    </xf>
    <xf numFmtId="167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0" fillId="7" borderId="0" pivotButton="0" quotePrefix="0" xfId="0"/>
    <xf numFmtId="0" fontId="2" fillId="0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1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2" borderId="0" pivotButton="0" quotePrefix="0" xfId="0"/>
    <xf numFmtId="0" fontId="8" fillId="16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9" fillId="18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9" fillId="19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9" fillId="20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 wrapText="1"/>
    </xf>
    <xf numFmtId="0" fontId="9" fillId="21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9" fillId="22" borderId="1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  <xf numFmtId="0" fontId="9" fillId="0" borderId="0" pivotButton="0" quotePrefix="0" xfId="0"/>
    <xf numFmtId="0" fontId="9" fillId="18" borderId="0" pivotButton="0" quotePrefix="0" xfId="0"/>
    <xf numFmtId="0" fontId="11" fillId="0" borderId="0" pivotButton="0" quotePrefix="0" xfId="0"/>
    <xf numFmtId="0" fontId="8" fillId="23" borderId="0" applyAlignment="1" pivotButton="0" quotePrefix="0" xfId="0">
      <alignment horizontal="center"/>
    </xf>
    <xf numFmtId="0" fontId="8" fillId="24" borderId="0" applyAlignment="1" pivotButton="0" quotePrefix="0" xfId="0">
      <alignment horizontal="center"/>
    </xf>
    <xf numFmtId="0" fontId="8" fillId="25" borderId="0" applyAlignment="1" pivotButton="0" quotePrefix="0" xfId="0">
      <alignment horizontal="center"/>
    </xf>
    <xf numFmtId="0" fontId="8" fillId="26" borderId="0" applyAlignment="1" pivotButton="0" quotePrefix="0" xfId="0">
      <alignment horizontal="center"/>
    </xf>
    <xf numFmtId="0" fontId="8" fillId="27" borderId="0" applyAlignment="1" pivotButton="0" quotePrefix="0" xfId="0">
      <alignment horizontal="center"/>
    </xf>
    <xf numFmtId="0" fontId="8" fillId="28" borderId="0" applyAlignment="1" pivotButton="0" quotePrefix="0" xfId="0">
      <alignment horizontal="center"/>
    </xf>
    <xf numFmtId="0" fontId="8" fillId="29" borderId="0" applyAlignment="1" pivotButton="0" quotePrefix="0" xfId="0">
      <alignment horizontal="center"/>
    </xf>
    <xf numFmtId="0" fontId="8" fillId="30" borderId="0" applyAlignment="1" pivotButton="0" quotePrefix="0" xfId="0">
      <alignment horizontal="center"/>
    </xf>
    <xf numFmtId="0" fontId="8" fillId="31" borderId="0" applyAlignment="1" pivotButton="0" quotePrefix="0" xfId="0">
      <alignment horizontal="center"/>
    </xf>
    <xf numFmtId="0" fontId="8" fillId="32" borderId="0" applyAlignment="1" pivotButton="0" quotePrefix="0" xfId="0">
      <alignment horizontal="center"/>
    </xf>
    <xf numFmtId="0" fontId="8" fillId="33" borderId="0" applyAlignment="1" pivotButton="0" quotePrefix="0" xfId="0">
      <alignment horizontal="center"/>
    </xf>
    <xf numFmtId="0" fontId="8" fillId="34" borderId="0" applyAlignment="1" pivotButton="0" quotePrefix="0" xfId="0">
      <alignment horizontal="center"/>
    </xf>
    <xf numFmtId="0" fontId="8" fillId="35" borderId="0" applyAlignment="1" pivotButton="0" quotePrefix="0" xfId="0">
      <alignment horizontal="center"/>
    </xf>
    <xf numFmtId="0" fontId="8" fillId="36" borderId="0" applyAlignment="1" pivotButton="0" quotePrefix="0" xfId="0">
      <alignment horizontal="center"/>
    </xf>
    <xf numFmtId="0" fontId="8" fillId="37" borderId="0" applyAlignment="1" pivotButton="0" quotePrefix="0" xfId="0">
      <alignment horizontal="center"/>
    </xf>
    <xf numFmtId="0" fontId="8" fillId="38" borderId="0" applyAlignment="1" pivotButton="0" quotePrefix="0" xfId="0">
      <alignment horizontal="center"/>
    </xf>
    <xf numFmtId="0" fontId="8" fillId="39" borderId="0" applyAlignment="1" pivotButton="0" quotePrefix="0" xfId="0">
      <alignment horizontal="center"/>
    </xf>
    <xf numFmtId="0" fontId="8" fillId="40" borderId="0" applyAlignment="1" pivotButton="0" quotePrefix="0" xfId="0">
      <alignment horizontal="center"/>
    </xf>
    <xf numFmtId="0" fontId="8" fillId="41" borderId="0" applyAlignment="1" pivotButton="0" quotePrefix="0" xfId="0">
      <alignment horizontal="center"/>
    </xf>
    <xf numFmtId="0" fontId="8" fillId="42" borderId="0" applyAlignment="1" pivotButton="0" quotePrefix="0" xfId="0">
      <alignment horizontal="center"/>
    </xf>
    <xf numFmtId="0" fontId="13" fillId="0" borderId="0" pivotButton="0" quotePrefix="0" xfId="0"/>
    <xf numFmtId="0" fontId="12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17" borderId="0" pivotButton="0" quotePrefix="0" xfId="0"/>
    <xf numFmtId="0" fontId="7" fillId="0" borderId="0" pivotButton="0" quotePrefix="0" xfId="0"/>
    <xf numFmtId="0" fontId="6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14" fillId="43" borderId="2" applyAlignment="1" pivotButton="0" quotePrefix="0" xfId="0">
      <alignment horizontal="center" vertical="center" wrapText="1"/>
    </xf>
    <xf numFmtId="0" fontId="15" fillId="44" borderId="2" applyAlignment="1" pivotButton="0" quotePrefix="0" xfId="0">
      <alignment vertical="top" wrapText="1"/>
    </xf>
    <xf numFmtId="0" fontId="0" fillId="44" borderId="2" applyAlignment="1" pivotButton="0" quotePrefix="0" xfId="0">
      <alignment vertical="top" wrapText="1"/>
    </xf>
    <xf numFmtId="0" fontId="15" fillId="45" borderId="2" applyAlignment="1" pivotButton="0" quotePrefix="0" xfId="0">
      <alignment vertical="top" wrapText="1"/>
    </xf>
    <xf numFmtId="0" fontId="0" fillId="45" borderId="2" applyAlignment="1" pivotButton="0" quotePrefix="0" xfId="0">
      <alignment vertical="top" wrapText="1"/>
    </xf>
    <xf numFmtId="0" fontId="15" fillId="46" borderId="2" applyAlignment="1" pivotButton="0" quotePrefix="0" xfId="0">
      <alignment vertical="top" wrapText="1"/>
    </xf>
    <xf numFmtId="0" fontId="0" fillId="46" borderId="2" applyAlignment="1" pivotButton="0" quotePrefix="0" xfId="0">
      <alignment vertical="top" wrapText="1"/>
    </xf>
    <xf numFmtId="0" fontId="15" fillId="47" borderId="2" applyAlignment="1" pivotButton="0" quotePrefix="0" xfId="0">
      <alignment vertical="top" wrapText="1"/>
    </xf>
    <xf numFmtId="0" fontId="0" fillId="47" borderId="2" applyAlignment="1" pivotButton="0" quotePrefix="0" xfId="0">
      <alignment vertical="top" wrapText="1"/>
    </xf>
    <xf numFmtId="0" fontId="15" fillId="48" borderId="2" applyAlignment="1" pivotButton="0" quotePrefix="0" xfId="0">
      <alignment vertical="top" wrapText="1"/>
    </xf>
    <xf numFmtId="0" fontId="0" fillId="48" borderId="2" applyAlignment="1" pivotButton="0" quotePrefix="0" xfId="0">
      <alignment vertical="top" wrapText="1"/>
    </xf>
    <xf numFmtId="0" fontId="15" fillId="49" borderId="2" applyAlignment="1" pivotButton="0" quotePrefix="0" xfId="0">
      <alignment vertical="top" wrapText="1"/>
    </xf>
    <xf numFmtId="0" fontId="0" fillId="49" borderId="2" applyAlignment="1" pivotButton="0" quotePrefix="0" xfId="0">
      <alignment vertical="top" wrapText="1"/>
    </xf>
    <xf numFmtId="0" fontId="15" fillId="0" borderId="0" pivotButton="0" quotePrefix="0" xfId="0"/>
    <xf numFmtId="168" fontId="0" fillId="0" borderId="0" pivotButton="0" quotePrefix="0" xfId="0"/>
    <xf numFmtId="168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Monthly Spending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_AnalyticsData!$C$2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_AnalyticsData!$A$3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_AnalyticsData!$C$3</f>
              <numCache>
                <formatCode>\$#,##0.00</formatCode>
                <ptCount val="1"/>
                <pt idx="0">
                  <v>929.6200000000008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Month 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Spending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Spending by Category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_AnalyticsData!$G$2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_AnalyticsData!$E$3:$E$22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cat>
          <val>
            <numRef>
              <f>_AnalyticsData!$G$3:$G$22</f>
              <numCache>
                <formatCode>\$#,##0.00</formatCode>
                <ptCount val="20"/>
                <pt idx="0">
                  <v>137.88</v>
                </pt>
                <pt idx="1">
                  <v>127.81</v>
                </pt>
                <pt idx="2">
                  <v>110.57</v>
                </pt>
                <pt idx="3">
                  <v>76.92999999999999</v>
                </pt>
                <pt idx="4">
                  <v>71.78999999999999</v>
                </pt>
                <pt idx="5">
                  <v>60.9</v>
                </pt>
                <pt idx="6">
                  <v>59.78</v>
                </pt>
                <pt idx="7">
                  <v>36.71</v>
                </pt>
                <pt idx="8">
                  <v>31.81</v>
                </pt>
                <pt idx="9">
                  <v>30.69</v>
                </pt>
                <pt idx="10">
                  <v>30.54</v>
                </pt>
                <pt idx="11">
                  <v>29.22</v>
                </pt>
                <pt idx="12">
                  <v>25.94</v>
                </pt>
                <pt idx="13">
                  <v>21.08</v>
                </pt>
                <pt idx="14">
                  <v>19.48</v>
                </pt>
                <pt idx="15">
                  <v>17.87</v>
                </pt>
                <pt idx="16">
                  <v>14.38</v>
                </pt>
                <pt idx="17">
                  <v>14.05</v>
                </pt>
                <pt idx="18">
                  <v>8.199999999999999</v>
                </pt>
                <pt idx="19">
                  <v>3.99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Spending by Store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_AnalyticsData!$K$2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_AnalyticsData!$I$3:$I$10</f>
              <numCache>
                <formatCode>General</formatCode>
                <ptCount val="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</numCache>
            </numRef>
          </cat>
          <val>
            <numRef>
              <f>_AnalyticsData!$K$3:$K$10</f>
              <numCache>
                <formatCode>\$#,##0.00</formatCode>
                <ptCount val="8"/>
                <pt idx="0">
                  <v>324.61</v>
                </pt>
                <pt idx="1">
                  <v>262.9200000000001</v>
                </pt>
                <pt idx="2">
                  <v>125.58</v>
                </pt>
                <pt idx="3">
                  <v>97.13000000000001</v>
                </pt>
                <pt idx="4">
                  <v>56.7</v>
                </pt>
                <pt idx="5">
                  <v>46.79</v>
                </pt>
                <pt idx="6">
                  <v>13.3</v>
                </pt>
                <pt idx="7">
                  <v>2.59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Spending Share by Category</a:t>
            </a:r>
          </a:p>
        </rich>
      </tx>
      <overlay val="1"/>
    </title>
    <plotArea>
      <layout/>
      <doughnutChart>
        <varyColors val="1"/>
        <ser>
          <idx val="0"/>
          <order val="0"/>
          <tx>
            <strRef>
              <f>_AnalyticsData!$O$2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0"/>
            <showCatName val="1"/>
            <showSerName val="1"/>
            <showPercent val="0"/>
            <showBubbleSize val="1"/>
            <showLeaderLines val="1"/>
          </dLbls>
          <cat>
            <numRef>
              <f>_AnalyticsData!$M$3:$M$22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cat>
          <val>
            <numRef>
              <f>_AnalyticsData!$O$3:$O$22</f>
              <numCache>
                <formatCode>\$#,##0.00</formatCode>
                <ptCount val="20"/>
                <pt idx="0">
                  <v>137.88</v>
                </pt>
                <pt idx="1">
                  <v>127.81</v>
                </pt>
                <pt idx="2">
                  <v>110.57</v>
                </pt>
                <pt idx="3">
                  <v>76.92999999999999</v>
                </pt>
                <pt idx="4">
                  <v>71.78999999999999</v>
                </pt>
                <pt idx="5">
                  <v>60.9</v>
                </pt>
                <pt idx="6">
                  <v>59.78</v>
                </pt>
                <pt idx="7">
                  <v>36.71</v>
                </pt>
                <pt idx="8">
                  <v>31.81</v>
                </pt>
                <pt idx="9">
                  <v>30.69</v>
                </pt>
                <pt idx="10">
                  <v>30.54</v>
                </pt>
                <pt idx="11">
                  <v>29.22</v>
                </pt>
                <pt idx="12">
                  <v>25.94</v>
                </pt>
                <pt idx="13">
                  <v>21.08</v>
                </pt>
                <pt idx="14">
                  <v>19.48</v>
                </pt>
                <pt idx="15">
                  <v>17.87</v>
                </pt>
                <pt idx="16">
                  <v>14.38</v>
                </pt>
                <pt idx="17">
                  <v>14.05</v>
                </pt>
                <pt idx="18">
                  <v>8.199999999999999</v>
                </pt>
                <pt idx="19">
                  <v>3.99</v>
                </pt>
              </numCache>
            </numRef>
          </val>
        </ser>
        <dLbls>
          <showLegendKey val="1"/>
          <showVal val="0"/>
          <showCatName val="1"/>
          <showSerName val="1"/>
          <showPercent val="0"/>
          <showBubbleSize val="1"/>
          <showLeaderLines val="1"/>
        </dLbls>
        <firstSliceAng val="0"/>
        <holeSize val="58"/>
      </doughnutChart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Top 10 Products by Spending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_AnalyticsData!$S$2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_AnalyticsData!$Q$3:$Q$12</f>
              <numCache>
                <formatCode>General</formatCod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numCache>
            </numRef>
          </cat>
          <val>
            <numRef>
              <f>_AnalyticsData!$S$3:$S$12</f>
              <numCache>
                <formatCode>\$#,##0.00</formatCode>
                <ptCount val="10"/>
                <pt idx="0">
                  <v>46.91</v>
                </pt>
                <pt idx="1">
                  <v>46.79</v>
                </pt>
                <pt idx="2">
                  <v>39.37</v>
                </pt>
                <pt idx="3">
                  <v>35.97</v>
                </pt>
                <pt idx="4">
                  <v>27.96</v>
                </pt>
                <pt idx="5">
                  <v>25.94</v>
                </pt>
                <pt idx="6">
                  <v>22.11</v>
                </pt>
                <pt idx="7">
                  <v>21.98</v>
                </pt>
                <pt idx="8">
                  <v>21.74</v>
                </pt>
                <pt idx="9">
                  <v>20.37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Monthly Spending by Store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_AnalyticsData!$Z$2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_AnalyticsData!$Z$3</f>
              <numCache>
                <formatCode>\$#,##0.00</formatCode>
                <ptCount val="1"/>
                <pt idx="0">
                  <v>324.61</v>
                </pt>
              </numCache>
            </numRef>
          </val>
        </ser>
        <ser>
          <idx val="1"/>
          <order val="1"/>
          <tx>
            <strRef>
              <f>_AnalyticsData!$AA$2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_AnalyticsData!$AA$3</f>
              <numCache>
                <formatCode>\$#,##0.00</formatCode>
                <ptCount val="1"/>
                <pt idx="0">
                  <v>262.9200000000001</v>
                </pt>
              </numCache>
            </numRef>
          </val>
        </ser>
        <ser>
          <idx val="2"/>
          <order val="2"/>
          <tx>
            <strRef>
              <f>_AnalyticsData!$AB$2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_AnalyticsData!$AB$3</f>
              <numCache>
                <formatCode>\$#,##0.00</formatCode>
                <ptCount val="1"/>
                <pt idx="0">
                  <v>125.58</v>
                </pt>
              </numCache>
            </numRef>
          </val>
        </ser>
        <ser>
          <idx val="3"/>
          <order val="3"/>
          <tx>
            <strRef>
              <f>_AnalyticsData!$AC$2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_AnalyticsData!$AC$3</f>
              <numCache>
                <formatCode>\$#,##0.00</formatCode>
                <ptCount val="1"/>
                <pt idx="0">
                  <v>97.13000000000001</v>
                </pt>
              </numCache>
            </numRef>
          </val>
        </ser>
        <ser>
          <idx val="4"/>
          <order val="4"/>
          <tx>
            <strRef>
              <f>_AnalyticsData!$AD$2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_AnalyticsData!$AD$3</f>
              <numCache>
                <formatCode>\$#,##0.00</formatCode>
                <ptCount val="1"/>
                <pt idx="0">
                  <v>56.7</v>
                </pt>
              </numCache>
            </numRef>
          </val>
        </ser>
        <ser>
          <idx val="5"/>
          <order val="5"/>
          <tx>
            <strRef>
              <f>_AnalyticsData!$AE$2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_AnalyticsData!$AE$3</f>
              <numCache>
                <formatCode>\$#,##0.00</formatCode>
                <ptCount val="1"/>
                <pt idx="0">
                  <v>46.79</v>
                </pt>
              </numCache>
            </numRef>
          </val>
        </ser>
        <ser>
          <idx val="6"/>
          <order val="6"/>
          <tx>
            <strRef>
              <f>_AnalyticsData!$AF$2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solidFill>
                <a:srgbClr val="C55A11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_AnalyticsData!$AF$3</f>
              <numCache>
                <formatCode>\$#,##0.00</formatCode>
                <ptCount val="1"/>
                <pt idx="0">
                  <v>13.3</v>
                </pt>
              </numCache>
            </numRef>
          </val>
        </ser>
        <ser>
          <idx val="7"/>
          <order val="7"/>
          <tx>
            <strRef>
              <f>_AnalyticsData!$AG$2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solidFill>
                <a:srgbClr val="548235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_AnalyticsData!$AG$3</f>
              <numCache>
                <formatCode>\$#,##0.00</formatCode>
                <ptCount val="1"/>
                <pt idx="0">
                  <v>2.59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Purchase Frequency by Category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_AnalyticsData!$W$2</f>
              <strCache>
                <ptCount val="1"/>
                <pt idx="0">
                  <v>Purchases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_AnalyticsData!$U$3:$U$22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cat>
          <val>
            <numRef>
              <f>_AnalyticsData!$W$3:$W$22</f>
              <numCache>
                <formatCode>General</formatCode>
                <ptCount val="20"/>
                <pt idx="0">
                  <v>42</v>
                </pt>
                <pt idx="1">
                  <v>29</v>
                </pt>
                <pt idx="2">
                  <v>16</v>
                </pt>
                <pt idx="3">
                  <v>9</v>
                </pt>
                <pt idx="4">
                  <v>7</v>
                </pt>
                <pt idx="5">
                  <v>6</v>
                </pt>
                <pt idx="6">
                  <v>6</v>
                </pt>
                <pt idx="7">
                  <v>6</v>
                </pt>
                <pt idx="8">
                  <v>6</v>
                </pt>
                <pt idx="9">
                  <v>6</v>
                </pt>
                <pt idx="10">
                  <v>3</v>
                </pt>
                <pt idx="11">
                  <v>3</v>
                </pt>
                <pt idx="12">
                  <v>3</v>
                </pt>
                <pt idx="13">
                  <v>2</v>
                </pt>
                <pt idx="14">
                  <v>2</v>
                </pt>
                <pt idx="15">
                  <v>2</v>
                </pt>
                <pt idx="16">
                  <v>2</v>
                </pt>
                <pt idx="17">
                  <v>1</v>
                </pt>
                <pt idx="18">
                  <v>1</v>
                </pt>
                <pt idx="19">
                  <v>1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Purchases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Monthly Spending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_SubAnalyticsData!$C$2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_SubAnalyticsData!$A$3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_SubAnalyticsData!$C$3</f>
              <numCache>
                <formatCode>\$#,##0.00</formatCode>
                <ptCount val="1"/>
                <pt idx="0">
                  <v>929.6200000000008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Spending by Sub-Category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_SubAnalyticsData!$G$2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20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21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22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23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24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25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6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7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28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29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30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31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32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33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34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35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36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37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8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9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0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41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42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43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44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45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46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47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48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49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50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51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52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3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54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_SubAnalyticsData!$E$3:$E$57</f>
              <numCache>
                <formatCode>General</formatCode>
                <ptCount val="5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</numCache>
            </numRef>
          </cat>
          <val>
            <numRef>
              <f>_SubAnalyticsData!$G$3:$G$57</f>
              <numCache>
                <formatCode>\$#,##0.00</formatCode>
                <ptCount val="55"/>
                <pt idx="0">
                  <v>71.78999999999999</v>
                </pt>
                <pt idx="1">
                  <v>68.86</v>
                </pt>
                <pt idx="2">
                  <v>59.78</v>
                </pt>
                <pt idx="3">
                  <v>54.91</v>
                </pt>
                <pt idx="4">
                  <v>52.83000000000001</v>
                </pt>
                <pt idx="5">
                  <v>48.16999999999999</v>
                </pt>
                <pt idx="6">
                  <v>43.72</v>
                </pt>
                <pt idx="7">
                  <v>35.97</v>
                </pt>
                <pt idx="8">
                  <v>30.69</v>
                </pt>
                <pt idx="9">
                  <v>30.47</v>
                </pt>
                <pt idx="10">
                  <v>25.94</v>
                </pt>
                <pt idx="11">
                  <v>25.82</v>
                </pt>
                <pt idx="12">
                  <v>24.18</v>
                </pt>
                <pt idx="13">
                  <v>22.25</v>
                </pt>
                <pt idx="14">
                  <v>20.37</v>
                </pt>
                <pt idx="15">
                  <v>19.57</v>
                </pt>
                <pt idx="16">
                  <v>19.48</v>
                </pt>
                <pt idx="17">
                  <v>18.74</v>
                </pt>
                <pt idx="18">
                  <v>18.04</v>
                </pt>
                <pt idx="19">
                  <v>17.87</v>
                </pt>
                <pt idx="20">
                  <v>14.38</v>
                </pt>
                <pt idx="21">
                  <v>13.38</v>
                </pt>
                <pt idx="22">
                  <v>11.72</v>
                </pt>
                <pt idx="23">
                  <v>11.59</v>
                </pt>
                <pt idx="24">
                  <v>11.53</v>
                </pt>
                <pt idx="25">
                  <v>9.960000000000001</v>
                </pt>
                <pt idx="26">
                  <v>9.94</v>
                </pt>
                <pt idx="27">
                  <v>8.42</v>
                </pt>
                <pt idx="28">
                  <v>8.289999999999999</v>
                </pt>
                <pt idx="29">
                  <v>8.199999999999999</v>
                </pt>
                <pt idx="30">
                  <v>7.97</v>
                </pt>
                <pt idx="31">
                  <v>6.98</v>
                </pt>
                <pt idx="32">
                  <v>6.97</v>
                </pt>
                <pt idx="33">
                  <v>5.99</v>
                </pt>
                <pt idx="34">
                  <v>5.99</v>
                </pt>
                <pt idx="35">
                  <v>5.97</v>
                </pt>
                <pt idx="36">
                  <v>5.78</v>
                </pt>
                <pt idx="37">
                  <v>5.74</v>
                </pt>
                <pt idx="38">
                  <v>5.58</v>
                </pt>
                <pt idx="39">
                  <v>5.34</v>
                </pt>
                <pt idx="40">
                  <v>4.99</v>
                </pt>
                <pt idx="41">
                  <v>4.49</v>
                </pt>
                <pt idx="42">
                  <v>4.25</v>
                </pt>
                <pt idx="43">
                  <v>3.99</v>
                </pt>
                <pt idx="44">
                  <v>3.99</v>
                </pt>
                <pt idx="45">
                  <v>3.89</v>
                </pt>
                <pt idx="46">
                  <v>3.77</v>
                </pt>
                <pt idx="47">
                  <v>3.58</v>
                </pt>
                <pt idx="48">
                  <v>3.38</v>
                </pt>
                <pt idx="49">
                  <v>3.32</v>
                </pt>
                <pt idx="50">
                  <v>3.19</v>
                </pt>
                <pt idx="51">
                  <v>2.79</v>
                </pt>
                <pt idx="52">
                  <v>2.56</v>
                </pt>
                <pt idx="53">
                  <v>1.27</v>
                </pt>
                <pt idx="54">
                  <v>0.99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Spending by Store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_SubAnalyticsData!$K$2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_SubAnalyticsData!$I$3:$I$10</f>
              <numCache>
                <formatCode>General</formatCode>
                <ptCount val="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</numCache>
            </numRef>
          </cat>
          <val>
            <numRef>
              <f>_SubAnalyticsData!$K$3:$K$10</f>
              <numCache>
                <formatCode>\$#,##0.00</formatCode>
                <ptCount val="8"/>
                <pt idx="0">
                  <v>324.61</v>
                </pt>
                <pt idx="1">
                  <v>262.9200000000001</v>
                </pt>
                <pt idx="2">
                  <v>125.58</v>
                </pt>
                <pt idx="3">
                  <v>97.13000000000001</v>
                </pt>
                <pt idx="4">
                  <v>56.7</v>
                </pt>
                <pt idx="5">
                  <v>46.79</v>
                </pt>
                <pt idx="6">
                  <v>13.3</v>
                </pt>
                <pt idx="7">
                  <v>2.59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Spending Share by Sub-Category</a:t>
            </a:r>
          </a:p>
        </rich>
      </tx>
      <overlay val="1"/>
    </title>
    <plotArea>
      <layout/>
      <doughnutChart>
        <varyColors val="1"/>
        <ser>
          <idx val="0"/>
          <order val="0"/>
          <tx>
            <strRef>
              <f>_SubAnalyticsData!$O$2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2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22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23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24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25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6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7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28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29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30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3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32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33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34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35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36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37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8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9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4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42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43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44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45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46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47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48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49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5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5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52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3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54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0"/>
            <showCatName val="1"/>
            <showSerName val="1"/>
            <showPercent val="0"/>
            <showBubbleSize val="1"/>
            <showLeaderLines val="1"/>
          </dLbls>
          <cat>
            <numRef>
              <f>_SubAnalyticsData!$M$3:$M$57</f>
              <numCache>
                <formatCode>General</formatCode>
                <ptCount val="5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</numCache>
            </numRef>
          </cat>
          <val>
            <numRef>
              <f>_SubAnalyticsData!$O$3:$O$57</f>
              <numCache>
                <formatCode>\$#,##0.00</formatCode>
                <ptCount val="55"/>
                <pt idx="0">
                  <v>71.78999999999999</v>
                </pt>
                <pt idx="1">
                  <v>68.86</v>
                </pt>
                <pt idx="2">
                  <v>59.78</v>
                </pt>
                <pt idx="3">
                  <v>54.91</v>
                </pt>
                <pt idx="4">
                  <v>52.83000000000001</v>
                </pt>
                <pt idx="5">
                  <v>48.16999999999999</v>
                </pt>
                <pt idx="6">
                  <v>43.72</v>
                </pt>
                <pt idx="7">
                  <v>35.97</v>
                </pt>
                <pt idx="8">
                  <v>30.69</v>
                </pt>
                <pt idx="9">
                  <v>30.47</v>
                </pt>
                <pt idx="10">
                  <v>25.94</v>
                </pt>
                <pt idx="11">
                  <v>25.82</v>
                </pt>
                <pt idx="12">
                  <v>24.18</v>
                </pt>
                <pt idx="13">
                  <v>22.25</v>
                </pt>
                <pt idx="14">
                  <v>20.37</v>
                </pt>
                <pt idx="15">
                  <v>19.57</v>
                </pt>
                <pt idx="16">
                  <v>19.48</v>
                </pt>
                <pt idx="17">
                  <v>18.74</v>
                </pt>
                <pt idx="18">
                  <v>18.04</v>
                </pt>
                <pt idx="19">
                  <v>17.87</v>
                </pt>
                <pt idx="20">
                  <v>14.38</v>
                </pt>
                <pt idx="21">
                  <v>13.38</v>
                </pt>
                <pt idx="22">
                  <v>11.72</v>
                </pt>
                <pt idx="23">
                  <v>11.59</v>
                </pt>
                <pt idx="24">
                  <v>11.53</v>
                </pt>
                <pt idx="25">
                  <v>9.960000000000001</v>
                </pt>
                <pt idx="26">
                  <v>9.94</v>
                </pt>
                <pt idx="27">
                  <v>8.42</v>
                </pt>
                <pt idx="28">
                  <v>8.289999999999999</v>
                </pt>
                <pt idx="29">
                  <v>8.199999999999999</v>
                </pt>
                <pt idx="30">
                  <v>7.97</v>
                </pt>
                <pt idx="31">
                  <v>6.98</v>
                </pt>
                <pt idx="32">
                  <v>6.97</v>
                </pt>
                <pt idx="33">
                  <v>5.99</v>
                </pt>
                <pt idx="34">
                  <v>5.99</v>
                </pt>
                <pt idx="35">
                  <v>5.97</v>
                </pt>
                <pt idx="36">
                  <v>5.78</v>
                </pt>
                <pt idx="37">
                  <v>5.74</v>
                </pt>
                <pt idx="38">
                  <v>5.58</v>
                </pt>
                <pt idx="39">
                  <v>5.34</v>
                </pt>
                <pt idx="40">
                  <v>4.99</v>
                </pt>
                <pt idx="41">
                  <v>4.49</v>
                </pt>
                <pt idx="42">
                  <v>4.25</v>
                </pt>
                <pt idx="43">
                  <v>3.99</v>
                </pt>
                <pt idx="44">
                  <v>3.99</v>
                </pt>
                <pt idx="45">
                  <v>3.89</v>
                </pt>
                <pt idx="46">
                  <v>3.77</v>
                </pt>
                <pt idx="47">
                  <v>3.58</v>
                </pt>
                <pt idx="48">
                  <v>3.38</v>
                </pt>
                <pt idx="49">
                  <v>3.32</v>
                </pt>
                <pt idx="50">
                  <v>3.19</v>
                </pt>
                <pt idx="51">
                  <v>2.79</v>
                </pt>
                <pt idx="52">
                  <v>2.56</v>
                </pt>
                <pt idx="53">
                  <v>1.27</v>
                </pt>
                <pt idx="54">
                  <v>0.99</v>
                </pt>
              </numCache>
            </numRef>
          </val>
        </ser>
        <dLbls>
          <showLegendKey val="1"/>
          <showVal val="0"/>
          <showCatName val="1"/>
          <showSerName val="1"/>
          <showPercent val="0"/>
          <showBubbleSize val="1"/>
          <showLeaderLines val="1"/>
        </dLbls>
        <firstSliceAng val="0"/>
        <holeSize val="58"/>
      </doughnutChart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Top 10 Products by Spending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_SubAnalyticsData!$S$2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_SubAnalyticsData!$Q$3:$Q$12</f>
              <numCache>
                <formatCode>General</formatCod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numCache>
            </numRef>
          </cat>
          <val>
            <numRef>
              <f>_SubAnalyticsData!$S$3:$S$12</f>
              <numCache>
                <formatCode>\$#,##0.00</formatCode>
                <ptCount val="10"/>
                <pt idx="0">
                  <v>46.91</v>
                </pt>
                <pt idx="1">
                  <v>46.79</v>
                </pt>
                <pt idx="2">
                  <v>39.37</v>
                </pt>
                <pt idx="3">
                  <v>35.97</v>
                </pt>
                <pt idx="4">
                  <v>27.96</v>
                </pt>
                <pt idx="5">
                  <v>25.94</v>
                </pt>
                <pt idx="6">
                  <v>22.11</v>
                </pt>
                <pt idx="7">
                  <v>21.98</v>
                </pt>
                <pt idx="8">
                  <v>21.74</v>
                </pt>
                <pt idx="9">
                  <v>20.37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Monthly Spending by Store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_SubAnalyticsData!$Z$2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_SubAnalyticsData!$Z$3</f>
              <numCache>
                <formatCode>\$#,##0.00</formatCode>
                <ptCount val="1"/>
                <pt idx="0">
                  <v>324.61</v>
                </pt>
              </numCache>
            </numRef>
          </val>
        </ser>
        <ser>
          <idx val="1"/>
          <order val="1"/>
          <tx>
            <strRef>
              <f>_SubAnalyticsData!$AA$2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_SubAnalyticsData!$AA$3</f>
              <numCache>
                <formatCode>\$#,##0.00</formatCode>
                <ptCount val="1"/>
                <pt idx="0">
                  <v>262.9200000000001</v>
                </pt>
              </numCache>
            </numRef>
          </val>
        </ser>
        <ser>
          <idx val="2"/>
          <order val="2"/>
          <tx>
            <strRef>
              <f>_SubAnalyticsData!$AB$2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_SubAnalyticsData!$AB$3</f>
              <numCache>
                <formatCode>\$#,##0.00</formatCode>
                <ptCount val="1"/>
                <pt idx="0">
                  <v>125.58</v>
                </pt>
              </numCache>
            </numRef>
          </val>
        </ser>
        <ser>
          <idx val="3"/>
          <order val="3"/>
          <tx>
            <strRef>
              <f>_SubAnalyticsData!$AC$2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_SubAnalyticsData!$AC$3</f>
              <numCache>
                <formatCode>\$#,##0.00</formatCode>
                <ptCount val="1"/>
                <pt idx="0">
                  <v>97.13000000000001</v>
                </pt>
              </numCache>
            </numRef>
          </val>
        </ser>
        <ser>
          <idx val="4"/>
          <order val="4"/>
          <tx>
            <strRef>
              <f>_SubAnalyticsData!$AD$2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_SubAnalyticsData!$AD$3</f>
              <numCache>
                <formatCode>\$#,##0.00</formatCode>
                <ptCount val="1"/>
                <pt idx="0">
                  <v>56.7</v>
                </pt>
              </numCache>
            </numRef>
          </val>
        </ser>
        <ser>
          <idx val="5"/>
          <order val="5"/>
          <tx>
            <strRef>
              <f>_SubAnalyticsData!$AE$2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_SubAnalyticsData!$AE$3</f>
              <numCache>
                <formatCode>\$#,##0.00</formatCode>
                <ptCount val="1"/>
                <pt idx="0">
                  <v>46.79</v>
                </pt>
              </numCache>
            </numRef>
          </val>
        </ser>
        <ser>
          <idx val="6"/>
          <order val="6"/>
          <tx>
            <strRef>
              <f>_SubAnalyticsData!$AF$2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solidFill>
                <a:srgbClr val="C55A11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_SubAnalyticsData!$AF$3</f>
              <numCache>
                <formatCode>\$#,##0.00</formatCode>
                <ptCount val="1"/>
                <pt idx="0">
                  <v>13.3</v>
                </pt>
              </numCache>
            </numRef>
          </val>
        </ser>
        <ser>
          <idx val="7"/>
          <order val="7"/>
          <tx>
            <strRef>
              <f>_SubAnalyticsData!$AG$2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solidFill>
                <a:srgbClr val="548235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_SubAnalyticsData!$AG$3</f>
              <numCache>
                <formatCode>\$#,##0.00</formatCode>
                <ptCount val="1"/>
                <pt idx="0">
                  <v>2.59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Purchase Frequency by Sub-Category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_SubAnalyticsData!$W$2</f>
              <strCache>
                <ptCount val="1"/>
                <pt idx="0">
                  <v>Purchases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20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21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22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23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24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25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6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7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28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29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30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31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32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33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34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35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36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37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8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9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0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41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42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43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44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45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46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47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48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49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50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51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52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3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54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_SubAnalyticsData!$U$3:$U$57</f>
              <numCache>
                <formatCode>General</formatCode>
                <ptCount val="5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</numCache>
            </numRef>
          </cat>
          <val>
            <numRef>
              <f>_SubAnalyticsData!$W$3:$W$57</f>
              <numCache>
                <formatCode>General</formatCode>
                <ptCount val="55"/>
                <pt idx="0">
                  <v>17</v>
                </pt>
                <pt idx="1">
                  <v>16</v>
                </pt>
                <pt idx="2">
                  <v>13</v>
                </pt>
                <pt idx="3">
                  <v>7</v>
                </pt>
                <pt idx="4">
                  <v>6</v>
                </pt>
                <pt idx="5">
                  <v>6</v>
                </pt>
                <pt idx="6">
                  <v>6</v>
                </pt>
                <pt idx="7">
                  <v>5</v>
                </pt>
                <pt idx="8">
                  <v>5</v>
                </pt>
                <pt idx="9">
                  <v>5</v>
                </pt>
                <pt idx="10">
                  <v>4</v>
                </pt>
                <pt idx="11">
                  <v>3</v>
                </pt>
                <pt idx="12">
                  <v>3</v>
                </pt>
                <pt idx="13">
                  <v>3</v>
                </pt>
                <pt idx="14">
                  <v>3</v>
                </pt>
                <pt idx="15">
                  <v>2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2</v>
                </pt>
                <pt idx="23">
                  <v>2</v>
                </pt>
                <pt idx="24">
                  <v>2</v>
                </pt>
                <pt idx="25">
                  <v>2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1</v>
                </pt>
                <pt idx="37">
                  <v>1</v>
                </pt>
                <pt idx="38">
                  <v>1</v>
                </pt>
                <pt idx="39">
                  <v>1</v>
                </pt>
                <pt idx="40">
                  <v>1</v>
                </pt>
                <pt idx="41">
                  <v>1</v>
                </pt>
                <pt idx="42">
                  <v>1</v>
                </pt>
                <pt idx="43">
                  <v>1</v>
                </pt>
                <pt idx="44">
                  <v>1</v>
                </pt>
                <pt idx="45">
                  <v>1</v>
                </pt>
                <pt idx="46">
                  <v>1</v>
                </pt>
                <pt idx="47">
                  <v>1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Purchases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Budget vs Category Spending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'BP 9_26 26'!$AH$1</f>
              <strCache>
                <ptCount val="1"/>
                <pt idx="0">
                  <v>Budget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26'!$AH$2:$AH$3</f>
              <numCache>
                <formatCode>\$#,##0.00</formatCode>
                <ptCount val="2"/>
                <pt idx="0">
                  <v>1400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'BP 9_26 26'!$AI$1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26'!$AI$2:$AI$3</f>
              <numCache>
                <formatCode>\$#,##0.00</formatCode>
                <ptCount val="2"/>
                <pt idx="0">
                  <v>0</v>
                </pt>
                <pt idx="1">
                  <v>17.87</v>
                </pt>
              </numCache>
            </numRef>
          </val>
        </ser>
        <ser>
          <idx val="2"/>
          <order val="2"/>
          <tx>
            <strRef>
              <f>'BP 9_26 26'!$AJ$1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26'!$AJ$2:$AJ$3</f>
              <numCache>
                <formatCode>\$#,##0.00</formatCode>
                <ptCount val="2"/>
                <pt idx="0">
                  <v>0</v>
                </pt>
                <pt idx="1">
                  <v>59.78</v>
                </pt>
              </numCache>
            </numRef>
          </val>
        </ser>
        <ser>
          <idx val="3"/>
          <order val="3"/>
          <tx>
            <strRef>
              <f>'BP 9_26 26'!$AK$1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26'!$AK$2:$AK$3</f>
              <numCache>
                <formatCode>\$#,##0.00</formatCode>
                <ptCount val="2"/>
                <pt idx="0">
                  <v>0</v>
                </pt>
                <pt idx="1">
                  <v>31.81</v>
                </pt>
              </numCache>
            </numRef>
          </val>
        </ser>
        <ser>
          <idx val="4"/>
          <order val="4"/>
          <tx>
            <strRef>
              <f>'BP 9_26 26'!$AL$1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26'!$AL$2:$AL$3</f>
              <numCache>
                <formatCode>\$#,##0.00</formatCode>
                <ptCount val="2"/>
                <pt idx="0">
                  <v>0</v>
                </pt>
                <pt idx="1">
                  <v>3.99</v>
                </pt>
              </numCache>
            </numRef>
          </val>
        </ser>
        <ser>
          <idx val="5"/>
          <order val="5"/>
          <tx>
            <strRef>
              <f>'BP 9_26 26'!$AM$1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26'!$AM$2:$AM$3</f>
              <numCache>
                <formatCode>\$#,##0.00</formatCode>
                <ptCount val="2"/>
                <pt idx="0">
                  <v>0</v>
                </pt>
                <pt idx="1">
                  <v>19.48</v>
                </pt>
              </numCache>
            </numRef>
          </val>
        </ser>
        <ser>
          <idx val="6"/>
          <order val="6"/>
          <tx>
            <strRef>
              <f>'BP 9_26 26'!$AN$1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255E91"/>
            </a:solidFill>
            <a:ln xmlns:a="http://schemas.openxmlformats.org/drawingml/2006/main">
              <a:solidFill>
                <a:srgbClr val="255E9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26'!$AN$2:$AN$3</f>
              <numCache>
                <formatCode>\$#,##0.00</formatCode>
                <ptCount val="2"/>
                <pt idx="0">
                  <v>0</v>
                </pt>
                <pt idx="1">
                  <v>21.08</v>
                </pt>
              </numCache>
            </numRef>
          </val>
        </ser>
        <ser>
          <idx val="7"/>
          <order val="7"/>
          <tx>
            <strRef>
              <f>'BP 9_26 26'!$AO$1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9E480E"/>
            </a:solidFill>
            <a:ln xmlns:a="http://schemas.openxmlformats.org/drawingml/2006/main">
              <a:solidFill>
                <a:srgbClr val="9E480E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26'!$AO$2:$AO$3</f>
              <numCache>
                <formatCode>\$#,##0.00</formatCode>
                <ptCount val="2"/>
                <pt idx="0">
                  <v>0</v>
                </pt>
                <pt idx="1">
                  <v>-144.14</v>
                </pt>
              </numCache>
            </numRef>
          </val>
        </ser>
        <ser>
          <idx val="8"/>
          <order val="8"/>
          <tx>
            <strRef>
              <f>'BP 9_26 26'!$AP$1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636363"/>
            </a:solidFill>
            <a:ln xmlns:a="http://schemas.openxmlformats.org/drawingml/2006/main">
              <a:solidFill>
                <a:srgbClr val="636363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26'!$AP$2:$AP$3</f>
              <numCache>
                <formatCode>\$#,##0.00</formatCode>
                <ptCount val="2"/>
                <pt idx="0">
                  <v>0</v>
                </pt>
                <pt idx="1">
                  <v>137.88</v>
                </pt>
              </numCache>
            </numRef>
          </val>
        </ser>
        <ser>
          <idx val="9"/>
          <order val="9"/>
          <tx>
            <strRef>
              <f>'BP 9_26 26'!$AQ$1</f>
              <strCache>
                <ptCount val="1"/>
                <pt idx="0">
                  <v>9</v>
                </pt>
              </strCache>
            </strRef>
          </tx>
          <spPr>
            <a:solidFill xmlns:a="http://schemas.openxmlformats.org/drawingml/2006/main">
              <a:srgbClr val="997300"/>
            </a:solidFill>
            <a:ln xmlns:a="http://schemas.openxmlformats.org/drawingml/2006/main">
              <a:solidFill>
                <a:srgbClr val="9973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26'!$AQ$2:$AQ$3</f>
              <numCache>
                <formatCode>\$#,##0.00</formatCode>
                <ptCount val="2"/>
                <pt idx="0">
                  <v>0</v>
                </pt>
                <pt idx="1">
                  <v>36.71</v>
                </pt>
              </numCache>
            </numRef>
          </val>
        </ser>
        <ser>
          <idx val="10"/>
          <order val="10"/>
          <tx>
            <strRef>
              <f>'BP 9_26 26'!$AR$1</f>
              <strCache>
                <ptCount val="1"/>
                <pt idx="0">
                  <v>10</v>
                </pt>
              </strCache>
            </strRef>
          </tx>
          <spPr>
            <a:solidFill xmlns:a="http://schemas.openxmlformats.org/drawingml/2006/main">
              <a:srgbClr val="264478"/>
            </a:solidFill>
            <a:ln xmlns:a="http://schemas.openxmlformats.org/drawingml/2006/main">
              <a:solidFill>
                <a:srgbClr val="264478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26'!$AR$2:$AR$3</f>
              <numCache>
                <formatCode>\$#,##0.00</formatCode>
                <ptCount val="2"/>
                <pt idx="0">
                  <v>0</v>
                </pt>
                <pt idx="1">
                  <v>8.199999999999999</v>
                </pt>
              </numCache>
            </numRef>
          </val>
        </ser>
        <ser>
          <idx val="11"/>
          <order val="11"/>
          <tx>
            <strRef>
              <f>'BP 9_26 26'!$AS$1</f>
              <strCache>
                <ptCount val="1"/>
                <pt idx="0">
                  <v>11</v>
                </pt>
              </strCache>
            </strRef>
          </tx>
          <spPr>
            <a:solidFill xmlns:a="http://schemas.openxmlformats.org/drawingml/2006/main">
              <a:srgbClr val="43682B"/>
            </a:solidFill>
            <a:ln xmlns:a="http://schemas.openxmlformats.org/drawingml/2006/main">
              <a:solidFill>
                <a:srgbClr val="43682B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26'!$AS$2:$AS$3</f>
              <numCache>
                <formatCode>\$#,##0.00</formatCode>
                <ptCount val="2"/>
                <pt idx="0">
                  <v>0</v>
                </pt>
                <pt idx="1">
                  <v>30.69</v>
                </pt>
              </numCache>
            </numRef>
          </val>
        </ser>
        <ser>
          <idx val="12"/>
          <order val="12"/>
          <tx>
            <strRef>
              <f>'BP 9_26 26'!$AT$1</f>
              <strCache>
                <ptCount val="1"/>
                <pt idx="0">
                  <v>12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26'!$AT$2:$AT$3</f>
              <numCache>
                <formatCode>\$#,##0.00</formatCode>
                <ptCount val="2"/>
                <pt idx="0">
                  <v>0</v>
                </pt>
                <pt idx="1">
                  <v>60.9</v>
                </pt>
              </numCache>
            </numRef>
          </val>
        </ser>
        <ser>
          <idx val="13"/>
          <order val="13"/>
          <tx>
            <strRef>
              <f>'BP 9_26 26'!$AU$1</f>
              <strCache>
                <ptCount val="1"/>
                <pt idx="0">
                  <v>13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solidFill>
                <a:srgbClr val="4BACC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26'!$AU$2:$AU$3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4"/>
          <order val="14"/>
          <tx>
            <strRef>
              <f>'BP 9_26 26'!$AV$1</f>
              <strCache>
                <ptCount val="1"/>
                <pt idx="0">
                  <v>14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solidFill>
                <a:srgbClr val="F7964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26'!$AV$2:$AV$3</f>
              <numCache>
                <formatCode>\$#,##0.00</formatCode>
                <ptCount val="2"/>
                <pt idx="0">
                  <v>0</v>
                </pt>
                <pt idx="1">
                  <v>14.05</v>
                </pt>
              </numCache>
            </numRef>
          </val>
        </ser>
        <ser>
          <idx val="15"/>
          <order val="15"/>
          <tx>
            <strRef>
              <f>'BP 9_26 26'!$AW$1</f>
              <strCache>
                <ptCount val="1"/>
                <pt idx="0">
                  <v>15</v>
                </pt>
              </strCache>
            </strRef>
          </tx>
          <spPr>
            <a:solidFill xmlns:a="http://schemas.openxmlformats.org/drawingml/2006/main">
              <a:srgbClr val="92A9CF"/>
            </a:solidFill>
            <a:ln xmlns:a="http://schemas.openxmlformats.org/drawingml/2006/main">
              <a:solidFill>
                <a:srgbClr val="92A9C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26'!$AW$2:$AW$3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6"/>
          <order val="16"/>
          <tx>
            <strRef>
              <f>'BP 9_26 26'!$AX$1</f>
              <strCache>
                <ptCount val="1"/>
                <pt idx="0">
                  <v>16</v>
                </pt>
              </strCache>
            </strRef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solidFill>
                <a:srgbClr val="95B3D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26'!$AX$2:$AX$3</f>
              <numCache>
                <formatCode>\$#,##0.00</formatCode>
                <ptCount val="2"/>
                <pt idx="0">
                  <v>0</v>
                </pt>
                <pt idx="1">
                  <v>110.57</v>
                </pt>
              </numCache>
            </numRef>
          </val>
        </ser>
        <ser>
          <idx val="17"/>
          <order val="17"/>
          <tx>
            <strRef>
              <f>'BP 9_26 26'!$AY$1</f>
              <strCache>
                <ptCount val="1"/>
                <pt idx="0">
                  <v>17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26'!$AY$2:$AY$3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8"/>
          <order val="18"/>
          <tx>
            <strRef>
              <f>'BP 9_26 26'!$AZ$1</f>
              <strCache>
                <ptCount val="1"/>
                <pt idx="0">
                  <v>18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26'!$AZ$2:$AZ$3</f>
              <numCache>
                <formatCode>\$#,##0.00</formatCode>
                <ptCount val="2"/>
                <pt idx="0">
                  <v>0</v>
                </pt>
                <pt idx="1">
                  <v>76.92999999999999</v>
                </pt>
              </numCache>
            </numRef>
          </val>
        </ser>
        <ser>
          <idx val="19"/>
          <order val="19"/>
          <tx>
            <strRef>
              <f>'BP 9_26 26'!$BA$1</f>
              <strCache>
                <ptCount val="1"/>
                <pt idx="0">
                  <v>19</v>
                </pt>
              </strCache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26'!$BA$2:$BA$3</f>
              <numCache>
                <formatCode>\$#,##0.00</formatCode>
                <ptCount val="2"/>
                <pt idx="0">
                  <v>0</v>
                </pt>
                <pt idx="1">
                  <v>25.94</v>
                </pt>
              </numCache>
            </numRef>
          </val>
        </ser>
        <ser>
          <idx val="20"/>
          <order val="20"/>
          <tx>
            <strRef>
              <f>'BP 9_26 26'!$BB$1</f>
              <strCache>
                <ptCount val="1"/>
                <pt idx="0">
                  <v>20</v>
                </pt>
              </strCache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>
              <a:solidFill>
                <a:srgbClr val="806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26'!$BB$2:$BB$3</f>
              <numCache>
                <formatCode>\$#,##0.00</formatCode>
                <ptCount val="2"/>
                <pt idx="0">
                  <v>0</v>
                </pt>
                <pt idx="1">
                  <v>71.78999999999999</v>
                </pt>
              </numCache>
            </numRef>
          </val>
        </ser>
        <ser>
          <idx val="21"/>
          <order val="21"/>
          <tx>
            <strRef>
              <f>'BP 9_26 26'!$BC$1</f>
              <strCache>
                <ptCount val="1"/>
                <pt idx="0">
                  <v>21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26'!$BC$2:$BC$3</f>
              <numCache>
                <formatCode>\$#,##0.00</formatCode>
                <ptCount val="2"/>
                <pt idx="0">
                  <v>0</v>
                </pt>
                <pt idx="1">
                  <v>127.81</v>
                </pt>
              </numCache>
            </numRef>
          </val>
        </ser>
        <ser>
          <idx val="22"/>
          <order val="22"/>
          <tx>
            <strRef>
              <f>'BP 9_26 26'!$BD$1</f>
              <strCache>
                <ptCount val="1"/>
                <pt idx="0">
                  <v>22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26'!$BD$2:$BD$3</f>
              <numCache>
                <formatCode>\$#,##0.00</formatCode>
                <ptCount val="2"/>
                <pt idx="0">
                  <v>0</v>
                </pt>
                <pt idx="1">
                  <v>29.22</v>
                </pt>
              </numCache>
            </numRef>
          </val>
        </ser>
        <ser>
          <idx val="23"/>
          <order val="23"/>
          <tx>
            <strRef>
              <f>'BP 9_26 26'!$BE$1</f>
              <strCache>
                <ptCount val="1"/>
                <pt idx="0">
                  <v>23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26'!$BE$2:$BE$3</f>
              <numCache>
                <formatCode>\$#,##0.00</formatCode>
                <ptCount val="2"/>
                <pt idx="0">
                  <v>0</v>
                </pt>
                <pt idx="1">
                  <v>30.54</v>
                </pt>
              </numCache>
            </numRef>
          </val>
        </ser>
        <ser>
          <idx val="24"/>
          <order val="24"/>
          <tx>
            <strRef>
              <f>'BP 9_26 26'!$BF$1</f>
              <strCache>
                <ptCount val="1"/>
                <pt idx="0">
                  <v>24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26'!$BF$2:$BF$3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5"/>
          <order val="25"/>
          <tx>
            <strRef>
              <f>'BP 9_26 26'!$BG$1</f>
              <strCache>
                <ptCount val="1"/>
                <pt idx="0">
                  <v>25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26'!$BG$2:$BG$3</f>
              <numCache>
                <formatCode>\$#,##0.00</formatCode>
                <ptCount val="2"/>
                <pt idx="0">
                  <v>0</v>
                </pt>
                <pt idx="1">
                  <v>14.38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None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Amount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Budget vs Category Spending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'BP 9_26w1 26'!$AH$1</f>
              <strCache>
                <ptCount val="1"/>
                <pt idx="0">
                  <v>Budget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26'!$AH$2:$AH$3</f>
              <numCache>
                <formatCode>\$#,##0.00</formatCode>
                <ptCount val="2"/>
                <pt idx="0">
                  <v>233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'BP 9_26w1 26'!$AI$1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26'!$AI$2:$AI$3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"/>
          <order val="2"/>
          <tx>
            <strRef>
              <f>'BP 9_26w1 26'!$AJ$1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26'!$AJ$2:$AJ$3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3"/>
          <order val="3"/>
          <tx>
            <strRef>
              <f>'BP 9_26w1 26'!$AK$1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26'!$AK$2:$AK$3</f>
              <numCache>
                <formatCode>\$#,##0.00</formatCode>
                <ptCount val="2"/>
                <pt idx="0">
                  <v>0</v>
                </pt>
                <pt idx="1">
                  <v>6.79</v>
                </pt>
              </numCache>
            </numRef>
          </val>
        </ser>
        <ser>
          <idx val="4"/>
          <order val="4"/>
          <tx>
            <strRef>
              <f>'BP 9_26w1 26'!$AL$1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26'!$AL$2:$AL$3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5"/>
          <order val="5"/>
          <tx>
            <strRef>
              <f>'BP 9_26w1 26'!$AM$1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26'!$AM$2:$AM$3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6"/>
          <order val="6"/>
          <tx>
            <strRef>
              <f>'BP 9_26w1 26'!$AN$1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255E91"/>
            </a:solidFill>
            <a:ln xmlns:a="http://schemas.openxmlformats.org/drawingml/2006/main">
              <a:solidFill>
                <a:srgbClr val="255E9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26'!$AN$2:$AN$3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7"/>
          <order val="7"/>
          <tx>
            <strRef>
              <f>'BP 9_26w1 26'!$AO$1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9E480E"/>
            </a:solidFill>
            <a:ln xmlns:a="http://schemas.openxmlformats.org/drawingml/2006/main">
              <a:solidFill>
                <a:srgbClr val="9E480E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26'!$AO$2:$AO$3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8"/>
          <order val="8"/>
          <tx>
            <strRef>
              <f>'BP 9_26w1 26'!$AP$1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636363"/>
            </a:solidFill>
            <a:ln xmlns:a="http://schemas.openxmlformats.org/drawingml/2006/main">
              <a:solidFill>
                <a:srgbClr val="636363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26'!$AP$2:$AP$3</f>
              <numCache>
                <formatCode>\$#,##0.00</formatCode>
                <ptCount val="2"/>
                <pt idx="0">
                  <v>0</v>
                </pt>
                <pt idx="1">
                  <v>26.16</v>
                </pt>
              </numCache>
            </numRef>
          </val>
        </ser>
        <ser>
          <idx val="9"/>
          <order val="9"/>
          <tx>
            <strRef>
              <f>'BP 9_26w1 26'!$AQ$1</f>
              <strCache>
                <ptCount val="1"/>
                <pt idx="0">
                  <v>9</v>
                </pt>
              </strCache>
            </strRef>
          </tx>
          <spPr>
            <a:solidFill xmlns:a="http://schemas.openxmlformats.org/drawingml/2006/main">
              <a:srgbClr val="997300"/>
            </a:solidFill>
            <a:ln xmlns:a="http://schemas.openxmlformats.org/drawingml/2006/main">
              <a:solidFill>
                <a:srgbClr val="9973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26'!$AQ$2:$AQ$3</f>
              <numCache>
                <formatCode>\$#,##0.00</formatCode>
                <ptCount val="2"/>
                <pt idx="0">
                  <v>0</v>
                </pt>
                <pt idx="1">
                  <v>29.75</v>
                </pt>
              </numCache>
            </numRef>
          </val>
        </ser>
        <ser>
          <idx val="10"/>
          <order val="10"/>
          <tx>
            <strRef>
              <f>'BP 9_26w1 26'!$AR$1</f>
              <strCache>
                <ptCount val="1"/>
                <pt idx="0">
                  <v>10</v>
                </pt>
              </strCache>
            </strRef>
          </tx>
          <spPr>
            <a:solidFill xmlns:a="http://schemas.openxmlformats.org/drawingml/2006/main">
              <a:srgbClr val="264478"/>
            </a:solidFill>
            <a:ln xmlns:a="http://schemas.openxmlformats.org/drawingml/2006/main">
              <a:solidFill>
                <a:srgbClr val="264478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26'!$AR$2:$AR$3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1"/>
          <order val="11"/>
          <tx>
            <strRef>
              <f>'BP 9_26w1 26'!$AS$1</f>
              <strCache>
                <ptCount val="1"/>
                <pt idx="0">
                  <v>11</v>
                </pt>
              </strCache>
            </strRef>
          </tx>
          <spPr>
            <a:solidFill xmlns:a="http://schemas.openxmlformats.org/drawingml/2006/main">
              <a:srgbClr val="43682B"/>
            </a:solidFill>
            <a:ln xmlns:a="http://schemas.openxmlformats.org/drawingml/2006/main">
              <a:solidFill>
                <a:srgbClr val="43682B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26'!$AS$2:$AS$3</f>
              <numCache>
                <formatCode>\$#,##0.00</formatCode>
                <ptCount val="2"/>
                <pt idx="0">
                  <v>0</v>
                </pt>
                <pt idx="1">
                  <v>1.87</v>
                </pt>
              </numCache>
            </numRef>
          </val>
        </ser>
        <ser>
          <idx val="12"/>
          <order val="12"/>
          <tx>
            <strRef>
              <f>'BP 9_26w1 26'!$AT$1</f>
              <strCache>
                <ptCount val="1"/>
                <pt idx="0">
                  <v>12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26'!$AT$2:$AT$3</f>
              <numCache>
                <formatCode>\$#,##0.00</formatCode>
                <ptCount val="2"/>
                <pt idx="0">
                  <v>0</v>
                </pt>
                <pt idx="1">
                  <v>52.9</v>
                </pt>
              </numCache>
            </numRef>
          </val>
        </ser>
        <ser>
          <idx val="13"/>
          <order val="13"/>
          <tx>
            <strRef>
              <f>'BP 9_26w1 26'!$AU$1</f>
              <strCache>
                <ptCount val="1"/>
                <pt idx="0">
                  <v>13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solidFill>
                <a:srgbClr val="4BACC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26'!$AU$2:$AU$3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4"/>
          <order val="14"/>
          <tx>
            <strRef>
              <f>'BP 9_26w1 26'!$AV$1</f>
              <strCache>
                <ptCount val="1"/>
                <pt idx="0">
                  <v>14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solidFill>
                <a:srgbClr val="F7964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26'!$AV$2:$AV$3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5"/>
          <order val="15"/>
          <tx>
            <strRef>
              <f>'BP 9_26w1 26'!$AW$1</f>
              <strCache>
                <ptCount val="1"/>
                <pt idx="0">
                  <v>15</v>
                </pt>
              </strCache>
            </strRef>
          </tx>
          <spPr>
            <a:solidFill xmlns:a="http://schemas.openxmlformats.org/drawingml/2006/main">
              <a:srgbClr val="92A9CF"/>
            </a:solidFill>
            <a:ln xmlns:a="http://schemas.openxmlformats.org/drawingml/2006/main">
              <a:solidFill>
                <a:srgbClr val="92A9C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26'!$AW$2:$AW$3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6"/>
          <order val="16"/>
          <tx>
            <strRef>
              <f>'BP 9_26w1 26'!$AX$1</f>
              <strCache>
                <ptCount val="1"/>
                <pt idx="0">
                  <v>16</v>
                </pt>
              </strCache>
            </strRef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solidFill>
                <a:srgbClr val="95B3D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26'!$AX$2:$AX$3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7"/>
          <order val="17"/>
          <tx>
            <strRef>
              <f>'BP 9_26w1 26'!$AY$1</f>
              <strCache>
                <ptCount val="1"/>
                <pt idx="0">
                  <v>17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26'!$AY$2:$AY$3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8"/>
          <order val="18"/>
          <tx>
            <strRef>
              <f>'BP 9_26w1 26'!$AZ$1</f>
              <strCache>
                <ptCount val="1"/>
                <pt idx="0">
                  <v>18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26'!$AZ$2:$AZ$3</f>
              <numCache>
                <formatCode>\$#,##0.00</formatCode>
                <ptCount val="2"/>
                <pt idx="0">
                  <v>0</v>
                </pt>
                <pt idx="1">
                  <v>18.57</v>
                </pt>
              </numCache>
            </numRef>
          </val>
        </ser>
        <ser>
          <idx val="19"/>
          <order val="19"/>
          <tx>
            <strRef>
              <f>'BP 9_26w1 26'!$BA$1</f>
              <strCache>
                <ptCount val="1"/>
                <pt idx="0">
                  <v>19</v>
                </pt>
              </strCache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26'!$BA$2:$BA$3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0"/>
          <order val="20"/>
          <tx>
            <strRef>
              <f>'BP 9_26w1 26'!$BB$1</f>
              <strCache>
                <ptCount val="1"/>
                <pt idx="0">
                  <v>20</v>
                </pt>
              </strCache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>
              <a:solidFill>
                <a:srgbClr val="806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26'!$BB$2:$BB$3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1"/>
          <order val="21"/>
          <tx>
            <strRef>
              <f>'BP 9_26w1 26'!$BC$1</f>
              <strCache>
                <ptCount val="1"/>
                <pt idx="0">
                  <v>21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26'!$BC$2:$BC$3</f>
              <numCache>
                <formatCode>\$#,##0.00</formatCode>
                <ptCount val="2"/>
                <pt idx="0">
                  <v>0</v>
                </pt>
                <pt idx="1">
                  <v>18.76</v>
                </pt>
              </numCache>
            </numRef>
          </val>
        </ser>
        <ser>
          <idx val="22"/>
          <order val="22"/>
          <tx>
            <strRef>
              <f>'BP 9_26w1 26'!$BD$1</f>
              <strCache>
                <ptCount val="1"/>
                <pt idx="0">
                  <v>22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26'!$BD$2:$BD$3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3"/>
          <order val="23"/>
          <tx>
            <strRef>
              <f>'BP 9_26w1 26'!$BE$1</f>
              <strCache>
                <ptCount val="1"/>
                <pt idx="0">
                  <v>23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26'!$BE$2:$BE$3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4"/>
          <order val="24"/>
          <tx>
            <strRef>
              <f>'BP 9_26w1 26'!$BF$1</f>
              <strCache>
                <ptCount val="1"/>
                <pt idx="0">
                  <v>24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26'!$BF$2:$BF$3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5"/>
          <order val="25"/>
          <tx>
            <strRef>
              <f>'BP 9_26w1 26'!$BG$1</f>
              <strCache>
                <ptCount val="1"/>
                <pt idx="0">
                  <v>25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26'!$BG$2:$BG$3</f>
              <numCache>
                <formatCode>\$#,##0.00</formatCode>
                <ptCount val="2"/>
                <pt idx="0">
                  <v>0</v>
                </pt>
                <pt idx="1">
                  <v>7.19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Budget vs Category Spending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'BP 9_26w2 26'!$AH$1</f>
              <strCache>
                <ptCount val="1"/>
                <pt idx="0">
                  <v>Budget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26'!$AH$2:$AH$3</f>
              <numCache>
                <formatCode>\$#,##0.00</formatCode>
                <ptCount val="2"/>
                <pt idx="0">
                  <v>326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'BP 9_26w2 26'!$AI$1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26'!$AI$2:$AI$3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"/>
          <order val="2"/>
          <tx>
            <strRef>
              <f>'BP 9_26w2 26'!$AJ$1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26'!$AJ$2:$AJ$3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3"/>
          <order val="3"/>
          <tx>
            <strRef>
              <f>'BP 9_26w2 26'!$AK$1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26'!$AK$2:$AK$3</f>
              <numCache>
                <formatCode>\$#,##0.00</formatCode>
                <ptCount val="2"/>
                <pt idx="0">
                  <v>0</v>
                </pt>
                <pt idx="1">
                  <v>15.77</v>
                </pt>
              </numCache>
            </numRef>
          </val>
        </ser>
        <ser>
          <idx val="4"/>
          <order val="4"/>
          <tx>
            <strRef>
              <f>'BP 9_26w2 26'!$AL$1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26'!$AL$2:$AL$3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5"/>
          <order val="5"/>
          <tx>
            <strRef>
              <f>'BP 9_26w2 26'!$AM$1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26'!$AM$2:$AM$3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6"/>
          <order val="6"/>
          <tx>
            <strRef>
              <f>'BP 9_26w2 26'!$AN$1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255E91"/>
            </a:solidFill>
            <a:ln xmlns:a="http://schemas.openxmlformats.org/drawingml/2006/main">
              <a:solidFill>
                <a:srgbClr val="255E9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26'!$AN$2:$AN$3</f>
              <numCache>
                <formatCode>\$#,##0.00</formatCode>
                <ptCount val="2"/>
                <pt idx="0">
                  <v>0</v>
                </pt>
                <pt idx="1">
                  <v>7.17</v>
                </pt>
              </numCache>
            </numRef>
          </val>
        </ser>
        <ser>
          <idx val="7"/>
          <order val="7"/>
          <tx>
            <strRef>
              <f>'BP 9_26w2 26'!$AO$1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9E480E"/>
            </a:solidFill>
            <a:ln xmlns:a="http://schemas.openxmlformats.org/drawingml/2006/main">
              <a:solidFill>
                <a:srgbClr val="9E480E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26'!$AO$2:$AO$3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8"/>
          <order val="8"/>
          <tx>
            <strRef>
              <f>'BP 9_26w2 26'!$AP$1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636363"/>
            </a:solidFill>
            <a:ln xmlns:a="http://schemas.openxmlformats.org/drawingml/2006/main">
              <a:solidFill>
                <a:srgbClr val="636363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26'!$AP$2:$AP$3</f>
              <numCache>
                <formatCode>\$#,##0.00</formatCode>
                <ptCount val="2"/>
                <pt idx="0">
                  <v>0</v>
                </pt>
                <pt idx="1">
                  <v>38.53</v>
                </pt>
              </numCache>
            </numRef>
          </val>
        </ser>
        <ser>
          <idx val="9"/>
          <order val="9"/>
          <tx>
            <strRef>
              <f>'BP 9_26w2 26'!$AQ$1</f>
              <strCache>
                <ptCount val="1"/>
                <pt idx="0">
                  <v>9</v>
                </pt>
              </strCache>
            </strRef>
          </tx>
          <spPr>
            <a:solidFill xmlns:a="http://schemas.openxmlformats.org/drawingml/2006/main">
              <a:srgbClr val="997300"/>
            </a:solidFill>
            <a:ln xmlns:a="http://schemas.openxmlformats.org/drawingml/2006/main">
              <a:solidFill>
                <a:srgbClr val="9973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26'!$AQ$2:$AQ$3</f>
              <numCache>
                <formatCode>\$#,##0.00</formatCode>
                <ptCount val="2"/>
                <pt idx="0">
                  <v>0</v>
                </pt>
                <pt idx="1">
                  <v>6.960000000000001</v>
                </pt>
              </numCache>
            </numRef>
          </val>
        </ser>
        <ser>
          <idx val="10"/>
          <order val="10"/>
          <tx>
            <strRef>
              <f>'BP 9_26w2 26'!$AR$1</f>
              <strCache>
                <ptCount val="1"/>
                <pt idx="0">
                  <v>10</v>
                </pt>
              </strCache>
            </strRef>
          </tx>
          <spPr>
            <a:solidFill xmlns:a="http://schemas.openxmlformats.org/drawingml/2006/main">
              <a:srgbClr val="264478"/>
            </a:solidFill>
            <a:ln xmlns:a="http://schemas.openxmlformats.org/drawingml/2006/main">
              <a:solidFill>
                <a:srgbClr val="264478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26'!$AR$2:$AR$3</f>
              <numCache>
                <formatCode>\$#,##0.00</formatCode>
                <ptCount val="2"/>
                <pt idx="0">
                  <v>0</v>
                </pt>
                <pt idx="1">
                  <v>3.32</v>
                </pt>
              </numCache>
            </numRef>
          </val>
        </ser>
        <ser>
          <idx val="11"/>
          <order val="11"/>
          <tx>
            <strRef>
              <f>'BP 9_26w2 26'!$AS$1</f>
              <strCache>
                <ptCount val="1"/>
                <pt idx="0">
                  <v>11</v>
                </pt>
              </strCache>
            </strRef>
          </tx>
          <spPr>
            <a:solidFill xmlns:a="http://schemas.openxmlformats.org/drawingml/2006/main">
              <a:srgbClr val="43682B"/>
            </a:solidFill>
            <a:ln xmlns:a="http://schemas.openxmlformats.org/drawingml/2006/main">
              <a:solidFill>
                <a:srgbClr val="43682B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26'!$AS$2:$AS$3</f>
              <numCache>
                <formatCode>\$#,##0.00</formatCode>
                <ptCount val="2"/>
                <pt idx="0">
                  <v>0</v>
                </pt>
                <pt idx="1">
                  <v>1.56</v>
                </pt>
              </numCache>
            </numRef>
          </val>
        </ser>
        <ser>
          <idx val="12"/>
          <order val="12"/>
          <tx>
            <strRef>
              <f>'BP 9_26w2 26'!$AT$1</f>
              <strCache>
                <ptCount val="1"/>
                <pt idx="0">
                  <v>12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26'!$AT$2:$AT$3</f>
              <numCache>
                <formatCode>\$#,##0.00</formatCode>
                <ptCount val="2"/>
                <pt idx="0">
                  <v>0</v>
                </pt>
                <pt idx="1">
                  <v>8</v>
                </pt>
              </numCache>
            </numRef>
          </val>
        </ser>
        <ser>
          <idx val="13"/>
          <order val="13"/>
          <tx>
            <strRef>
              <f>'BP 9_26w2 26'!$AU$1</f>
              <strCache>
                <ptCount val="1"/>
                <pt idx="0">
                  <v>13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solidFill>
                <a:srgbClr val="4BACC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26'!$AU$2:$AU$3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4"/>
          <order val="14"/>
          <tx>
            <strRef>
              <f>'BP 9_26w2 26'!$AV$1</f>
              <strCache>
                <ptCount val="1"/>
                <pt idx="0">
                  <v>14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solidFill>
                <a:srgbClr val="F7964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26'!$AV$2:$AV$3</f>
              <numCache>
                <formatCode>\$#,##0.00</formatCode>
                <ptCount val="2"/>
                <pt idx="0">
                  <v>0</v>
                </pt>
                <pt idx="1">
                  <v>12.78</v>
                </pt>
              </numCache>
            </numRef>
          </val>
        </ser>
        <ser>
          <idx val="15"/>
          <order val="15"/>
          <tx>
            <strRef>
              <f>'BP 9_26w2 26'!$AW$1</f>
              <strCache>
                <ptCount val="1"/>
                <pt idx="0">
                  <v>15</v>
                </pt>
              </strCache>
            </strRef>
          </tx>
          <spPr>
            <a:solidFill xmlns:a="http://schemas.openxmlformats.org/drawingml/2006/main">
              <a:srgbClr val="92A9CF"/>
            </a:solidFill>
            <a:ln xmlns:a="http://schemas.openxmlformats.org/drawingml/2006/main">
              <a:solidFill>
                <a:srgbClr val="92A9C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26'!$AW$2:$AW$3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6"/>
          <order val="16"/>
          <tx>
            <strRef>
              <f>'BP 9_26w2 26'!$AX$1</f>
              <strCache>
                <ptCount val="1"/>
                <pt idx="0">
                  <v>16</v>
                </pt>
              </strCache>
            </strRef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solidFill>
                <a:srgbClr val="95B3D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26'!$AX$2:$AX$3</f>
              <numCache>
                <formatCode>\$#,##0.00</formatCode>
                <ptCount val="2"/>
                <pt idx="0">
                  <v>0</v>
                </pt>
                <pt idx="1">
                  <v>104.83</v>
                </pt>
              </numCache>
            </numRef>
          </val>
        </ser>
        <ser>
          <idx val="17"/>
          <order val="17"/>
          <tx>
            <strRef>
              <f>'BP 9_26w2 26'!$AY$1</f>
              <strCache>
                <ptCount val="1"/>
                <pt idx="0">
                  <v>17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26'!$AY$2:$AY$3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8"/>
          <order val="18"/>
          <tx>
            <strRef>
              <f>'BP 9_26w2 26'!$AZ$1</f>
              <strCache>
                <ptCount val="1"/>
                <pt idx="0">
                  <v>18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26'!$AZ$2:$AZ$3</f>
              <numCache>
                <formatCode>\$#,##0.00</formatCode>
                <ptCount val="2"/>
                <pt idx="0">
                  <v>0</v>
                </pt>
                <pt idx="1">
                  <v>0.99</v>
                </pt>
              </numCache>
            </numRef>
          </val>
        </ser>
        <ser>
          <idx val="19"/>
          <order val="19"/>
          <tx>
            <strRef>
              <f>'BP 9_26w2 26'!$BA$1</f>
              <strCache>
                <ptCount val="1"/>
                <pt idx="0">
                  <v>19</v>
                </pt>
              </strCache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26'!$BA$2:$BA$3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0"/>
          <order val="20"/>
          <tx>
            <strRef>
              <f>'BP 9_26w2 26'!$BB$1</f>
              <strCache>
                <ptCount val="1"/>
                <pt idx="0">
                  <v>20</v>
                </pt>
              </strCache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>
              <a:solidFill>
                <a:srgbClr val="806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26'!$BB$2:$BB$3</f>
              <numCache>
                <formatCode>\$#,##0.00</formatCode>
                <ptCount val="2"/>
                <pt idx="0">
                  <v>0</v>
                </pt>
                <pt idx="1">
                  <v>69.19999999999999</v>
                </pt>
              </numCache>
            </numRef>
          </val>
        </ser>
        <ser>
          <idx val="21"/>
          <order val="21"/>
          <tx>
            <strRef>
              <f>'BP 9_26w2 26'!$BC$1</f>
              <strCache>
                <ptCount val="1"/>
                <pt idx="0">
                  <v>21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26'!$BC$2:$BC$3</f>
              <numCache>
                <formatCode>\$#,##0.00</formatCode>
                <ptCount val="2"/>
                <pt idx="0">
                  <v>0</v>
                </pt>
                <pt idx="1">
                  <v>46.66</v>
                </pt>
              </numCache>
            </numRef>
          </val>
        </ser>
        <ser>
          <idx val="22"/>
          <order val="22"/>
          <tx>
            <strRef>
              <f>'BP 9_26w2 26'!$BD$1</f>
              <strCache>
                <ptCount val="1"/>
                <pt idx="0">
                  <v>22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26'!$BD$2:$BD$3</f>
              <numCache>
                <formatCode>\$#,##0.00</formatCode>
                <ptCount val="2"/>
                <pt idx="0">
                  <v>0</v>
                </pt>
                <pt idx="1">
                  <v>6.97</v>
                </pt>
              </numCache>
            </numRef>
          </val>
        </ser>
        <ser>
          <idx val="23"/>
          <order val="23"/>
          <tx>
            <strRef>
              <f>'BP 9_26w2 26'!$BE$1</f>
              <strCache>
                <ptCount val="1"/>
                <pt idx="0">
                  <v>23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26'!$BE$2:$BE$3</f>
              <numCache>
                <formatCode>\$#,##0.00</formatCode>
                <ptCount val="2"/>
                <pt idx="0">
                  <v>0</v>
                </pt>
                <pt idx="1">
                  <v>3.89</v>
                </pt>
              </numCache>
            </numRef>
          </val>
        </ser>
        <ser>
          <idx val="24"/>
          <order val="24"/>
          <tx>
            <strRef>
              <f>'BP 9_26w2 26'!$BF$1</f>
              <strCache>
                <ptCount val="1"/>
                <pt idx="0">
                  <v>24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26'!$BF$2:$BF$3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5"/>
          <order val="25"/>
          <tx>
            <strRef>
              <f>'BP 9_26w2 26'!$BG$1</f>
              <strCache>
                <ptCount val="1"/>
                <pt idx="0">
                  <v>25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26'!$BG$2:$BG$3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Budget vs Category Spending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'BP 9_26w3 26'!$AH$1</f>
              <strCache>
                <ptCount val="1"/>
                <pt idx="0">
                  <v>Budget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26'!$AH$2:$AH$3</f>
              <numCache>
                <formatCode>\$#,##0.00</formatCode>
                <ptCount val="2"/>
                <pt idx="0">
                  <v>326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'BP 9_26w3 26'!$AI$1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26'!$AI$2:$AI$3</f>
              <numCache>
                <formatCode>\$#,##0.00</formatCode>
                <ptCount val="2"/>
                <pt idx="0">
                  <v>0</v>
                </pt>
                <pt idx="1">
                  <v>17.87</v>
                </pt>
              </numCache>
            </numRef>
          </val>
        </ser>
        <ser>
          <idx val="2"/>
          <order val="2"/>
          <tx>
            <strRef>
              <f>'BP 9_26w3 26'!$AJ$1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26'!$AJ$2:$AJ$3</f>
              <numCache>
                <formatCode>\$#,##0.00</formatCode>
                <ptCount val="2"/>
                <pt idx="0">
                  <v>0</v>
                </pt>
                <pt idx="1">
                  <v>12.99</v>
                </pt>
              </numCache>
            </numRef>
          </val>
        </ser>
        <ser>
          <idx val="3"/>
          <order val="3"/>
          <tx>
            <strRef>
              <f>'BP 9_26w3 26'!$AK$1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26'!$AK$2:$AK$3</f>
              <numCache>
                <formatCode>\$#,##0.00</formatCode>
                <ptCount val="2"/>
                <pt idx="0">
                  <v>0</v>
                </pt>
                <pt idx="1">
                  <v>9.25</v>
                </pt>
              </numCache>
            </numRef>
          </val>
        </ser>
        <ser>
          <idx val="4"/>
          <order val="4"/>
          <tx>
            <strRef>
              <f>'BP 9_26w3 26'!$AL$1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26'!$AL$2:$AL$3</f>
              <numCache>
                <formatCode>\$#,##0.00</formatCode>
                <ptCount val="2"/>
                <pt idx="0">
                  <v>0</v>
                </pt>
                <pt idx="1">
                  <v>3.99</v>
                </pt>
              </numCache>
            </numRef>
          </val>
        </ser>
        <ser>
          <idx val="5"/>
          <order val="5"/>
          <tx>
            <strRef>
              <f>'BP 9_26w3 26'!$AM$1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26'!$AM$2:$AM$3</f>
              <numCache>
                <formatCode>\$#,##0.00</formatCode>
                <ptCount val="2"/>
                <pt idx="0">
                  <v>0</v>
                </pt>
                <pt idx="1">
                  <v>19.48</v>
                </pt>
              </numCache>
            </numRef>
          </val>
        </ser>
        <ser>
          <idx val="6"/>
          <order val="6"/>
          <tx>
            <strRef>
              <f>'BP 9_26w3 26'!$AN$1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255E91"/>
            </a:solidFill>
            <a:ln xmlns:a="http://schemas.openxmlformats.org/drawingml/2006/main">
              <a:solidFill>
                <a:srgbClr val="255E9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26'!$AN$2:$AN$3</f>
              <numCache>
                <formatCode>\$#,##0.00</formatCode>
                <ptCount val="2"/>
                <pt idx="0">
                  <v>0</v>
                </pt>
                <pt idx="1">
                  <v>13.91</v>
                </pt>
              </numCache>
            </numRef>
          </val>
        </ser>
        <ser>
          <idx val="7"/>
          <order val="7"/>
          <tx>
            <strRef>
              <f>'BP 9_26w3 26'!$AO$1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9E480E"/>
            </a:solidFill>
            <a:ln xmlns:a="http://schemas.openxmlformats.org/drawingml/2006/main">
              <a:solidFill>
                <a:srgbClr val="9E480E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26'!$AO$2:$AO$3</f>
              <numCache>
                <formatCode>\$#,##0.00</formatCode>
                <ptCount val="2"/>
                <pt idx="0">
                  <v>0</v>
                </pt>
                <pt idx="1">
                  <v>-144.14</v>
                </pt>
              </numCache>
            </numRef>
          </val>
        </ser>
        <ser>
          <idx val="8"/>
          <order val="8"/>
          <tx>
            <strRef>
              <f>'BP 9_26w3 26'!$AP$1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636363"/>
            </a:solidFill>
            <a:ln xmlns:a="http://schemas.openxmlformats.org/drawingml/2006/main">
              <a:solidFill>
                <a:srgbClr val="636363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26'!$AP$2:$AP$3</f>
              <numCache>
                <formatCode>\$#,##0.00</formatCode>
                <ptCount val="2"/>
                <pt idx="0">
                  <v>0</v>
                </pt>
                <pt idx="1">
                  <v>73.19</v>
                </pt>
              </numCache>
            </numRef>
          </val>
        </ser>
        <ser>
          <idx val="9"/>
          <order val="9"/>
          <tx>
            <strRef>
              <f>'BP 9_26w3 26'!$AQ$1</f>
              <strCache>
                <ptCount val="1"/>
                <pt idx="0">
                  <v>9</v>
                </pt>
              </strCache>
            </strRef>
          </tx>
          <spPr>
            <a:solidFill xmlns:a="http://schemas.openxmlformats.org/drawingml/2006/main">
              <a:srgbClr val="997300"/>
            </a:solidFill>
            <a:ln xmlns:a="http://schemas.openxmlformats.org/drawingml/2006/main">
              <a:solidFill>
                <a:srgbClr val="9973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26'!$AQ$2:$AQ$3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0"/>
          <order val="10"/>
          <tx>
            <strRef>
              <f>'BP 9_26w3 26'!$AR$1</f>
              <strCache>
                <ptCount val="1"/>
                <pt idx="0">
                  <v>10</v>
                </pt>
              </strCache>
            </strRef>
          </tx>
          <spPr>
            <a:solidFill xmlns:a="http://schemas.openxmlformats.org/drawingml/2006/main">
              <a:srgbClr val="264478"/>
            </a:solidFill>
            <a:ln xmlns:a="http://schemas.openxmlformats.org/drawingml/2006/main">
              <a:solidFill>
                <a:srgbClr val="264478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26'!$AR$2:$AR$3</f>
              <numCache>
                <formatCode>\$#,##0.00</formatCode>
                <ptCount val="2"/>
                <pt idx="0">
                  <v>0</v>
                </pt>
                <pt idx="1">
                  <v>4.88</v>
                </pt>
              </numCache>
            </numRef>
          </val>
        </ser>
        <ser>
          <idx val="11"/>
          <order val="11"/>
          <tx>
            <strRef>
              <f>'BP 9_26w3 26'!$AS$1</f>
              <strCache>
                <ptCount val="1"/>
                <pt idx="0">
                  <v>11</v>
                </pt>
              </strCache>
            </strRef>
          </tx>
          <spPr>
            <a:solidFill xmlns:a="http://schemas.openxmlformats.org/drawingml/2006/main">
              <a:srgbClr val="43682B"/>
            </a:solidFill>
            <a:ln xmlns:a="http://schemas.openxmlformats.org/drawingml/2006/main">
              <a:solidFill>
                <a:srgbClr val="43682B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26'!$AS$2:$AS$3</f>
              <numCache>
                <formatCode>\$#,##0.00</formatCode>
                <ptCount val="2"/>
                <pt idx="0">
                  <v>0</v>
                </pt>
                <pt idx="1">
                  <v>27.26</v>
                </pt>
              </numCache>
            </numRef>
          </val>
        </ser>
        <ser>
          <idx val="12"/>
          <order val="12"/>
          <tx>
            <strRef>
              <f>'BP 9_26w3 26'!$AT$1</f>
              <strCache>
                <ptCount val="1"/>
                <pt idx="0">
                  <v>12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26'!$AT$2:$AT$3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3"/>
          <order val="13"/>
          <tx>
            <strRef>
              <f>'BP 9_26w3 26'!$AU$1</f>
              <strCache>
                <ptCount val="1"/>
                <pt idx="0">
                  <v>13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solidFill>
                <a:srgbClr val="4BACC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26'!$AU$2:$AU$3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4"/>
          <order val="14"/>
          <tx>
            <strRef>
              <f>'BP 9_26w3 26'!$AV$1</f>
              <strCache>
                <ptCount val="1"/>
                <pt idx="0">
                  <v>14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solidFill>
                <a:srgbClr val="F7964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26'!$AV$2:$AV$3</f>
              <numCache>
                <formatCode>\$#,##0.00</formatCode>
                <ptCount val="2"/>
                <pt idx="0">
                  <v>0</v>
                </pt>
                <pt idx="1">
                  <v>1.27</v>
                </pt>
              </numCache>
            </numRef>
          </val>
        </ser>
        <ser>
          <idx val="15"/>
          <order val="15"/>
          <tx>
            <strRef>
              <f>'BP 9_26w3 26'!$AW$1</f>
              <strCache>
                <ptCount val="1"/>
                <pt idx="0">
                  <v>15</v>
                </pt>
              </strCache>
            </strRef>
          </tx>
          <spPr>
            <a:solidFill xmlns:a="http://schemas.openxmlformats.org/drawingml/2006/main">
              <a:srgbClr val="92A9CF"/>
            </a:solidFill>
            <a:ln xmlns:a="http://schemas.openxmlformats.org/drawingml/2006/main">
              <a:solidFill>
                <a:srgbClr val="92A9C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26'!$AW$2:$AW$3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6"/>
          <order val="16"/>
          <tx>
            <strRef>
              <f>'BP 9_26w3 26'!$AX$1</f>
              <strCache>
                <ptCount val="1"/>
                <pt idx="0">
                  <v>16</v>
                </pt>
              </strCache>
            </strRef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solidFill>
                <a:srgbClr val="95B3D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26'!$AX$2:$AX$3</f>
              <numCache>
                <formatCode>\$#,##0.00</formatCode>
                <ptCount val="2"/>
                <pt idx="0">
                  <v>0</v>
                </pt>
                <pt idx="1">
                  <v>5.74</v>
                </pt>
              </numCache>
            </numRef>
          </val>
        </ser>
        <ser>
          <idx val="17"/>
          <order val="17"/>
          <tx>
            <strRef>
              <f>'BP 9_26w3 26'!$AY$1</f>
              <strCache>
                <ptCount val="1"/>
                <pt idx="0">
                  <v>17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26'!$AY$2:$AY$3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8"/>
          <order val="18"/>
          <tx>
            <strRef>
              <f>'BP 9_26w3 26'!$AZ$1</f>
              <strCache>
                <ptCount val="1"/>
                <pt idx="0">
                  <v>18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26'!$AZ$2:$AZ$3</f>
              <numCache>
                <formatCode>\$#,##0.00</formatCode>
                <ptCount val="2"/>
                <pt idx="0">
                  <v>0</v>
                </pt>
                <pt idx="1">
                  <v>57.37</v>
                </pt>
              </numCache>
            </numRef>
          </val>
        </ser>
        <ser>
          <idx val="19"/>
          <order val="19"/>
          <tx>
            <strRef>
              <f>'BP 9_26w3 26'!$BA$1</f>
              <strCache>
                <ptCount val="1"/>
                <pt idx="0">
                  <v>19</v>
                </pt>
              </strCache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26'!$BA$2:$BA$3</f>
              <numCache>
                <formatCode>\$#,##0.00</formatCode>
                <ptCount val="2"/>
                <pt idx="0">
                  <v>0</v>
                </pt>
                <pt idx="1">
                  <v>25.94</v>
                </pt>
              </numCache>
            </numRef>
          </val>
        </ser>
        <ser>
          <idx val="20"/>
          <order val="20"/>
          <tx>
            <strRef>
              <f>'BP 9_26w3 26'!$BB$1</f>
              <strCache>
                <ptCount val="1"/>
                <pt idx="0">
                  <v>20</v>
                </pt>
              </strCache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>
              <a:solidFill>
                <a:srgbClr val="806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26'!$BB$2:$BB$3</f>
              <numCache>
                <formatCode>\$#,##0.00</formatCode>
                <ptCount val="2"/>
                <pt idx="0">
                  <v>0</v>
                </pt>
                <pt idx="1">
                  <v>2.59</v>
                </pt>
              </numCache>
            </numRef>
          </val>
        </ser>
        <ser>
          <idx val="21"/>
          <order val="21"/>
          <tx>
            <strRef>
              <f>'BP 9_26w3 26'!$BC$1</f>
              <strCache>
                <ptCount val="1"/>
                <pt idx="0">
                  <v>21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26'!$BC$2:$BC$3</f>
              <numCache>
                <formatCode>\$#,##0.00</formatCode>
                <ptCount val="2"/>
                <pt idx="0">
                  <v>0</v>
                </pt>
                <pt idx="1">
                  <v>62.38999999999999</v>
                </pt>
              </numCache>
            </numRef>
          </val>
        </ser>
        <ser>
          <idx val="22"/>
          <order val="22"/>
          <tx>
            <strRef>
              <f>'BP 9_26w3 26'!$BD$1</f>
              <strCache>
                <ptCount val="1"/>
                <pt idx="0">
                  <v>22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26'!$BD$2:$BD$3</f>
              <numCache>
                <formatCode>\$#,##0.00</formatCode>
                <ptCount val="2"/>
                <pt idx="0">
                  <v>0</v>
                </pt>
                <pt idx="1">
                  <v>22.25</v>
                </pt>
              </numCache>
            </numRef>
          </val>
        </ser>
        <ser>
          <idx val="23"/>
          <order val="23"/>
          <tx>
            <strRef>
              <f>'BP 9_26w3 26'!$BE$1</f>
              <strCache>
                <ptCount val="1"/>
                <pt idx="0">
                  <v>23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26'!$BE$2:$BE$3</f>
              <numCache>
                <formatCode>\$#,##0.00</formatCode>
                <ptCount val="2"/>
                <pt idx="0">
                  <v>0</v>
                </pt>
                <pt idx="1">
                  <v>26.65</v>
                </pt>
              </numCache>
            </numRef>
          </val>
        </ser>
        <ser>
          <idx val="24"/>
          <order val="24"/>
          <tx>
            <strRef>
              <f>'BP 9_26w3 26'!$BF$1</f>
              <strCache>
                <ptCount val="1"/>
                <pt idx="0">
                  <v>24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26'!$BF$2:$BF$3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5"/>
          <order val="25"/>
          <tx>
            <strRef>
              <f>'BP 9_26w3 26'!$BG$1</f>
              <strCache>
                <ptCount val="1"/>
                <pt idx="0">
                  <v>25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26'!$BG$2:$BG$3</f>
              <numCache>
                <formatCode>\$#,##0.00</formatCode>
                <ptCount val="2"/>
                <pt idx="0">
                  <v>0</v>
                </pt>
                <pt idx="1">
                  <v>7.19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Budget vs Category Spending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'BP 9_26w4 26'!$AH$1</f>
              <strCache>
                <ptCount val="1"/>
                <pt idx="0">
                  <v>Budget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26'!$AH$2:$AH$3</f>
              <numCache>
                <formatCode>\$#,##0.00</formatCode>
                <ptCount val="2"/>
                <pt idx="0">
                  <v>326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'BP 9_26w4 26'!$AI$1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26'!$AI$2:$AI$3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"/>
          <order val="2"/>
          <tx>
            <strRef>
              <f>'BP 9_26w4 26'!$AJ$1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26'!$AJ$2:$AJ$3</f>
              <numCache>
                <formatCode>\$#,##0.00</formatCode>
                <ptCount val="2"/>
                <pt idx="0">
                  <v>0</v>
                </pt>
                <pt idx="1">
                  <v>46.79</v>
                </pt>
              </numCache>
            </numRef>
          </val>
        </ser>
        <ser>
          <idx val="3"/>
          <order val="3"/>
          <tx>
            <strRef>
              <f>'BP 9_26w4 26'!$AK$1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26'!$AK$2:$AK$3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4"/>
          <order val="4"/>
          <tx>
            <strRef>
              <f>'BP 9_26w4 26'!$AL$1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26'!$AL$2:$AL$3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5"/>
          <order val="5"/>
          <tx>
            <strRef>
              <f>'BP 9_26w4 26'!$AM$1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26'!$AM$2:$AM$3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6"/>
          <order val="6"/>
          <tx>
            <strRef>
              <f>'BP 9_26w4 26'!$AN$1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255E91"/>
            </a:solidFill>
            <a:ln xmlns:a="http://schemas.openxmlformats.org/drawingml/2006/main">
              <a:solidFill>
                <a:srgbClr val="255E9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26'!$AN$2:$AN$3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7"/>
          <order val="7"/>
          <tx>
            <strRef>
              <f>'BP 9_26w4 26'!$AO$1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9E480E"/>
            </a:solidFill>
            <a:ln xmlns:a="http://schemas.openxmlformats.org/drawingml/2006/main">
              <a:solidFill>
                <a:srgbClr val="9E480E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26'!$AO$2:$AO$3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8"/>
          <order val="8"/>
          <tx>
            <strRef>
              <f>'BP 9_26w4 26'!$AP$1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636363"/>
            </a:solidFill>
            <a:ln xmlns:a="http://schemas.openxmlformats.org/drawingml/2006/main">
              <a:solidFill>
                <a:srgbClr val="636363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26'!$AP$2:$AP$3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9"/>
          <order val="9"/>
          <tx>
            <strRef>
              <f>'BP 9_26w4 26'!$AQ$1</f>
              <strCache>
                <ptCount val="1"/>
                <pt idx="0">
                  <v>9</v>
                </pt>
              </strCache>
            </strRef>
          </tx>
          <spPr>
            <a:solidFill xmlns:a="http://schemas.openxmlformats.org/drawingml/2006/main">
              <a:srgbClr val="997300"/>
            </a:solidFill>
            <a:ln xmlns:a="http://schemas.openxmlformats.org/drawingml/2006/main">
              <a:solidFill>
                <a:srgbClr val="9973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26'!$AQ$2:$AQ$3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0"/>
          <order val="10"/>
          <tx>
            <strRef>
              <f>'BP 9_26w4 26'!$AR$1</f>
              <strCache>
                <ptCount val="1"/>
                <pt idx="0">
                  <v>10</v>
                </pt>
              </strCache>
            </strRef>
          </tx>
          <spPr>
            <a:solidFill xmlns:a="http://schemas.openxmlformats.org/drawingml/2006/main">
              <a:srgbClr val="264478"/>
            </a:solidFill>
            <a:ln xmlns:a="http://schemas.openxmlformats.org/drawingml/2006/main">
              <a:solidFill>
                <a:srgbClr val="264478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26'!$AR$2:$AR$3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1"/>
          <order val="11"/>
          <tx>
            <strRef>
              <f>'BP 9_26w4 26'!$AS$1</f>
              <strCache>
                <ptCount val="1"/>
                <pt idx="0">
                  <v>11</v>
                </pt>
              </strCache>
            </strRef>
          </tx>
          <spPr>
            <a:solidFill xmlns:a="http://schemas.openxmlformats.org/drawingml/2006/main">
              <a:srgbClr val="43682B"/>
            </a:solidFill>
            <a:ln xmlns:a="http://schemas.openxmlformats.org/drawingml/2006/main">
              <a:solidFill>
                <a:srgbClr val="43682B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26'!$AS$2:$AS$3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2"/>
          <order val="12"/>
          <tx>
            <strRef>
              <f>'BP 9_26w4 26'!$AT$1</f>
              <strCache>
                <ptCount val="1"/>
                <pt idx="0">
                  <v>12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26'!$AT$2:$AT$3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3"/>
          <order val="13"/>
          <tx>
            <strRef>
              <f>'BP 9_26w4 26'!$AU$1</f>
              <strCache>
                <ptCount val="1"/>
                <pt idx="0">
                  <v>13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solidFill>
                <a:srgbClr val="4BACC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26'!$AU$2:$AU$3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4"/>
          <order val="14"/>
          <tx>
            <strRef>
              <f>'BP 9_26w4 26'!$AV$1</f>
              <strCache>
                <ptCount val="1"/>
                <pt idx="0">
                  <v>14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solidFill>
                <a:srgbClr val="F7964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26'!$AV$2:$AV$3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5"/>
          <order val="15"/>
          <tx>
            <strRef>
              <f>'BP 9_26w4 26'!$AW$1</f>
              <strCache>
                <ptCount val="1"/>
                <pt idx="0">
                  <v>15</v>
                </pt>
              </strCache>
            </strRef>
          </tx>
          <spPr>
            <a:solidFill xmlns:a="http://schemas.openxmlformats.org/drawingml/2006/main">
              <a:srgbClr val="92A9CF"/>
            </a:solidFill>
            <a:ln xmlns:a="http://schemas.openxmlformats.org/drawingml/2006/main">
              <a:solidFill>
                <a:srgbClr val="92A9C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26'!$AW$2:$AW$3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6"/>
          <order val="16"/>
          <tx>
            <strRef>
              <f>'BP 9_26w4 26'!$AX$1</f>
              <strCache>
                <ptCount val="1"/>
                <pt idx="0">
                  <v>16</v>
                </pt>
              </strCache>
            </strRef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solidFill>
                <a:srgbClr val="95B3D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26'!$AX$2:$AX$3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7"/>
          <order val="17"/>
          <tx>
            <strRef>
              <f>'BP 9_26w4 26'!$AY$1</f>
              <strCache>
                <ptCount val="1"/>
                <pt idx="0">
                  <v>17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26'!$AY$2:$AY$3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8"/>
          <order val="18"/>
          <tx>
            <strRef>
              <f>'BP 9_26w4 26'!$AZ$1</f>
              <strCache>
                <ptCount val="1"/>
                <pt idx="0">
                  <v>18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26'!$AZ$2:$AZ$3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9"/>
          <order val="19"/>
          <tx>
            <strRef>
              <f>'BP 9_26w4 26'!$BA$1</f>
              <strCache>
                <ptCount val="1"/>
                <pt idx="0">
                  <v>19</v>
                </pt>
              </strCache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26'!$BA$2:$BA$3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0"/>
          <order val="20"/>
          <tx>
            <strRef>
              <f>'BP 9_26w4 26'!$BB$1</f>
              <strCache>
                <ptCount val="1"/>
                <pt idx="0">
                  <v>20</v>
                </pt>
              </strCache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>
              <a:solidFill>
                <a:srgbClr val="806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26'!$BB$2:$BB$3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1"/>
          <order val="21"/>
          <tx>
            <strRef>
              <f>'BP 9_26w4 26'!$BC$1</f>
              <strCache>
                <ptCount val="1"/>
                <pt idx="0">
                  <v>21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26'!$BC$2:$BC$3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2"/>
          <order val="22"/>
          <tx>
            <strRef>
              <f>'BP 9_26w4 26'!$BD$1</f>
              <strCache>
                <ptCount val="1"/>
                <pt idx="0">
                  <v>22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26'!$BD$2:$BD$3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3"/>
          <order val="23"/>
          <tx>
            <strRef>
              <f>'BP 9_26w4 26'!$BE$1</f>
              <strCache>
                <ptCount val="1"/>
                <pt idx="0">
                  <v>23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26'!$BE$2:$BE$3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4"/>
          <order val="24"/>
          <tx>
            <strRef>
              <f>'BP 9_26w4 26'!$BF$1</f>
              <strCache>
                <ptCount val="1"/>
                <pt idx="0">
                  <v>24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26'!$BF$2:$BF$3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5"/>
          <order val="25"/>
          <tx>
            <strRef>
              <f>'BP 9_26w4 26'!$BG$1</f>
              <strCache>
                <ptCount val="1"/>
                <pt idx="0">
                  <v>25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26'!$BG$2:$BG$3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9180000" cy="52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43</row>
      <rowOff>0</rowOff>
    </from>
    <ext cx="9180000" cy="52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79</row>
      <rowOff>0</rowOff>
    </from>
    <ext cx="9180000" cy="52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115</row>
      <rowOff>0</rowOff>
    </from>
    <ext cx="9180000" cy="59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151</row>
      <rowOff>0</rowOff>
    </from>
    <ext cx="9180000" cy="52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187</row>
      <rowOff>0</rowOff>
    </from>
    <ext cx="9180000" cy="59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223</row>
      <rowOff>0</rowOff>
    </from>
    <ext cx="9180000" cy="52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9180000" cy="52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43</row>
      <rowOff>0</rowOff>
    </from>
    <ext cx="9180000" cy="52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103</row>
      <rowOff>0</rowOff>
    </from>
    <ext cx="9180000" cy="52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139</row>
      <rowOff>0</rowOff>
    </from>
    <ext cx="9180000" cy="59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199</row>
      <rowOff>0</rowOff>
    </from>
    <ext cx="9180000" cy="52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235</row>
      <rowOff>0</rowOff>
    </from>
    <ext cx="9180000" cy="59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271</row>
      <rowOff>0</rowOff>
    </from>
    <ext cx="9180000" cy="52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6"/>
  <sheetViews>
    <sheetView tabSelected="1" topLeftCell="E1" workbookViewId="0">
      <pane ySplit="1" topLeftCell="A2" activePane="bottomLeft" state="frozen"/>
      <selection pane="bottomLeft" activeCell="L275" sqref="L275"/>
    </sheetView>
  </sheetViews>
  <sheetFormatPr baseColWidth="10" defaultColWidth="8.83203125" defaultRowHeight="15"/>
  <cols>
    <col width="14" customWidth="1" style="65" min="1" max="1"/>
    <col width="3" customWidth="1" style="65" min="2" max="2"/>
    <col width="18" customWidth="1" style="65" min="3" max="4"/>
    <col width="18" customWidth="1" style="65" min="4" max="4"/>
    <col width="34" customWidth="1" style="65" min="5" max="5"/>
    <col width="14" customWidth="1" style="65" min="6" max="6"/>
    <col width="16" customWidth="1" style="65" min="7" max="7"/>
    <col width="28" bestFit="1" customWidth="1" style="65" min="8" max="8"/>
    <col width="22" customWidth="1" style="65" min="9" max="9"/>
    <col width="14" customWidth="1" style="65" min="10" max="21"/>
    <col width="14" customWidth="1" style="65" min="11" max="11"/>
    <col width="14" customWidth="1" style="65" min="12" max="12"/>
    <col width="14" customWidth="1" style="65" min="13" max="13"/>
    <col width="14" customWidth="1" style="65" min="14" max="14"/>
    <col width="14" customWidth="1" style="65" min="15" max="15"/>
    <col width="14" customWidth="1" style="65" min="16" max="16"/>
    <col width="14" customWidth="1" style="65" min="17" max="17"/>
    <col width="14" customWidth="1" style="65" min="18" max="18"/>
    <col width="14" customWidth="1" style="65" min="19" max="19"/>
    <col width="14" customWidth="1" style="65" min="20" max="20"/>
    <col width="14" customWidth="1" style="65" min="21" max="21"/>
  </cols>
  <sheetData>
    <row r="1">
      <c r="A1" s="84" t="inlineStr">
        <is>
          <t>Total</t>
        </is>
      </c>
      <c r="B1" s="84" t="n"/>
      <c r="C1" s="84" t="inlineStr">
        <is>
          <t>Store</t>
        </is>
      </c>
      <c r="D1" s="84" t="inlineStr">
        <is>
          <t>Six-Digit SKU</t>
        </is>
      </c>
      <c r="E1" s="84" t="inlineStr">
        <is>
          <t>Product</t>
        </is>
      </c>
      <c r="F1" s="84" t="inlineStr">
        <is>
          <t>Tax Code</t>
        </is>
      </c>
      <c r="G1" s="84" t="inlineStr">
        <is>
          <t>Store Number</t>
        </is>
      </c>
      <c r="H1" s="84" t="inlineStr">
        <is>
          <t>Common Name</t>
        </is>
      </c>
      <c r="I1" s="84" t="inlineStr">
        <is>
          <t>Sub-Category</t>
        </is>
      </c>
      <c r="J1" s="84" t="inlineStr">
        <is>
          <t>Date 1</t>
        </is>
      </c>
      <c r="K1" s="84" t="inlineStr">
        <is>
          <t>Price 1</t>
        </is>
      </c>
      <c r="L1" s="84" t="inlineStr">
        <is>
          <t>Date 2</t>
        </is>
      </c>
      <c r="M1" s="84" t="inlineStr">
        <is>
          <t>Price 2</t>
        </is>
      </c>
      <c r="N1" s="84" t="inlineStr">
        <is>
          <t>Date 3</t>
        </is>
      </c>
      <c r="O1" s="84" t="inlineStr">
        <is>
          <t>Price 3</t>
        </is>
      </c>
      <c r="P1" s="84" t="inlineStr">
        <is>
          <t>Date 4</t>
        </is>
      </c>
      <c r="Q1" s="84" t="inlineStr">
        <is>
          <t>Price 4</t>
        </is>
      </c>
      <c r="R1" s="84" t="inlineStr">
        <is>
          <t>Date 5</t>
        </is>
      </c>
      <c r="S1" s="84" t="inlineStr">
        <is>
          <t>Price 5</t>
        </is>
      </c>
      <c r="T1" s="84" t="inlineStr">
        <is>
          <t>Date 6</t>
        </is>
      </c>
      <c r="U1" s="84" t="inlineStr">
        <is>
          <t>Price 6</t>
        </is>
      </c>
    </row>
    <row r="2" s="65">
      <c r="A2" s="1">
        <f>SUM(K2,M2,O2,Q2,S2,U2)</f>
        <v/>
      </c>
      <c r="C2" t="inlineStr">
        <is>
          <t>Walmart</t>
        </is>
      </c>
      <c r="D2" t="inlineStr">
        <is>
          <t>NA</t>
        </is>
      </c>
      <c r="E2" t="inlineStr">
        <is>
          <t>GHIRARDELLI Gluten Free Double Chocolate Brownie Mix, Gluten Free Baking Mix, Includes Chocolate Chips, 18 oz Box 20 shopped Qty1</t>
        </is>
      </c>
      <c r="F2" t="inlineStr">
        <is>
          <t>NA</t>
        </is>
      </c>
      <c r="G2" t="inlineStr">
        <is>
          <t>0</t>
        </is>
      </c>
      <c r="H2" t="inlineStr">
        <is>
          <t>Ghirardelli Gluten-Free Double Chocolate Brownie Mix</t>
        </is>
      </c>
      <c r="I2" t="inlineStr">
        <is>
          <t>Baking Mixes</t>
        </is>
      </c>
      <c r="J2" s="2" t="n">
        <v>46240</v>
      </c>
      <c r="K2" s="1" t="n">
        <v>6.67</v>
      </c>
    </row>
    <row r="3" s="65">
      <c r="A3" s="1">
        <f>SUM(K3,M3,O3,Q3,S3,U3)</f>
        <v/>
      </c>
      <c r="C3" t="inlineStr">
        <is>
          <t>Walmart</t>
        </is>
      </c>
      <c r="D3" t="inlineStr">
        <is>
          <t>NA</t>
        </is>
      </c>
      <c r="E3" t="inlineStr">
        <is>
          <t>Pampers Swaddlers Fragrance Free Baby Diapers Size 5, 100 Count (Select for More Options) 20 shopped Qty1</t>
        </is>
      </c>
      <c r="F3" t="inlineStr">
        <is>
          <t>NA</t>
        </is>
      </c>
      <c r="G3" t="inlineStr">
        <is>
          <t>0</t>
        </is>
      </c>
      <c r="H3" t="inlineStr">
        <is>
          <t>Pampers Swaddlers Size 5 Diapers</t>
        </is>
      </c>
      <c r="I3" t="inlineStr">
        <is>
          <t>Baby Care</t>
        </is>
      </c>
      <c r="J3" s="2" t="n">
        <v>46240</v>
      </c>
      <c r="K3" s="1" t="n">
        <v>39.77</v>
      </c>
    </row>
    <row r="4" s="65">
      <c r="A4" s="1">
        <f>SUM(K4,M4,O4,Q4,S4,U4)</f>
        <v/>
      </c>
      <c r="C4" t="inlineStr">
        <is>
          <t>Walmart</t>
        </is>
      </c>
      <c r="D4" t="inlineStr">
        <is>
          <t>NA</t>
        </is>
      </c>
      <c r="E4" t="inlineStr">
        <is>
          <t>Chobani Oatmilk Extra Creamy 52 floz Carton 20 shopped aty1</t>
        </is>
      </c>
      <c r="F4" t="inlineStr">
        <is>
          <t>NA</t>
        </is>
      </c>
      <c r="G4" t="inlineStr">
        <is>
          <t>0</t>
        </is>
      </c>
      <c r="H4" t="inlineStr">
        <is>
          <t>Chobani Extra Creamy Oatmilk</t>
        </is>
      </c>
      <c r="I4" t="inlineStr">
        <is>
          <t>Plant-Based Milk</t>
        </is>
      </c>
      <c r="J4" s="2" t="n">
        <v>46240</v>
      </c>
      <c r="K4" s="1" t="n">
        <v>4.17</v>
      </c>
    </row>
    <row r="5" s="65">
      <c r="A5" s="1">
        <f>SUM(K5,M5,O5,Q5,S5,U5)</f>
        <v/>
      </c>
      <c r="C5" t="inlineStr">
        <is>
          <t>Walmart</t>
        </is>
      </c>
      <c r="D5" t="inlineStr">
        <is>
          <t>NA</t>
        </is>
      </c>
      <c r="E5" t="inlineStr">
        <is>
          <t>Nestle Toll House Dark Chocolate Regular Baking Chips, 10 oz Bag 20 shopped Qty1</t>
        </is>
      </c>
      <c r="F5" t="inlineStr">
        <is>
          <t>NA</t>
        </is>
      </c>
      <c r="G5" t="inlineStr">
        <is>
          <t>0</t>
        </is>
      </c>
      <c r="H5" t="inlineStr">
        <is>
          <t>Nestle Toll House Dark Chocolate Baking Chips</t>
        </is>
      </c>
      <c r="I5" t="inlineStr">
        <is>
          <t>Baking Ingredients</t>
        </is>
      </c>
      <c r="J5" s="2" t="n">
        <v>46240</v>
      </c>
      <c r="K5" s="1" t="n">
        <v>4.96</v>
      </c>
    </row>
    <row r="6" s="65">
      <c r="A6" s="1">
        <f>SUM(K6,M6,O6,Q6,S6,U6)</f>
        <v/>
      </c>
      <c r="C6" t="inlineStr">
        <is>
          <t>Walmart</t>
        </is>
      </c>
      <c r="D6" t="inlineStr">
        <is>
          <t>NA</t>
        </is>
      </c>
      <c r="E6" t="inlineStr">
        <is>
          <t>McCormick Sea Salt Grinder, oz Bottle 20 shopped aty1</t>
        </is>
      </c>
      <c r="F6" t="inlineStr">
        <is>
          <t>NA</t>
        </is>
      </c>
      <c r="G6" t="inlineStr">
        <is>
          <t>0</t>
        </is>
      </c>
      <c r="H6" t="inlineStr">
        <is>
          <t>McCormick Sea Salt Grinder</t>
        </is>
      </c>
      <c r="I6" t="inlineStr">
        <is>
          <t>Seasonings &amp; Spices</t>
        </is>
      </c>
      <c r="J6" s="2" t="n">
        <v>46240</v>
      </c>
      <c r="K6" s="1" t="n">
        <v>2.54</v>
      </c>
    </row>
    <row r="7" s="65">
      <c r="A7" s="1">
        <f>SUM(K7,M7,O7,Q7,S7,U7)</f>
        <v/>
      </c>
      <c r="C7" t="inlineStr">
        <is>
          <t>Walmart</t>
        </is>
      </c>
      <c r="D7" t="inlineStr">
        <is>
          <t>NA</t>
        </is>
      </c>
      <c r="E7" t="inlineStr">
        <is>
          <t>Fresh Banana, Each 7 weight adjusted Qty7</t>
        </is>
      </c>
      <c r="F7" t="inlineStr">
        <is>
          <t>NA</t>
        </is>
      </c>
      <c r="G7" t="inlineStr">
        <is>
          <t>0</t>
        </is>
      </c>
      <c r="H7" t="inlineStr">
        <is>
          <t>Bananas</t>
        </is>
      </c>
      <c r="I7" t="inlineStr">
        <is>
          <t>Fresh Fruit</t>
        </is>
      </c>
      <c r="J7" s="2" t="n">
        <v>46240</v>
      </c>
      <c r="K7" s="1" t="n">
        <v>3.48</v>
      </c>
    </row>
    <row r="8" s="65">
      <c r="A8" s="1">
        <f>SUM(K8,M8,O8,Q8,S8,U8)</f>
        <v/>
      </c>
      <c r="C8" t="inlineStr">
        <is>
          <t>Walmart</t>
        </is>
      </c>
      <c r="D8" t="inlineStr">
        <is>
          <t>NA</t>
        </is>
      </c>
      <c r="E8" t="inlineStr">
        <is>
          <t>3 hours orless</t>
        </is>
      </c>
      <c r="F8" t="inlineStr">
        <is>
          <t>NA</t>
        </is>
      </c>
      <c r="G8" t="inlineStr">
        <is>
          <t>0</t>
        </is>
      </c>
      <c r="H8" t="inlineStr">
        <is>
          <t>Express Delivery Fee</t>
        </is>
      </c>
      <c r="I8" t="inlineStr">
        <is>
          <t>Fees &amp; Charges</t>
        </is>
      </c>
      <c r="J8" s="2" t="n">
        <v>46240</v>
      </c>
      <c r="K8" s="1" t="n">
        <v>5</v>
      </c>
    </row>
    <row r="9" s="65">
      <c r="A9" s="1">
        <f>SUM(K9,M9,O9,Q9,S9,U9)</f>
        <v/>
      </c>
      <c r="C9" t="inlineStr">
        <is>
          <t>Walmart</t>
        </is>
      </c>
      <c r="D9" t="inlineStr">
        <is>
          <t>NA</t>
        </is>
      </c>
      <c r="E9" t="inlineStr">
        <is>
          <t>diff</t>
        </is>
      </c>
      <c r="F9" t="inlineStr">
        <is>
          <t>NA</t>
        </is>
      </c>
      <c r="G9" t="inlineStr">
        <is>
          <t>0</t>
        </is>
      </c>
      <c r="H9" t="inlineStr">
        <is>
          <t>Price Adjustment</t>
        </is>
      </c>
      <c r="I9" t="inlineStr">
        <is>
          <t>Fees &amp; Charges</t>
        </is>
      </c>
      <c r="J9" s="2" t="n">
        <v>46240</v>
      </c>
      <c r="K9" s="1" t="n">
        <v>2.77</v>
      </c>
    </row>
    <row r="10" s="65">
      <c r="A10" s="1">
        <f>SUM(K10,M10,O10,Q10,S10,U10)</f>
        <v/>
      </c>
      <c r="C10" t="inlineStr">
        <is>
          <t>Walmart</t>
        </is>
      </c>
      <c r="D10" t="inlineStr">
        <is>
          <t>NA</t>
        </is>
      </c>
      <c r="E10" t="inlineStr">
        <is>
          <t>Safety 1 Soft Grip Brush &amp; Comb, Artic Blue</t>
        </is>
      </c>
      <c r="F10" t="inlineStr">
        <is>
          <t>NA</t>
        </is>
      </c>
      <c r="G10" t="inlineStr">
        <is>
          <t>0</t>
        </is>
      </c>
      <c r="H10" t="inlineStr">
        <is>
          <t>Safety 1st Soft Grip Brush &amp; Comb</t>
        </is>
      </c>
      <c r="I10" t="inlineStr">
        <is>
          <t>Baby Care</t>
        </is>
      </c>
      <c r="J10" s="2" t="n">
        <v>46240</v>
      </c>
      <c r="K10" s="1" t="n">
        <v>4.48</v>
      </c>
      <c r="L10" s="2" t="n">
        <v>46241</v>
      </c>
      <c r="M10" s="1" t="n">
        <v>4.48</v>
      </c>
    </row>
    <row r="11" s="65">
      <c r="A11" s="1">
        <f>SUM(K11,M11,O11,Q11,S11,U11)</f>
        <v/>
      </c>
      <c r="C11" t="inlineStr">
        <is>
          <t>Walmart</t>
        </is>
      </c>
      <c r="D11" t="inlineStr">
        <is>
          <t>NA</t>
        </is>
      </c>
      <c r="E11" t="inlineStr">
        <is>
          <t>The Honest Company Conditioning Detangler Sweet Cream Comfort 4 floz</t>
        </is>
      </c>
      <c r="F11" t="inlineStr">
        <is>
          <t>NA</t>
        </is>
      </c>
      <c r="G11" t="inlineStr">
        <is>
          <t>0</t>
        </is>
      </c>
      <c r="H11" t="inlineStr">
        <is>
          <t>Honest Company Conditioning Detangler</t>
        </is>
      </c>
      <c r="I11" t="inlineStr">
        <is>
          <t>Hair Care</t>
        </is>
      </c>
      <c r="J11" s="2" t="n">
        <v>46240</v>
      </c>
      <c r="K11" s="1" t="n">
        <v>6.96</v>
      </c>
      <c r="L11" s="2" t="n">
        <v>46241</v>
      </c>
      <c r="M11" s="1" t="n">
        <v>6.96</v>
      </c>
    </row>
    <row r="12" s="65">
      <c r="A12" s="1">
        <f>SUM(K12,M12,O12,Q12,S12,U12)</f>
        <v/>
      </c>
      <c r="C12" t="inlineStr">
        <is>
          <t>Walmart</t>
        </is>
      </c>
      <c r="D12" t="inlineStr">
        <is>
          <t>NA</t>
        </is>
      </c>
      <c r="E12" t="inlineStr">
        <is>
          <t>Nestle Toll House Organic Allergen Free Dark Chocolate Regular Baking Chips, Morsels for Baking, 9 oz Bag</t>
        </is>
      </c>
      <c r="F12" t="inlineStr">
        <is>
          <t>NA</t>
        </is>
      </c>
      <c r="G12" t="inlineStr">
        <is>
          <t>0</t>
        </is>
      </c>
      <c r="H12" t="inlineStr">
        <is>
          <t>Nestle Toll House Allergen-Free Dark Chocolate Baking Chips</t>
        </is>
      </c>
      <c r="I12" t="inlineStr">
        <is>
          <t>Baking Ingredients</t>
        </is>
      </c>
      <c r="J12" s="2" t="n">
        <v>46240</v>
      </c>
      <c r="K12" s="1" t="n">
        <v>8.369999999999999</v>
      </c>
      <c r="L12" s="2" t="n">
        <v>46241</v>
      </c>
      <c r="M12" s="1" t="n">
        <v>8.369999999999999</v>
      </c>
    </row>
    <row r="13" s="65">
      <c r="A13" s="1">
        <f>SUM(K13,M13,O13,Q13,S13,U13)</f>
        <v/>
      </c>
      <c r="C13" t="inlineStr">
        <is>
          <t>Walmart</t>
        </is>
      </c>
      <c r="D13" t="inlineStr">
        <is>
          <t>NA</t>
        </is>
      </c>
      <c r="E13" t="inlineStr">
        <is>
          <t>Purina Tidy Cats With Glade Clear Springs Scented, Odor Control, Clumping Multi-Cat Litter 20 shopped Qty2</t>
        </is>
      </c>
      <c r="F13" t="inlineStr">
        <is>
          <t>NA</t>
        </is>
      </c>
      <c r="G13" t="inlineStr">
        <is>
          <t>0</t>
        </is>
      </c>
      <c r="H13" t="inlineStr">
        <is>
          <t>Purina Tidy Cats Clumping Cat Litter</t>
        </is>
      </c>
      <c r="I13" t="inlineStr">
        <is>
          <t>Cat Litter</t>
        </is>
      </c>
      <c r="J13" s="2" t="n">
        <v>46240</v>
      </c>
      <c r="K13" s="1" t="n">
        <v>23.94</v>
      </c>
      <c r="L13" s="2" t="n">
        <v>46241</v>
      </c>
      <c r="M13" s="1" t="n">
        <v>23.94</v>
      </c>
    </row>
    <row r="14" s="65">
      <c r="A14" s="1">
        <f>SUM(K14,M14,O14,Q14,S14,U14)</f>
        <v/>
      </c>
      <c r="C14" t="inlineStr">
        <is>
          <t>Walmart</t>
        </is>
      </c>
      <c r="D14" t="inlineStr">
        <is>
          <t>NA</t>
        </is>
      </c>
      <c r="E14" t="inlineStr">
        <is>
          <t>Lawry's Kosher Coarse Ground With Parsley Garlic Salt, 6.0 oz Bottle</t>
        </is>
      </c>
      <c r="F14" t="inlineStr">
        <is>
          <t>NA</t>
        </is>
      </c>
      <c r="G14" t="inlineStr">
        <is>
          <t>0</t>
        </is>
      </c>
      <c r="H14" t="inlineStr">
        <is>
          <t>Lawry's Garlic Salt</t>
        </is>
      </c>
      <c r="I14" t="inlineStr">
        <is>
          <t>Seasonings &amp; Spices</t>
        </is>
      </c>
      <c r="J14" s="2" t="n">
        <v>46240</v>
      </c>
      <c r="K14" s="1" t="n">
        <v>3.16</v>
      </c>
      <c r="L14" s="2" t="n">
        <v>46241</v>
      </c>
      <c r="M14" s="1" t="n">
        <v>3.16</v>
      </c>
    </row>
    <row r="15" s="65">
      <c r="A15" s="1">
        <f>SUM(K15,M15,O15,Q15,S15,U15)</f>
        <v/>
      </c>
      <c r="C15" t="inlineStr">
        <is>
          <t>Walmart</t>
        </is>
      </c>
      <c r="D15" t="inlineStr">
        <is>
          <t>NA</t>
        </is>
      </c>
      <c r="E15" t="inlineStr">
        <is>
          <t>Huggies Natural Care Sensitive Baby Wipes, Unscented, 3 Flip-Top Packs, 168 Count 20 shopped Qty1</t>
        </is>
      </c>
      <c r="F15" t="inlineStr">
        <is>
          <t>NA</t>
        </is>
      </c>
      <c r="G15" t="inlineStr">
        <is>
          <t>0</t>
        </is>
      </c>
      <c r="H15" t="inlineStr">
        <is>
          <t>Huggies Natural Care Baby Wipes</t>
        </is>
      </c>
      <c r="I15" t="inlineStr">
        <is>
          <t>Baby Care</t>
        </is>
      </c>
      <c r="J15" s="2" t="n">
        <v>46240</v>
      </c>
      <c r="K15" s="1" t="n">
        <v>5.82</v>
      </c>
      <c r="L15" s="2" t="n">
        <v>46241</v>
      </c>
      <c r="M15" s="1" t="n">
        <v>5.82</v>
      </c>
    </row>
    <row r="16" s="65">
      <c r="A16" s="1">
        <f>SUM(K16,M16,O16,Q16,S16,U16)</f>
        <v/>
      </c>
      <c r="C16" t="inlineStr">
        <is>
          <t>Walmart</t>
        </is>
      </c>
      <c r="D16" t="inlineStr">
        <is>
          <t>NA</t>
        </is>
      </c>
      <c r="E16" t="inlineStr">
        <is>
          <t>Desitin Maximum Strength Diaper Rash Cream, 40% Zinc Oxide, 4.8 oz</t>
        </is>
      </c>
      <c r="F16" t="inlineStr">
        <is>
          <t>NA</t>
        </is>
      </c>
      <c r="G16" t="inlineStr">
        <is>
          <t>0</t>
        </is>
      </c>
      <c r="H16" t="inlineStr">
        <is>
          <t>Desitin Maximum Strength Diaper Rash Cream</t>
        </is>
      </c>
      <c r="I16" t="inlineStr">
        <is>
          <t>Baby Care</t>
        </is>
      </c>
      <c r="J16" s="2" t="n">
        <v>46240</v>
      </c>
      <c r="K16" s="1" t="n">
        <v>7.97</v>
      </c>
      <c r="L16" s="2" t="n">
        <v>46241</v>
      </c>
      <c r="M16" s="1" t="n">
        <v>7.97</v>
      </c>
    </row>
    <row r="17" s="65">
      <c r="A17" s="1">
        <f>SUM(K17,M17,O17,Q17,S17,U17)</f>
        <v/>
      </c>
      <c r="C17" t="inlineStr">
        <is>
          <t>Walmart</t>
        </is>
      </c>
      <c r="D17" t="inlineStr">
        <is>
          <t>NA</t>
        </is>
      </c>
      <c r="E17" t="inlineStr">
        <is>
          <t>fairlife Lactose Free Reduced Fat Chocolate Ultra Filtered Milk, 52 floz</t>
        </is>
      </c>
      <c r="F17" t="inlineStr">
        <is>
          <t>NA</t>
        </is>
      </c>
      <c r="G17" t="inlineStr">
        <is>
          <t>0</t>
        </is>
      </c>
      <c r="H17" t="inlineStr">
        <is>
          <t>Fairlife Chocolate Milk</t>
        </is>
      </c>
      <c r="I17" t="inlineStr">
        <is>
          <t>Milk</t>
        </is>
      </c>
      <c r="J17" s="2" t="n">
        <v>46240</v>
      </c>
      <c r="K17" s="1" t="n">
        <v>5.32</v>
      </c>
      <c r="L17" s="2" t="n">
        <v>46241</v>
      </c>
      <c r="M17" s="1" t="n">
        <v>5.32</v>
      </c>
    </row>
    <row r="18" s="65">
      <c r="A18" s="1">
        <f>SUM(K18,M18,O18,Q18,S18,U18)</f>
        <v/>
      </c>
      <c r="C18" t="inlineStr">
        <is>
          <t>Walmart</t>
        </is>
      </c>
      <c r="D18" t="inlineStr">
        <is>
          <t>NA</t>
        </is>
      </c>
      <c r="E18" t="inlineStr">
        <is>
          <t>Dove Body Wash For 24hr Lotion-Soft Skin Sensitive Skin Moisturizing Skin Cleanser Gentle Hypoallergenic Formula With</t>
        </is>
      </c>
      <c r="F18" t="inlineStr">
        <is>
          <t>NA</t>
        </is>
      </c>
      <c r="G18" t="inlineStr">
        <is>
          <t>0</t>
        </is>
      </c>
      <c r="H18" t="inlineStr">
        <is>
          <t>Dove Sensitive Skin Body Wash</t>
        </is>
      </c>
      <c r="I18" t="inlineStr">
        <is>
          <t>Body Wash</t>
        </is>
      </c>
      <c r="J18" s="2" t="n">
        <v>46240</v>
      </c>
      <c r="K18" t="n">
        <v>4.97</v>
      </c>
      <c r="L18" s="2" t="n">
        <v>46241</v>
      </c>
      <c r="M18" s="1" t="n">
        <v>4.97</v>
      </c>
    </row>
    <row r="19" s="65">
      <c r="A19" s="1">
        <f>SUM(K19,M19,O19,Q19,S19,U19)</f>
        <v/>
      </c>
      <c r="C19" t="inlineStr">
        <is>
          <t>Walmart</t>
        </is>
      </c>
      <c r="D19" t="inlineStr">
        <is>
          <t>NA</t>
        </is>
      </c>
      <c r="E19" t="inlineStr">
        <is>
          <t>No Sulfates No Parabens, 11 Floz</t>
        </is>
      </c>
      <c r="F19" t="inlineStr">
        <is>
          <t>NA</t>
        </is>
      </c>
      <c r="G19" t="inlineStr">
        <is>
          <t>0</t>
        </is>
      </c>
      <c r="H19" t="inlineStr">
        <is>
          <t>Dove Sensitive Skin Body Wash</t>
        </is>
      </c>
      <c r="I19" t="inlineStr">
        <is>
          <t>Body Wash</t>
        </is>
      </c>
      <c r="J19" s="2" t="n">
        <v>46240</v>
      </c>
      <c r="K19" s="1" t="n">
        <v>4.97</v>
      </c>
      <c r="L19" s="2" t="n">
        <v>46241</v>
      </c>
      <c r="M19" s="1" t="n">
        <v>4.97</v>
      </c>
    </row>
    <row r="20" s="65">
      <c r="A20" s="1">
        <f>SUM(K20,M20,O20,Q20,S20,U20)</f>
        <v/>
      </c>
      <c r="C20" t="inlineStr">
        <is>
          <t>Walmart</t>
        </is>
      </c>
      <c r="D20" t="inlineStr">
        <is>
          <t>NA</t>
        </is>
      </c>
      <c r="E20" t="inlineStr">
        <is>
          <t>Great Value Large White Eggs 36 Count 20 shopped Qty1</t>
        </is>
      </c>
      <c r="F20" t="inlineStr">
        <is>
          <t>NA</t>
        </is>
      </c>
      <c r="G20" t="inlineStr">
        <is>
          <t>0</t>
        </is>
      </c>
      <c r="H20" t="inlineStr">
        <is>
          <t>Great Value Large White Eggs</t>
        </is>
      </c>
      <c r="I20" t="inlineStr">
        <is>
          <t>Eggs</t>
        </is>
      </c>
      <c r="J20" s="2" t="n">
        <v>46240</v>
      </c>
      <c r="K20" s="1" t="n">
        <v>4.88</v>
      </c>
      <c r="L20" s="2" t="n">
        <v>46241</v>
      </c>
      <c r="M20" s="1" t="n">
        <v>4.88</v>
      </c>
    </row>
    <row r="21" s="65">
      <c r="A21" s="1">
        <f>SUM(K21,M21,O21,Q21,S21,U21)</f>
        <v/>
      </c>
      <c r="C21" t="inlineStr">
        <is>
          <t>Walmart</t>
        </is>
      </c>
      <c r="D21" t="inlineStr">
        <is>
          <t>NA</t>
        </is>
      </c>
      <c r="E21" t="inlineStr">
        <is>
          <t>Chobani 20G Protein Low-Fat Greek Yogurt Drink, Strawberries and Cream 10 fl oz Bottle, 4 Pack</t>
        </is>
      </c>
      <c r="F21" t="inlineStr">
        <is>
          <t>NA</t>
        </is>
      </c>
      <c r="G21" t="inlineStr">
        <is>
          <t>0</t>
        </is>
      </c>
      <c r="H21" t="inlineStr">
        <is>
          <t>Chobani Protein Greek Yogurt Drink, Strawberries &amp; Cream</t>
        </is>
      </c>
      <c r="I21" t="inlineStr">
        <is>
          <t>Yogurt</t>
        </is>
      </c>
      <c r="J21" s="2" t="n">
        <v>46240</v>
      </c>
      <c r="K21" s="1" t="n">
        <v>9.67</v>
      </c>
      <c r="L21" s="2" t="n">
        <v>46241</v>
      </c>
      <c r="M21" s="1" t="n">
        <v>9.67</v>
      </c>
    </row>
    <row r="22" s="65">
      <c r="A22" s="1">
        <f>SUM(K22,M22,O22,Q22,S22,U22)</f>
        <v/>
      </c>
      <c r="C22" t="inlineStr">
        <is>
          <t>Walmart</t>
        </is>
      </c>
      <c r="D22" t="inlineStr">
        <is>
          <t>NA</t>
        </is>
      </c>
      <c r="E22" t="inlineStr">
        <is>
          <t>Fresh Mandarin Oranges, 5 lb Bag 20 shopped Qty1</t>
        </is>
      </c>
      <c r="F22" t="inlineStr">
        <is>
          <t>NA</t>
        </is>
      </c>
      <c r="G22" t="inlineStr">
        <is>
          <t>0</t>
        </is>
      </c>
      <c r="H22" t="inlineStr">
        <is>
          <t>Mandarin Oranges</t>
        </is>
      </c>
      <c r="I22" t="inlineStr">
        <is>
          <t>Fresh Fruit</t>
        </is>
      </c>
      <c r="J22" s="2" t="n">
        <v>46240</v>
      </c>
      <c r="K22" s="1" t="n">
        <v>7.96</v>
      </c>
      <c r="L22" s="2" t="n">
        <v>46241</v>
      </c>
      <c r="M22" s="1" t="n">
        <v>7.96</v>
      </c>
    </row>
    <row r="23" s="65">
      <c r="A23" s="1">
        <f>SUM(K23,M23,O23,Q23,S23,U23)</f>
        <v/>
      </c>
      <c r="C23" t="inlineStr">
        <is>
          <t>Walmart</t>
        </is>
      </c>
      <c r="D23" t="inlineStr">
        <is>
          <t>NA</t>
        </is>
      </c>
      <c r="E23" t="inlineStr">
        <is>
          <t>Fresh Pink Lady Apples, 3lb Bag 20 shopped Qty1</t>
        </is>
      </c>
      <c r="F23" t="inlineStr">
        <is>
          <t>NA</t>
        </is>
      </c>
      <c r="G23" t="inlineStr">
        <is>
          <t>0</t>
        </is>
      </c>
      <c r="H23" t="inlineStr">
        <is>
          <t>Pink Lady Apples</t>
        </is>
      </c>
      <c r="I23" t="inlineStr">
        <is>
          <t>Fresh Fruit</t>
        </is>
      </c>
      <c r="J23" s="2" t="n">
        <v>46240</v>
      </c>
      <c r="K23" s="1" t="n">
        <v>4.97</v>
      </c>
      <c r="L23" s="2" t="n">
        <v>46241</v>
      </c>
      <c r="M23" s="1" t="n">
        <v>4.97</v>
      </c>
    </row>
    <row r="24" s="65">
      <c r="A24" s="1">
        <f>SUM(K24,M24,O24,Q24,S24,U24)</f>
        <v/>
      </c>
      <c r="C24" t="inlineStr">
        <is>
          <t>Walmart</t>
        </is>
      </c>
      <c r="D24" t="inlineStr">
        <is>
          <t>NA</t>
        </is>
      </c>
      <c r="E24" t="inlineStr">
        <is>
          <t>Fresh Banana, Each 7 weight adjusted Qty7</t>
        </is>
      </c>
      <c r="F24" t="inlineStr">
        <is>
          <t>NA</t>
        </is>
      </c>
      <c r="G24" t="inlineStr">
        <is>
          <t>0</t>
        </is>
      </c>
      <c r="H24" t="inlineStr">
        <is>
          <t>Bananas</t>
        </is>
      </c>
      <c r="I24" t="inlineStr">
        <is>
          <t>Fresh Fruit</t>
        </is>
      </c>
      <c r="J24" s="2" t="n">
        <v>46240</v>
      </c>
      <c r="K24" s="1" t="n">
        <v>1.83</v>
      </c>
      <c r="L24" s="2" t="n">
        <v>46241</v>
      </c>
      <c r="M24" s="1" t="n">
        <v>1.83</v>
      </c>
      <c r="N24" s="2" t="n">
        <v>46241</v>
      </c>
      <c r="O24" s="1" t="n">
        <v>1.83</v>
      </c>
    </row>
    <row r="25" s="65">
      <c r="A25" s="1">
        <f>SUM(K25,M25,O25,Q25,S25,U25)</f>
        <v/>
      </c>
      <c r="C25" t="inlineStr">
        <is>
          <t>Walmart</t>
        </is>
      </c>
      <c r="D25" t="inlineStr">
        <is>
          <t>NA</t>
        </is>
      </c>
      <c r="E25" t="inlineStr">
        <is>
          <t>CeraVe Baby Healing Ointment for Diaper Rash &amp; Cracked Chafed Dry Skin for Baby + Toddler 3 oz</t>
        </is>
      </c>
      <c r="F25" t="inlineStr">
        <is>
          <t>NA</t>
        </is>
      </c>
      <c r="G25" t="inlineStr">
        <is>
          <t>0</t>
        </is>
      </c>
      <c r="H25" t="inlineStr">
        <is>
          <t>CeraVe Baby Healing Ointment</t>
        </is>
      </c>
      <c r="I25" t="inlineStr">
        <is>
          <t>Baby Care</t>
        </is>
      </c>
      <c r="J25" s="2" t="n">
        <v>46240</v>
      </c>
      <c r="K25" s="1" t="n">
        <v>9.98</v>
      </c>
      <c r="L25" s="2" t="n">
        <v>46241</v>
      </c>
      <c r="M25" s="1" t="n">
        <v>9.98</v>
      </c>
    </row>
    <row r="26" s="65">
      <c r="A26" s="1">
        <f>SUM(K26,M26,O26,Q26,S26,U26)</f>
        <v/>
      </c>
      <c r="C26" t="inlineStr">
        <is>
          <t>Walmart</t>
        </is>
      </c>
      <c r="D26" t="inlineStr">
        <is>
          <t>NA</t>
        </is>
      </c>
      <c r="E26" t="inlineStr">
        <is>
          <t>GHIRARDELLI Gluten Free Double Chocolate Brownie Mix, Gluten Free Baking Mix, Includes Chocolate Chips, 18 oz Box</t>
        </is>
      </c>
      <c r="F26" t="inlineStr">
        <is>
          <t>NA</t>
        </is>
      </c>
      <c r="G26" t="inlineStr">
        <is>
          <t>0</t>
        </is>
      </c>
      <c r="H26" t="inlineStr">
        <is>
          <t>Ghirardelli Gluten-Free Double Chocolate Brownie Mix</t>
        </is>
      </c>
      <c r="I26" t="inlineStr">
        <is>
          <t>Baking Mixes</t>
        </is>
      </c>
      <c r="J26" s="2" t="n">
        <v>46241</v>
      </c>
      <c r="K26" s="1" t="n">
        <v>6.67</v>
      </c>
    </row>
    <row r="27" s="65">
      <c r="A27" s="1">
        <f>SUM(K27,M27,O27,Q27,S27,U27)</f>
        <v/>
      </c>
      <c r="C27" t="inlineStr">
        <is>
          <t>Walmart</t>
        </is>
      </c>
      <c r="D27" t="inlineStr">
        <is>
          <t>NA</t>
        </is>
      </c>
      <c r="E27" t="inlineStr">
        <is>
          <t>Pampers Swaddlers Fragrance Free Baby Diapers Size 5, 100 Count (Select for More Options</t>
        </is>
      </c>
      <c r="F27" t="inlineStr">
        <is>
          <t>NA</t>
        </is>
      </c>
      <c r="G27" t="inlineStr">
        <is>
          <t>0</t>
        </is>
      </c>
      <c r="H27" t="inlineStr">
        <is>
          <t>Pampers Swaddlers Size 5 Diapers</t>
        </is>
      </c>
      <c r="I27" t="inlineStr">
        <is>
          <t>Baby Care</t>
        </is>
      </c>
      <c r="J27" s="2" t="n">
        <v>46241</v>
      </c>
      <c r="K27" s="1" t="n">
        <v>39.77</v>
      </c>
    </row>
    <row r="28" s="65">
      <c r="A28" s="1">
        <f>SUM(K28,M28,O28,Q28,S28,U28)</f>
        <v/>
      </c>
      <c r="C28" t="inlineStr">
        <is>
          <t>Walmart</t>
        </is>
      </c>
      <c r="D28" t="inlineStr">
        <is>
          <t>NA</t>
        </is>
      </c>
      <c r="E28" t="inlineStr">
        <is>
          <t>Chobani Oatmitk Extra Creamy 52 floz Carton 20 shopped Qty1</t>
        </is>
      </c>
      <c r="F28" t="inlineStr">
        <is>
          <t>NA</t>
        </is>
      </c>
      <c r="G28" t="inlineStr">
        <is>
          <t>0</t>
        </is>
      </c>
      <c r="H28" t="inlineStr">
        <is>
          <t>Chobani Extra Creamy Oatmilk</t>
        </is>
      </c>
      <c r="I28" t="inlineStr">
        <is>
          <t>Plant-Based Milk</t>
        </is>
      </c>
      <c r="J28" s="2" t="n">
        <v>46241</v>
      </c>
      <c r="K28" s="1" t="n">
        <v>4.17</v>
      </c>
    </row>
    <row r="29" s="65">
      <c r="A29" s="1">
        <f>SUM(K29,M29,O29,Q29,S29,U29)</f>
        <v/>
      </c>
      <c r="C29" t="inlineStr">
        <is>
          <t>Walmart</t>
        </is>
      </c>
      <c r="D29" t="inlineStr">
        <is>
          <t>NA</t>
        </is>
      </c>
      <c r="E29" t="inlineStr">
        <is>
          <t>Nestle Tolt House Dark Chocolate Regular Baking Chips, 10 oz Bag 20 shopped Qty1</t>
        </is>
      </c>
      <c r="F29" t="inlineStr">
        <is>
          <t>NA</t>
        </is>
      </c>
      <c r="G29" t="inlineStr">
        <is>
          <t>0</t>
        </is>
      </c>
      <c r="H29" t="inlineStr">
        <is>
          <t>Nestle Toll House Dark Chocolate Baking Chips</t>
        </is>
      </c>
      <c r="I29" t="inlineStr">
        <is>
          <t>Baking Ingredients</t>
        </is>
      </c>
      <c r="J29" s="2" t="n">
        <v>46241</v>
      </c>
      <c r="K29" s="1" t="n">
        <v>4.96</v>
      </c>
    </row>
    <row r="30" s="65">
      <c r="A30" s="1">
        <f>SUM(K30,M30,O30,Q30,S30,U30)</f>
        <v/>
      </c>
      <c r="C30" t="inlineStr">
        <is>
          <t>Walmart</t>
        </is>
      </c>
      <c r="D30" t="inlineStr">
        <is>
          <t>NA</t>
        </is>
      </c>
      <c r="E30" t="inlineStr">
        <is>
          <t>Applegate Natural Chicken &amp; Maple Breakfast Sausage Patties, 16 oz, GF, Resealable Bag (Frozen), About 15 Pieces per Bag</t>
        </is>
      </c>
      <c r="F30" t="inlineStr">
        <is>
          <t>NA</t>
        </is>
      </c>
      <c r="G30" t="inlineStr">
        <is>
          <t>0</t>
        </is>
      </c>
      <c r="H30" t="inlineStr">
        <is>
          <t>Applegate Chicken &amp; Maple Breakfast Sausage</t>
        </is>
      </c>
      <c r="I30" t="inlineStr">
        <is>
          <t>Frozen Meat</t>
        </is>
      </c>
      <c r="J30" s="2" t="n">
        <v>46241</v>
      </c>
      <c r="K30" s="1" t="n">
        <v>11.76</v>
      </c>
    </row>
    <row r="31" s="65">
      <c r="A31" s="1">
        <f>SUM(K31,M31,O31,Q31,S31,U31)</f>
        <v/>
      </c>
      <c r="C31" t="inlineStr">
        <is>
          <t>Walmart</t>
        </is>
      </c>
      <c r="D31" t="inlineStr">
        <is>
          <t>NA</t>
        </is>
      </c>
      <c r="E31" t="inlineStr">
        <is>
          <t>McCormick Sea Salt Grinder, oz Bottle 20 shopped Qty1</t>
        </is>
      </c>
      <c r="F31" t="inlineStr">
        <is>
          <t>NA</t>
        </is>
      </c>
      <c r="G31" t="inlineStr">
        <is>
          <t>0</t>
        </is>
      </c>
      <c r="H31" t="inlineStr">
        <is>
          <t>McCormick Sea Salt Grinder</t>
        </is>
      </c>
      <c r="I31" t="inlineStr">
        <is>
          <t>Seasonings &amp; Spices</t>
        </is>
      </c>
      <c r="J31" s="2" t="n">
        <v>46241</v>
      </c>
      <c r="K31" s="1" t="n">
        <v>2.54</v>
      </c>
    </row>
    <row r="32" s="65">
      <c r="A32" s="1">
        <f>SUM(K32,M32,O32,Q32,S32,U32)</f>
        <v/>
      </c>
      <c r="C32" t="inlineStr">
        <is>
          <t>Walmart</t>
        </is>
      </c>
      <c r="D32" t="inlineStr">
        <is>
          <t>NA</t>
        </is>
      </c>
      <c r="E32" t="inlineStr">
        <is>
          <t>3 hours or less</t>
        </is>
      </c>
      <c r="F32" t="inlineStr">
        <is>
          <t>NA</t>
        </is>
      </c>
      <c r="G32" t="inlineStr">
        <is>
          <t>0</t>
        </is>
      </c>
      <c r="H32" t="inlineStr">
        <is>
          <t>Express Delivery Fee</t>
        </is>
      </c>
      <c r="I32" t="inlineStr">
        <is>
          <t>Fees &amp; Charges</t>
        </is>
      </c>
      <c r="J32" s="2" t="n">
        <v>46241</v>
      </c>
      <c r="K32" s="1" t="n">
        <v>5</v>
      </c>
    </row>
    <row r="33" s="65">
      <c r="A33" s="1">
        <f>SUM(K33,M33,O33,Q33,S33,U33)</f>
        <v/>
      </c>
      <c r="C33" t="inlineStr">
        <is>
          <t>Walmart</t>
        </is>
      </c>
      <c r="D33" t="inlineStr">
        <is>
          <t>NA</t>
        </is>
      </c>
      <c r="E33" t="inlineStr">
        <is>
          <t>Nature's Bakery Gluten Free Raspberry Fig Bars in Twin pack Box, 20z Each 36 shopped Qty1</t>
        </is>
      </c>
      <c r="F33" t="inlineStr">
        <is>
          <t>NA</t>
        </is>
      </c>
      <c r="G33" t="inlineStr">
        <is>
          <t>0</t>
        </is>
      </c>
      <c r="H33" t="inlineStr">
        <is>
          <t>Nature's Bakery Gluten-Free Raspberry Fig Bars</t>
        </is>
      </c>
      <c r="I33" t="inlineStr">
        <is>
          <t>Snack Bars</t>
        </is>
      </c>
      <c r="J33" s="2" t="n">
        <v>46247</v>
      </c>
      <c r="K33" s="1" t="n">
        <v>5.97</v>
      </c>
    </row>
    <row r="34" s="65">
      <c r="A34" s="1">
        <f>SUM(K34,M34,O34,Q34,S34,U34)</f>
        <v/>
      </c>
      <c r="C34" t="inlineStr">
        <is>
          <t>Walmart</t>
        </is>
      </c>
      <c r="D34" t="inlineStr">
        <is>
          <t>NA</t>
        </is>
      </c>
      <c r="E34" t="inlineStr">
        <is>
          <t>Mahatma Jasmine Rice, Thai Fragrant Long Grain Rice, Gluten Free, 80 oz Bag (5 lbs</t>
        </is>
      </c>
      <c r="F34" t="inlineStr">
        <is>
          <t>NA</t>
        </is>
      </c>
      <c r="G34" t="inlineStr">
        <is>
          <t>0</t>
        </is>
      </c>
      <c r="H34" t="inlineStr">
        <is>
          <t>Mahatma Jasmine Rice</t>
        </is>
      </c>
      <c r="I34" t="inlineStr">
        <is>
          <t>Rice &amp; Grains</t>
        </is>
      </c>
      <c r="J34" s="2" t="n">
        <v>46247</v>
      </c>
      <c r="K34" s="1" t="n">
        <v>6.88</v>
      </c>
    </row>
    <row r="35" s="65">
      <c r="A35" s="1">
        <f>SUM(K35,M35,O35,Q35,S35,U35)</f>
        <v/>
      </c>
      <c r="C35" t="inlineStr">
        <is>
          <t>Walmart</t>
        </is>
      </c>
      <c r="D35" t="inlineStr">
        <is>
          <t>NA</t>
        </is>
      </c>
      <c r="E35" t="inlineStr">
        <is>
          <t>Hillshire Farm Ultra Thin Oven Roasted Turkey Breast Lunchmeat, 16 oz Plastic Tub, Refrigerated</t>
        </is>
      </c>
      <c r="F35" t="inlineStr">
        <is>
          <t>NA</t>
        </is>
      </c>
      <c r="G35" t="inlineStr">
        <is>
          <t>0</t>
        </is>
      </c>
      <c r="H35" t="inlineStr">
        <is>
          <t>Hillshire Farm Oven Roasted Turkey Breast</t>
        </is>
      </c>
      <c r="I35" t="inlineStr">
        <is>
          <t>Deli Meat</t>
        </is>
      </c>
      <c r="J35" s="2" t="n">
        <v>46247</v>
      </c>
      <c r="K35" s="1" t="n">
        <v>6.48</v>
      </c>
    </row>
    <row r="36" s="65">
      <c r="A36" s="1">
        <f>SUM(K36,M36,O36,Q36,S36,U36)</f>
        <v/>
      </c>
      <c r="C36" t="inlineStr">
        <is>
          <t>Walmart</t>
        </is>
      </c>
      <c r="D36" t="inlineStr">
        <is>
          <t>NA</t>
        </is>
      </c>
      <c r="E36" t="inlineStr">
        <is>
          <t>Hebrew National 100% Kosher Beef Franks, Hot Dogs, 10.3 oz 6 Count</t>
        </is>
      </c>
      <c r="F36" t="inlineStr">
        <is>
          <t>NA</t>
        </is>
      </c>
      <c r="G36" t="inlineStr">
        <is>
          <t>0</t>
        </is>
      </c>
      <c r="H36" t="inlineStr">
        <is>
          <t>Hebrew National Beef Franks</t>
        </is>
      </c>
      <c r="I36" t="inlineStr">
        <is>
          <t>Hot Dogs &amp; Sausages</t>
        </is>
      </c>
      <c r="J36" s="2" t="n">
        <v>46247</v>
      </c>
      <c r="K36" s="1" t="n">
        <v>5.74</v>
      </c>
    </row>
    <row r="37" s="65">
      <c r="A37" s="1">
        <f>SUM(K37,M37,O37,Q37,S37,U37)</f>
        <v/>
      </c>
      <c r="C37" t="inlineStr">
        <is>
          <t>Walmart</t>
        </is>
      </c>
      <c r="D37" t="inlineStr">
        <is>
          <t>NA</t>
        </is>
      </c>
      <c r="E37" t="inlineStr">
        <is>
          <t>Dave's Killer Bread Organic Oats &amp; Blues Regular Size Loaf, 25 oz, USDA Organic</t>
        </is>
      </c>
      <c r="F37" t="inlineStr">
        <is>
          <t>NA</t>
        </is>
      </c>
      <c r="G37" t="inlineStr">
        <is>
          <t>0</t>
        </is>
      </c>
      <c r="H37" t="inlineStr">
        <is>
          <t>Dave's Killer Bread Oats &amp; Blues</t>
        </is>
      </c>
      <c r="I37" t="inlineStr">
        <is>
          <t>Bread</t>
        </is>
      </c>
      <c r="J37" s="2" t="n">
        <v>46247</v>
      </c>
      <c r="K37" s="1" t="n">
        <v>5.98</v>
      </c>
    </row>
    <row r="38" s="65">
      <c r="A38" s="1">
        <f>SUM(K38,M38,O38,Q38,S38,U38)</f>
        <v/>
      </c>
      <c r="C38" t="inlineStr">
        <is>
          <t>Walmart</t>
        </is>
      </c>
      <c r="D38" t="inlineStr">
        <is>
          <t>NA</t>
        </is>
      </c>
      <c r="E38" t="inlineStr">
        <is>
          <t>Birds Eye Steamfresh Sweet Peas, Frozen Vegetables, 10 oz. Bag</t>
        </is>
      </c>
      <c r="F38" t="inlineStr">
        <is>
          <t>NA</t>
        </is>
      </c>
      <c r="G38" t="inlineStr">
        <is>
          <t>0</t>
        </is>
      </c>
      <c r="H38" t="inlineStr">
        <is>
          <t>Birds Eye Steamfresh Sweet Peas</t>
        </is>
      </c>
      <c r="I38" t="inlineStr">
        <is>
          <t>Frozen Vegetables</t>
        </is>
      </c>
      <c r="J38" s="2" t="n">
        <v>46247</v>
      </c>
      <c r="K38" s="1" t="n">
        <v>1.27</v>
      </c>
    </row>
    <row r="39" s="65">
      <c r="A39" s="1">
        <f>SUM(K39,M39,O39,Q39,S39,U39)</f>
        <v/>
      </c>
      <c r="C39" t="inlineStr">
        <is>
          <t>Walmart</t>
        </is>
      </c>
      <c r="D39" t="inlineStr">
        <is>
          <t>NA</t>
        </is>
      </c>
      <c r="E39" t="inlineStr">
        <is>
          <t>Cabot Creamery 4 Cheese Mexican Shredded Cheddar Cheese 2 lb (Refrigerated</t>
        </is>
      </c>
      <c r="F39" t="inlineStr">
        <is>
          <t>NA</t>
        </is>
      </c>
      <c r="G39" t="inlineStr">
        <is>
          <t>0</t>
        </is>
      </c>
      <c r="H39" t="inlineStr">
        <is>
          <t>Cabot Mexican Shredded Cheese</t>
        </is>
      </c>
      <c r="I39" t="inlineStr">
        <is>
          <t>Cheese</t>
        </is>
      </c>
      <c r="J39" s="2" t="n">
        <v>46247</v>
      </c>
      <c r="K39" s="1" t="n">
        <v>11.93</v>
      </c>
    </row>
    <row r="40" s="65">
      <c r="A40" s="1">
        <f>SUM(K40,M40,O40,Q40,S40,U40)</f>
        <v/>
      </c>
      <c r="C40" t="inlineStr">
        <is>
          <t>Walmart</t>
        </is>
      </c>
      <c r="D40" t="inlineStr">
        <is>
          <t>NA</t>
        </is>
      </c>
      <c r="E40" t="inlineStr">
        <is>
          <t>Ziploc Brand Slider Gallon Freezer Food Storage Bags, School Supplies, with Power Shield Technology, 40 Count</t>
        </is>
      </c>
      <c r="F40" t="inlineStr">
        <is>
          <t>NA</t>
        </is>
      </c>
      <c r="G40" t="inlineStr">
        <is>
          <t>0</t>
        </is>
      </c>
      <c r="H40" t="inlineStr">
        <is>
          <t>Ziploc Gallon Freezer Bags</t>
        </is>
      </c>
      <c r="I40" t="inlineStr">
        <is>
          <t>Food Storage</t>
        </is>
      </c>
      <c r="J40" s="2" t="n">
        <v>46247</v>
      </c>
      <c r="K40" s="1" t="n">
        <v>7.98</v>
      </c>
    </row>
    <row r="41" s="65">
      <c r="A41" s="1">
        <f>SUM(K41,M41,O41,Q41,S41,U41)</f>
        <v/>
      </c>
      <c r="C41" t="inlineStr">
        <is>
          <t>Walmart</t>
        </is>
      </c>
      <c r="D41" t="inlineStr">
        <is>
          <t>NA</t>
        </is>
      </c>
      <c r="E41" t="inlineStr">
        <is>
          <t>Ziploc Brand Freezer Food Storage Bags, School Supplies, with Grip 'n Seal Technology, Zipper, Quart, 50 Count</t>
        </is>
      </c>
      <c r="F41" t="inlineStr">
        <is>
          <t>NA</t>
        </is>
      </c>
      <c r="G41" t="inlineStr">
        <is>
          <t>0</t>
        </is>
      </c>
      <c r="H41" t="inlineStr">
        <is>
          <t>Ziploc Quart Freezer Bags</t>
        </is>
      </c>
      <c r="I41" t="inlineStr">
        <is>
          <t>Food Storage</t>
        </is>
      </c>
      <c r="J41" s="2" t="n">
        <v>46247</v>
      </c>
      <c r="K41" s="1" t="n">
        <v>6.48</v>
      </c>
    </row>
    <row r="42" s="65">
      <c r="A42" s="1">
        <f>SUM(K42,M42,O42,Q42,S42,U42)</f>
        <v/>
      </c>
      <c r="C42" t="inlineStr">
        <is>
          <t>Walmart</t>
        </is>
      </c>
      <c r="D42" t="inlineStr">
        <is>
          <t>NA</t>
        </is>
      </c>
      <c r="E42" t="inlineStr">
        <is>
          <t>Fresh Mini Cucumbers, 16 oz</t>
        </is>
      </c>
      <c r="F42" t="inlineStr">
        <is>
          <t>NA</t>
        </is>
      </c>
      <c r="G42" t="inlineStr">
        <is>
          <t>0</t>
        </is>
      </c>
      <c r="H42" t="inlineStr">
        <is>
          <t>Mini Cucumbers</t>
        </is>
      </c>
      <c r="I42" t="inlineStr">
        <is>
          <t>Fresh Vegetables</t>
        </is>
      </c>
      <c r="J42" s="2" t="n">
        <v>46247</v>
      </c>
      <c r="K42" s="1" t="n">
        <v>2.08</v>
      </c>
    </row>
    <row r="43" s="65">
      <c r="A43" s="1">
        <f>SUM(K43,M43,O43,Q43,S43,U43)</f>
        <v/>
      </c>
      <c r="C43" t="inlineStr">
        <is>
          <t>Walmart</t>
        </is>
      </c>
      <c r="D43" t="inlineStr">
        <is>
          <t>NA</t>
        </is>
      </c>
      <c r="E43" t="inlineStr">
        <is>
          <t>2 pack) Yehuda Sabbath Candles,12ct</t>
        </is>
      </c>
      <c r="F43" t="inlineStr">
        <is>
          <t>T</t>
        </is>
      </c>
      <c r="G43" t="inlineStr">
        <is>
          <t>0</t>
        </is>
      </c>
      <c r="H43" t="inlineStr">
        <is>
          <t>Yehuda Sabbath Candles</t>
        </is>
      </c>
      <c r="I43" t="inlineStr">
        <is>
          <t>Judaica</t>
        </is>
      </c>
      <c r="J43" s="2" t="n">
        <v>46247</v>
      </c>
      <c r="K43" s="1" t="n">
        <v>3.16</v>
      </c>
    </row>
    <row r="44" s="65">
      <c r="A44" s="1">
        <f>SUM(K44,M44,O44,Q44,S44,U44)</f>
        <v/>
      </c>
      <c r="C44" t="inlineStr">
        <is>
          <t>Walmart</t>
        </is>
      </c>
      <c r="D44" t="inlineStr">
        <is>
          <t>NA</t>
        </is>
      </c>
      <c r="E44" t="inlineStr">
        <is>
          <t>Fresh Yellow Squash, Each 11 weight adjusted aty1</t>
        </is>
      </c>
      <c r="F44" t="inlineStr">
        <is>
          <t>NA</t>
        </is>
      </c>
      <c r="G44" t="inlineStr">
        <is>
          <t>0</t>
        </is>
      </c>
      <c r="H44" t="inlineStr">
        <is>
          <t>Yellow Squash</t>
        </is>
      </c>
      <c r="I44" t="inlineStr">
        <is>
          <t>Fresh Vegetables</t>
        </is>
      </c>
      <c r="J44" s="2" t="n">
        <v>46247</v>
      </c>
      <c r="K44" s="1" t="n">
        <v>0.42</v>
      </c>
      <c r="L44" s="2" t="n">
        <v>46247</v>
      </c>
      <c r="M44" s="1" t="n">
        <v>0.42</v>
      </c>
    </row>
    <row r="45" s="65">
      <c r="A45" s="1">
        <f>SUM(K45,M45,O45,Q45,S45,U45)</f>
        <v/>
      </c>
      <c r="C45" t="inlineStr">
        <is>
          <t>Walmart</t>
        </is>
      </c>
      <c r="D45" t="inlineStr">
        <is>
          <t>NA</t>
        </is>
      </c>
      <c r="E45" t="inlineStr">
        <is>
          <t>Fresh Zucchini, Each 11 weight adjusted aty1</t>
        </is>
      </c>
      <c r="F45" t="inlineStr">
        <is>
          <t>NA</t>
        </is>
      </c>
      <c r="G45" t="inlineStr">
        <is>
          <t>0</t>
        </is>
      </c>
      <c r="H45" t="inlineStr">
        <is>
          <t>Zucchini</t>
        </is>
      </c>
      <c r="I45" t="inlineStr">
        <is>
          <t>Fresh Vegetables</t>
        </is>
      </c>
      <c r="J45" s="2" t="n">
        <v>46247</v>
      </c>
      <c r="K45" s="1" t="n">
        <v>0.6</v>
      </c>
      <c r="L45" s="2" t="n">
        <v>46247</v>
      </c>
      <c r="M45" s="1" t="n">
        <v>0.6</v>
      </c>
    </row>
    <row r="46" s="65">
      <c r="A46" s="1">
        <f>SUM(K46,M46,O46,Q46,S46,U46)</f>
        <v/>
      </c>
      <c r="C46" t="inlineStr">
        <is>
          <t>Walmart</t>
        </is>
      </c>
      <c r="D46" t="inlineStr">
        <is>
          <t>NA</t>
        </is>
      </c>
      <c r="E46" t="inlineStr">
        <is>
          <t>Fresh Whole Red Onion, Each</t>
        </is>
      </c>
      <c r="F46" t="inlineStr">
        <is>
          <t>NA</t>
        </is>
      </c>
      <c r="G46" t="inlineStr">
        <is>
          <t>0</t>
        </is>
      </c>
      <c r="H46" t="inlineStr">
        <is>
          <t>Red Onion</t>
        </is>
      </c>
      <c r="I46" t="inlineStr">
        <is>
          <t>Fresh Vegetables</t>
        </is>
      </c>
      <c r="J46" s="2" t="n">
        <v>46247</v>
      </c>
      <c r="K46" s="1" t="n">
        <v>0.88</v>
      </c>
      <c r="L46" s="2" t="n">
        <v>46247</v>
      </c>
      <c r="M46" s="1" t="n">
        <v>0.88</v>
      </c>
    </row>
    <row r="47" s="65">
      <c r="A47" s="1">
        <f>SUM(K47,M47,O47,Q47,S47,U47)</f>
        <v/>
      </c>
      <c r="C47" t="inlineStr">
        <is>
          <t>Walmart</t>
        </is>
      </c>
      <c r="D47" t="inlineStr">
        <is>
          <t>NA</t>
        </is>
      </c>
      <c r="E47" t="inlineStr">
        <is>
          <t>Fresh Tomato on the Vine, Bag (1.9 lbs/Bag Est.) 11 weight adjusted Qty1</t>
        </is>
      </c>
      <c r="F47" t="inlineStr">
        <is>
          <t>NA</t>
        </is>
      </c>
      <c r="G47" t="inlineStr">
        <is>
          <t>0</t>
        </is>
      </c>
      <c r="H47" t="inlineStr">
        <is>
          <t>Tomatoes on the Vine</t>
        </is>
      </c>
      <c r="I47" t="inlineStr">
        <is>
          <t>Fresh Vegetables</t>
        </is>
      </c>
      <c r="J47" s="2" t="n">
        <v>46247</v>
      </c>
      <c r="K47" s="1" t="n">
        <v>3.85</v>
      </c>
    </row>
    <row r="48" s="65">
      <c r="A48" s="1">
        <f>SUM(K48,M48,O48,Q48,S48,U48)</f>
        <v/>
      </c>
      <c r="C48" t="inlineStr">
        <is>
          <t>Walmart</t>
        </is>
      </c>
      <c r="D48" t="inlineStr">
        <is>
          <t>NA</t>
        </is>
      </c>
      <c r="E48" t="inlineStr">
        <is>
          <t>Fresh Banana, Each 11 weight adjusted Qty7</t>
        </is>
      </c>
      <c r="F48" t="inlineStr">
        <is>
          <t>NA</t>
        </is>
      </c>
      <c r="G48" t="inlineStr">
        <is>
          <t>0</t>
        </is>
      </c>
      <c r="H48" t="inlineStr">
        <is>
          <t>Bananas</t>
        </is>
      </c>
      <c r="I48" t="inlineStr">
        <is>
          <t>Fresh Fruit</t>
        </is>
      </c>
      <c r="J48" s="2" t="n">
        <v>46247</v>
      </c>
      <c r="K48" s="1" t="n">
        <v>1.76</v>
      </c>
      <c r="L48" s="2" t="n">
        <v>46247</v>
      </c>
      <c r="M48" s="1" t="n">
        <v>1.76</v>
      </c>
    </row>
    <row r="49" s="65">
      <c r="A49" s="1">
        <f>SUM(K49,M49,O49,Q49,S49,U49)</f>
        <v/>
      </c>
      <c r="C49" t="inlineStr">
        <is>
          <t>Aldi</t>
        </is>
      </c>
      <c r="D49" t="inlineStr">
        <is>
          <t>383212</t>
        </is>
      </c>
      <c r="E49" t="inlineStr">
        <is>
          <t>GF Wide Pan Bread</t>
        </is>
      </c>
      <c r="F49" t="inlineStr">
        <is>
          <t>NA</t>
        </is>
      </c>
      <c r="G49" t="inlineStr">
        <is>
          <t>160</t>
        </is>
      </c>
      <c r="H49" t="inlineStr">
        <is>
          <t>Gluten-Free Wide Pan Bread</t>
        </is>
      </c>
      <c r="I49" t="inlineStr">
        <is>
          <t>Bread</t>
        </is>
      </c>
      <c r="J49" s="2" t="n">
        <v>46257</v>
      </c>
      <c r="K49" s="1" t="n">
        <v>6.79</v>
      </c>
    </row>
    <row r="50" s="65">
      <c r="A50" s="1">
        <f>SUM(K50,M50,O50,Q50,S50,U50)</f>
        <v/>
      </c>
      <c r="C50" t="inlineStr">
        <is>
          <t>Aldi</t>
        </is>
      </c>
      <c r="D50" t="inlineStr">
        <is>
          <t>356691</t>
        </is>
      </c>
      <c r="E50" t="inlineStr">
        <is>
          <t>Zucchini</t>
        </is>
      </c>
      <c r="F50" t="inlineStr">
        <is>
          <t>NA</t>
        </is>
      </c>
      <c r="G50" t="inlineStr">
        <is>
          <t>160</t>
        </is>
      </c>
      <c r="H50" t="inlineStr">
        <is>
          <t>Zucchini</t>
        </is>
      </c>
      <c r="I50" t="inlineStr">
        <is>
          <t>Fresh Vegetables</t>
        </is>
      </c>
      <c r="J50" s="2" t="n">
        <v>46257</v>
      </c>
      <c r="K50" s="1" t="n">
        <v>2.52</v>
      </c>
    </row>
    <row r="51" s="65">
      <c r="A51" s="1">
        <f>SUM(K51,M51,O51,Q51,S51,U51)</f>
        <v/>
      </c>
      <c r="C51" t="inlineStr">
        <is>
          <t>Aldi</t>
        </is>
      </c>
      <c r="D51" t="inlineStr">
        <is>
          <t>356689</t>
        </is>
      </c>
      <c r="E51" t="inlineStr">
        <is>
          <t>Yellow Squash</t>
        </is>
      </c>
      <c r="F51" t="inlineStr">
        <is>
          <t>NA</t>
        </is>
      </c>
      <c r="G51" t="inlineStr">
        <is>
          <t>160</t>
        </is>
      </c>
      <c r="H51" t="inlineStr">
        <is>
          <t>Yellow Squash</t>
        </is>
      </c>
      <c r="I51" t="inlineStr">
        <is>
          <t>Fresh Vegetables</t>
        </is>
      </c>
      <c r="J51" s="2" t="n">
        <v>46257</v>
      </c>
      <c r="K51" s="1" t="n">
        <v>2.6</v>
      </c>
    </row>
    <row r="52" s="65">
      <c r="A52" s="1">
        <f>SUM(K52,M52,O52,Q52,S52,U52)</f>
        <v/>
      </c>
      <c r="C52" t="inlineStr">
        <is>
          <t>Aldi</t>
        </is>
      </c>
      <c r="D52" t="inlineStr">
        <is>
          <t>356421</t>
        </is>
      </c>
      <c r="E52" t="inlineStr">
        <is>
          <t>Medley Potatoes</t>
        </is>
      </c>
      <c r="F52" t="inlineStr">
        <is>
          <t>NA</t>
        </is>
      </c>
      <c r="G52" t="inlineStr">
        <is>
          <t>160</t>
        </is>
      </c>
      <c r="H52" t="inlineStr">
        <is>
          <t>Medley Potatoes</t>
        </is>
      </c>
      <c r="I52" t="inlineStr">
        <is>
          <t>Fresh Vegetables</t>
        </is>
      </c>
      <c r="J52" s="2" t="n">
        <v>46257</v>
      </c>
      <c r="K52" s="1" t="n">
        <v>3.29</v>
      </c>
    </row>
    <row r="53" s="65">
      <c r="A53" s="1">
        <f>SUM(K53,M53,O53,Q53,S53,U53)</f>
        <v/>
      </c>
      <c r="C53" t="inlineStr">
        <is>
          <t>Aldi</t>
        </is>
      </c>
      <c r="D53" t="inlineStr">
        <is>
          <t>356537</t>
        </is>
      </c>
      <c r="E53" t="inlineStr">
        <is>
          <t>Cilantro</t>
        </is>
      </c>
      <c r="F53" t="inlineStr">
        <is>
          <t>NA</t>
        </is>
      </c>
      <c r="G53" t="inlineStr">
        <is>
          <t>160</t>
        </is>
      </c>
      <c r="H53" t="inlineStr">
        <is>
          <t>Cilantro</t>
        </is>
      </c>
      <c r="I53" t="inlineStr">
        <is>
          <t>Fresh Herbs</t>
        </is>
      </c>
      <c r="J53" s="2" t="n">
        <v>46257</v>
      </c>
      <c r="K53" s="1" t="n">
        <v>0.89</v>
      </c>
    </row>
    <row r="54" s="65">
      <c r="A54" s="1">
        <f>SUM(K54,M54,O54,Q54,S54,U54)</f>
        <v/>
      </c>
      <c r="C54" t="inlineStr">
        <is>
          <t>Aldi</t>
        </is>
      </c>
      <c r="D54" t="inlineStr">
        <is>
          <t>856508</t>
        </is>
      </c>
      <c r="E54" t="inlineStr">
        <is>
          <t>Broccoli Crowns</t>
        </is>
      </c>
      <c r="F54" t="inlineStr">
        <is>
          <t>NA</t>
        </is>
      </c>
      <c r="G54" t="inlineStr">
        <is>
          <t>160</t>
        </is>
      </c>
      <c r="H54" t="inlineStr">
        <is>
          <t>Broccoli Crowns</t>
        </is>
      </c>
      <c r="I54" t="inlineStr">
        <is>
          <t>Fresh Vegetables</t>
        </is>
      </c>
      <c r="J54" s="2" t="n">
        <v>46257</v>
      </c>
      <c r="K54" s="1" t="n">
        <v>3.41</v>
      </c>
    </row>
    <row r="55" s="65">
      <c r="A55" s="1">
        <f>SUM(K55,M55,O55,Q55,S55,U55)</f>
        <v/>
      </c>
      <c r="C55" t="inlineStr">
        <is>
          <t>Aldi</t>
        </is>
      </c>
      <c r="D55" t="inlineStr">
        <is>
          <t>356496</t>
        </is>
      </c>
      <c r="E55" t="inlineStr">
        <is>
          <t>Beefsteak Tomatoes</t>
        </is>
      </c>
      <c r="F55" t="inlineStr">
        <is>
          <t>NA</t>
        </is>
      </c>
      <c r="G55" t="inlineStr">
        <is>
          <t>160</t>
        </is>
      </c>
      <c r="H55" t="inlineStr">
        <is>
          <t>Beefsteak Tomatoes</t>
        </is>
      </c>
      <c r="I55" t="inlineStr">
        <is>
          <t>Fresh Vegetables</t>
        </is>
      </c>
      <c r="J55" s="2" t="n">
        <v>46257</v>
      </c>
      <c r="K55" s="1" t="n">
        <v>2.99</v>
      </c>
    </row>
    <row r="56" s="65">
      <c r="A56" s="1">
        <f>SUM(K56,M56,O56,Q56,S56,U56)</f>
        <v/>
      </c>
      <c r="C56" t="inlineStr">
        <is>
          <t>Aldi</t>
        </is>
      </c>
      <c r="D56" t="inlineStr">
        <is>
          <t>344280</t>
        </is>
      </c>
      <c r="E56" t="inlineStr">
        <is>
          <t>Cauli Crust Pizza</t>
        </is>
      </c>
      <c r="F56" t="inlineStr">
        <is>
          <t>NA</t>
        </is>
      </c>
      <c r="G56" t="inlineStr">
        <is>
          <t>160</t>
        </is>
      </c>
      <c r="H56" t="inlineStr">
        <is>
          <t>Cauliflower Crust Pizza</t>
        </is>
      </c>
      <c r="I56" t="inlineStr">
        <is>
          <t>Frozen Pizza</t>
        </is>
      </c>
      <c r="J56" s="2" t="n">
        <v>46257</v>
      </c>
      <c r="K56" s="1" t="n">
        <v>8.289999999999999</v>
      </c>
    </row>
    <row r="57" s="65">
      <c r="A57" s="1">
        <f>SUM(K57,M57,O57,Q57,S57,U57)</f>
        <v/>
      </c>
      <c r="C57" t="inlineStr">
        <is>
          <t>Aldi</t>
        </is>
      </c>
      <c r="D57" t="inlineStr">
        <is>
          <t>356427</t>
        </is>
      </c>
      <c r="E57" t="inlineStr">
        <is>
          <t>Multi-Peppers 3pk</t>
        </is>
      </c>
      <c r="F57" t="inlineStr">
        <is>
          <t>NA</t>
        </is>
      </c>
      <c r="G57" t="inlineStr">
        <is>
          <t>160</t>
        </is>
      </c>
      <c r="H57" t="inlineStr">
        <is>
          <t>Multi-Color Peppers, 3-Pack</t>
        </is>
      </c>
      <c r="I57" t="inlineStr">
        <is>
          <t>Fresh Vegetables</t>
        </is>
      </c>
      <c r="J57" s="2" t="n">
        <v>46257</v>
      </c>
      <c r="K57" s="1" t="n">
        <v>2.69</v>
      </c>
    </row>
    <row r="58" s="65">
      <c r="A58" s="1">
        <f>SUM(K58,M58,O58,Q58,S58,U58)</f>
        <v/>
      </c>
      <c r="C58" t="inlineStr">
        <is>
          <t>Aldi</t>
        </is>
      </c>
      <c r="D58" t="inlineStr">
        <is>
          <t>356591</t>
        </is>
      </c>
      <c r="E58" t="inlineStr">
        <is>
          <t>Pink Lady Apple</t>
        </is>
      </c>
      <c r="F58" t="inlineStr">
        <is>
          <t>NA</t>
        </is>
      </c>
      <c r="G58" t="inlineStr">
        <is>
          <t>160</t>
        </is>
      </c>
      <c r="H58" t="inlineStr">
        <is>
          <t>Pink Lady Apples</t>
        </is>
      </c>
      <c r="I58" t="inlineStr">
        <is>
          <t>Fresh Fruit</t>
        </is>
      </c>
      <c r="J58" s="2" t="n">
        <v>46257</v>
      </c>
      <c r="K58" s="1" t="n">
        <v>3.69</v>
      </c>
    </row>
    <row r="59" s="65">
      <c r="A59" s="1">
        <f>SUM(K59,M59,O59,Q59,S59,U59)</f>
        <v/>
      </c>
      <c r="C59" t="inlineStr">
        <is>
          <t>Aldi</t>
        </is>
      </c>
      <c r="D59" t="inlineStr">
        <is>
          <t>356488</t>
        </is>
      </c>
      <c r="E59" t="inlineStr">
        <is>
          <t>Baby Carrots</t>
        </is>
      </c>
      <c r="F59" t="inlineStr">
        <is>
          <t>NA</t>
        </is>
      </c>
      <c r="G59" t="inlineStr">
        <is>
          <t>160</t>
        </is>
      </c>
      <c r="H59" t="inlineStr">
        <is>
          <t>Baby Carrots</t>
        </is>
      </c>
      <c r="I59" t="inlineStr">
        <is>
          <t>Fresh Vegetables</t>
        </is>
      </c>
      <c r="J59" s="2" t="n">
        <v>46257</v>
      </c>
      <c r="K59" s="1" t="n">
        <v>1.29</v>
      </c>
    </row>
    <row r="60" s="65">
      <c r="A60" s="1">
        <f>SUM(K60,M60,O60,Q60,S60,U60)</f>
        <v/>
      </c>
      <c r="C60" t="inlineStr">
        <is>
          <t>Aldi</t>
        </is>
      </c>
      <c r="D60" t="inlineStr">
        <is>
          <t>341979</t>
        </is>
      </c>
      <c r="E60" t="inlineStr">
        <is>
          <t>Pine/Water Spears</t>
        </is>
      </c>
      <c r="F60" t="inlineStr">
        <is>
          <t>NA</t>
        </is>
      </c>
      <c r="G60" t="inlineStr">
        <is>
          <t>160</t>
        </is>
      </c>
      <c r="H60" t="inlineStr">
        <is>
          <t>Pineapple &amp; Watermelon Spears</t>
        </is>
      </c>
      <c r="I60" t="inlineStr">
        <is>
          <t>Fresh-Cut Fruit</t>
        </is>
      </c>
      <c r="J60" s="2" t="n">
        <v>46257</v>
      </c>
      <c r="K60" s="1" t="n">
        <v>3.89</v>
      </c>
    </row>
    <row r="61" s="65">
      <c r="A61" s="1">
        <f>SUM(K61,M61,O61,Q61,S61,U61)</f>
        <v/>
      </c>
      <c r="C61" t="inlineStr">
        <is>
          <t>Aldi</t>
        </is>
      </c>
      <c r="D61" t="inlineStr">
        <is>
          <t>356504</t>
        </is>
      </c>
      <c r="E61" t="inlineStr">
        <is>
          <t>Blueberries</t>
        </is>
      </c>
      <c r="F61" t="inlineStr">
        <is>
          <t>NA</t>
        </is>
      </c>
      <c r="G61" t="inlineStr">
        <is>
          <t>160</t>
        </is>
      </c>
      <c r="H61" t="inlineStr">
        <is>
          <t>Blueberries</t>
        </is>
      </c>
      <c r="I61" t="inlineStr">
        <is>
          <t>Fresh Fruit</t>
        </is>
      </c>
      <c r="J61" s="2" t="n">
        <v>46257</v>
      </c>
      <c r="K61" s="1" t="n">
        <v>2.59</v>
      </c>
    </row>
    <row r="62" s="65">
      <c r="A62" s="1">
        <f>SUM(K62,M62,O62,Q62,S62,U62)</f>
        <v/>
      </c>
      <c r="C62" t="inlineStr">
        <is>
          <t>Aldi</t>
        </is>
      </c>
      <c r="D62" t="inlineStr">
        <is>
          <t>356374</t>
        </is>
      </c>
      <c r="E62" t="inlineStr">
        <is>
          <t>Golden Kiwi</t>
        </is>
      </c>
      <c r="F62" t="inlineStr">
        <is>
          <t>NA</t>
        </is>
      </c>
      <c r="G62" t="inlineStr">
        <is>
          <t>160</t>
        </is>
      </c>
      <c r="H62" t="inlineStr">
        <is>
          <t>Golden Kiwi</t>
        </is>
      </c>
      <c r="I62" t="inlineStr">
        <is>
          <t>Fresh Fruit</t>
        </is>
      </c>
      <c r="J62" s="2" t="n">
        <v>46257</v>
      </c>
      <c r="K62" s="1" t="n">
        <v>4.39</v>
      </c>
    </row>
    <row r="63" s="65">
      <c r="A63" s="1">
        <f>SUM(K63,M63,O63,Q63,S63,U63)</f>
        <v/>
      </c>
      <c r="C63" t="inlineStr">
        <is>
          <t>Aldi</t>
        </is>
      </c>
      <c r="D63" t="inlineStr">
        <is>
          <t>343738</t>
        </is>
      </c>
      <c r="E63" t="inlineStr">
        <is>
          <t>Humus Mini Cups</t>
        </is>
      </c>
      <c r="F63" t="inlineStr">
        <is>
          <t>NA</t>
        </is>
      </c>
      <c r="G63" t="inlineStr">
        <is>
          <t>160</t>
        </is>
      </c>
      <c r="H63" t="inlineStr">
        <is>
          <t>Hummus Mini Cups</t>
        </is>
      </c>
      <c r="I63" t="inlineStr">
        <is>
          <t>Dips &amp; Spreads</t>
        </is>
      </c>
      <c r="J63" s="2" t="n">
        <v>46257</v>
      </c>
      <c r="K63" s="1" t="n">
        <v>3.45</v>
      </c>
    </row>
    <row r="64" s="65">
      <c r="A64" s="1">
        <f>SUM(K64,M64,O64,Q64,S64,U64)</f>
        <v/>
      </c>
      <c r="C64" t="inlineStr">
        <is>
          <t>Aldi</t>
        </is>
      </c>
      <c r="D64" t="inlineStr">
        <is>
          <t>NA</t>
        </is>
      </c>
      <c r="E64" t="inlineStr">
        <is>
          <t>LesserEvil Popcorn</t>
        </is>
      </c>
      <c r="F64" t="inlineStr">
        <is>
          <t>NA</t>
        </is>
      </c>
      <c r="G64" t="inlineStr">
        <is>
          <t>160</t>
        </is>
      </c>
      <c r="H64" t="inlineStr">
        <is>
          <t>LesserEvil Popcorn</t>
        </is>
      </c>
      <c r="I64" t="inlineStr">
        <is>
          <t>Popcorn</t>
        </is>
      </c>
      <c r="J64" s="2" t="n">
        <v>46257</v>
      </c>
      <c r="K64" s="1" t="n">
        <v>2.39</v>
      </c>
    </row>
    <row r="65" s="65">
      <c r="A65" s="1">
        <f>SUM(K65,M65,O65,Q65,S65,U65)</f>
        <v/>
      </c>
      <c r="C65" t="inlineStr">
        <is>
          <t>Aldi</t>
        </is>
      </c>
      <c r="D65" t="inlineStr">
        <is>
          <t>262747</t>
        </is>
      </c>
      <c r="E65" t="inlineStr">
        <is>
          <t>Bananas LRW</t>
        </is>
      </c>
      <c r="F65" t="inlineStr">
        <is>
          <t>NA</t>
        </is>
      </c>
      <c r="G65" t="inlineStr">
        <is>
          <t>160</t>
        </is>
      </c>
      <c r="H65" t="inlineStr">
        <is>
          <t>Bananas</t>
        </is>
      </c>
      <c r="I65" t="inlineStr">
        <is>
          <t>Fresh Fruit</t>
        </is>
      </c>
      <c r="J65" s="2" t="n">
        <v>46257</v>
      </c>
      <c r="K65" s="1" t="n">
        <v>1.31</v>
      </c>
    </row>
    <row r="66" s="65">
      <c r="A66" s="1">
        <f>SUM(K66,M66,O66,Q66,S66,U66)</f>
        <v/>
      </c>
      <c r="C66" t="inlineStr">
        <is>
          <t>Aldi</t>
        </is>
      </c>
      <c r="D66" t="inlineStr">
        <is>
          <t>328752</t>
        </is>
      </c>
      <c r="E66" t="inlineStr">
        <is>
          <t>Fruit &amp; Grain Bars</t>
        </is>
      </c>
      <c r="F66" t="inlineStr">
        <is>
          <t>NA</t>
        </is>
      </c>
      <c r="G66" t="inlineStr">
        <is>
          <t>160</t>
        </is>
      </c>
      <c r="H66" t="inlineStr">
        <is>
          <t>Fruit &amp; Grain Bars</t>
        </is>
      </c>
      <c r="I66" t="inlineStr">
        <is>
          <t>Snack Bars</t>
        </is>
      </c>
      <c r="J66" s="2" t="n">
        <v>46257</v>
      </c>
      <c r="K66" s="1" t="n">
        <v>1.99</v>
      </c>
      <c r="L66" s="2" t="n">
        <v>46257</v>
      </c>
      <c r="M66" s="1" t="n">
        <v>1.99</v>
      </c>
    </row>
    <row r="67" s="65">
      <c r="A67" s="1">
        <f>SUM(K67,M67,O67,Q67,S67,U67)</f>
        <v/>
      </c>
      <c r="C67" t="inlineStr">
        <is>
          <t>Aldi</t>
        </is>
      </c>
      <c r="D67" t="inlineStr">
        <is>
          <t>856609</t>
        </is>
      </c>
      <c r="E67" t="inlineStr">
        <is>
          <t>Red Onions</t>
        </is>
      </c>
      <c r="F67" t="inlineStr">
        <is>
          <t>NA</t>
        </is>
      </c>
      <c r="G67" t="inlineStr">
        <is>
          <t>160</t>
        </is>
      </c>
      <c r="H67" t="inlineStr">
        <is>
          <t>Red Onions</t>
        </is>
      </c>
      <c r="I67" t="inlineStr">
        <is>
          <t>Fresh Vegetables</t>
        </is>
      </c>
      <c r="J67" s="2" t="n">
        <v>46257</v>
      </c>
      <c r="K67" s="1" t="n">
        <v>2.49</v>
      </c>
    </row>
    <row r="68" s="65">
      <c r="A68" s="1">
        <f>SUM(K68,M68,O68,Q68,S68,U68)</f>
        <v/>
      </c>
      <c r="C68" t="inlineStr">
        <is>
          <t>Aldi</t>
        </is>
      </c>
      <c r="D68" t="inlineStr">
        <is>
          <t>739153</t>
        </is>
      </c>
      <c r="E68" t="inlineStr">
        <is>
          <t>Organic Chickpeas</t>
        </is>
      </c>
      <c r="F68" t="inlineStr">
        <is>
          <t>NA</t>
        </is>
      </c>
      <c r="G68" t="inlineStr">
        <is>
          <t>160</t>
        </is>
      </c>
      <c r="H68" t="inlineStr">
        <is>
          <t>Organic Chickpeas</t>
        </is>
      </c>
      <c r="I68" t="inlineStr">
        <is>
          <t>Canned Beans &amp; Legumes</t>
        </is>
      </c>
      <c r="J68" s="2" t="n">
        <v>46257</v>
      </c>
      <c r="K68" s="1" t="n">
        <v>0.99</v>
      </c>
      <c r="L68" s="2" t="n">
        <v>46257</v>
      </c>
      <c r="M68" s="1" t="n">
        <v>0.99</v>
      </c>
    </row>
    <row r="69" s="65">
      <c r="A69" s="1">
        <f>SUM(K69,M69,O69,Q69,S69,U69)</f>
        <v/>
      </c>
      <c r="C69" t="inlineStr">
        <is>
          <t>Aldi</t>
        </is>
      </c>
      <c r="D69" t="inlineStr">
        <is>
          <t>381343</t>
        </is>
      </c>
      <c r="E69" t="inlineStr">
        <is>
          <t>Dark Red Kidney</t>
        </is>
      </c>
      <c r="F69" t="inlineStr">
        <is>
          <t>NA</t>
        </is>
      </c>
      <c r="G69" t="inlineStr">
        <is>
          <t>160</t>
        </is>
      </c>
      <c r="H69" t="inlineStr">
        <is>
          <t>Dark Red Kidney Beans</t>
        </is>
      </c>
      <c r="I69" t="inlineStr">
        <is>
          <t>Canned Beans &amp; Legumes</t>
        </is>
      </c>
      <c r="J69" s="2" t="n">
        <v>46257</v>
      </c>
      <c r="K69" s="1" t="n">
        <v>0.85</v>
      </c>
      <c r="L69" s="2" t="n">
        <v>46257</v>
      </c>
      <c r="M69" s="1" t="n">
        <v>0.85</v>
      </c>
    </row>
    <row r="70" s="65">
      <c r="A70" s="1">
        <f>SUM(K70,M70,O70,Q70,S70,U70)</f>
        <v/>
      </c>
      <c r="C70" t="inlineStr">
        <is>
          <t>Aldi</t>
        </is>
      </c>
      <c r="D70" t="inlineStr">
        <is>
          <t>381359</t>
        </is>
      </c>
      <c r="E70" t="inlineStr">
        <is>
          <t>Vinaigrette Drssng</t>
        </is>
      </c>
      <c r="F70" t="inlineStr">
        <is>
          <t>NA</t>
        </is>
      </c>
      <c r="G70" t="inlineStr">
        <is>
          <t>160</t>
        </is>
      </c>
      <c r="H70" t="inlineStr">
        <is>
          <t>Vinaigrette Dressing</t>
        </is>
      </c>
      <c r="I70" t="inlineStr">
        <is>
          <t>Salad Dressing</t>
        </is>
      </c>
      <c r="J70" s="2" t="n">
        <v>46257</v>
      </c>
      <c r="K70" s="1" t="n">
        <v>2.99</v>
      </c>
    </row>
    <row r="71" s="65">
      <c r="A71" s="1">
        <f>SUM(K71,M71,O71,Q71,S71,U71)</f>
        <v/>
      </c>
      <c r="C71" t="inlineStr">
        <is>
          <t>Aldi</t>
        </is>
      </c>
      <c r="D71" t="inlineStr">
        <is>
          <t>356578</t>
        </is>
      </c>
      <c r="E71" t="inlineStr">
        <is>
          <t>Parsley each</t>
        </is>
      </c>
      <c r="F71" t="inlineStr">
        <is>
          <t>NA</t>
        </is>
      </c>
      <c r="G71" t="inlineStr">
        <is>
          <t>160</t>
        </is>
      </c>
      <c r="H71" t="inlineStr">
        <is>
          <t>Parsley</t>
        </is>
      </c>
      <c r="I71" t="inlineStr">
        <is>
          <t>Fresh Herbs</t>
        </is>
      </c>
      <c r="J71" s="2" t="n">
        <v>46257</v>
      </c>
      <c r="K71" s="1" t="n">
        <v>0.95</v>
      </c>
    </row>
    <row r="72" s="65">
      <c r="A72" s="1">
        <f>SUM(K72,M72,O72,Q72,S72,U72)</f>
        <v/>
      </c>
      <c r="C72" t="inlineStr">
        <is>
          <t>Aldi</t>
        </is>
      </c>
      <c r="D72" t="inlineStr">
        <is>
          <t>400462</t>
        </is>
      </c>
      <c r="E72" t="inlineStr">
        <is>
          <t>OG Croutons</t>
        </is>
      </c>
      <c r="F72" t="inlineStr">
        <is>
          <t>NA</t>
        </is>
      </c>
      <c r="G72" t="inlineStr">
        <is>
          <t>160</t>
        </is>
      </c>
      <c r="H72" t="inlineStr">
        <is>
          <t>Organic Croutons</t>
        </is>
      </c>
      <c r="I72" t="inlineStr">
        <is>
          <t>Croutons</t>
        </is>
      </c>
      <c r="J72" s="2" t="n">
        <v>46257</v>
      </c>
      <c r="K72" s="1" t="n">
        <v>1.99</v>
      </c>
    </row>
    <row r="73" s="65">
      <c r="A73" s="1">
        <f>SUM(K73,M73,O73,Q73,S73,U73)</f>
        <v/>
      </c>
      <c r="C73" t="inlineStr">
        <is>
          <t>Aldi</t>
        </is>
      </c>
      <c r="D73" t="inlineStr">
        <is>
          <t>344583</t>
        </is>
      </c>
      <c r="E73" t="inlineStr">
        <is>
          <t>Evryd Plate 8.5in</t>
        </is>
      </c>
      <c r="F73" t="inlineStr">
        <is>
          <t>NA</t>
        </is>
      </c>
      <c r="G73" t="inlineStr">
        <is>
          <t>160</t>
        </is>
      </c>
      <c r="H73" t="inlineStr">
        <is>
          <t>Everyday Paper Plates, 8.5 Inch</t>
        </is>
      </c>
      <c r="I73" t="inlineStr">
        <is>
          <t>Disposable Tableware</t>
        </is>
      </c>
      <c r="J73" s="2" t="n">
        <v>46257</v>
      </c>
      <c r="K73" s="1" t="n">
        <v>5.25</v>
      </c>
    </row>
    <row r="74" s="65">
      <c r="A74" s="1">
        <f>SUM(K74,M74,O74,Q74,S74,U74)</f>
        <v/>
      </c>
      <c r="C74" t="inlineStr">
        <is>
          <t>Aldi</t>
        </is>
      </c>
      <c r="D74" t="inlineStr">
        <is>
          <t>384545</t>
        </is>
      </c>
      <c r="E74" t="inlineStr">
        <is>
          <t>NO Honey Wheat Brd</t>
        </is>
      </c>
      <c r="F74" t="inlineStr">
        <is>
          <t>NA</t>
        </is>
      </c>
      <c r="G74" t="inlineStr">
        <is>
          <t>160</t>
        </is>
      </c>
      <c r="H74" t="inlineStr">
        <is>
          <t>No [or possibly Nature's Own] Honey Wheat Bread</t>
        </is>
      </c>
      <c r="I74" t="inlineStr">
        <is>
          <t>Bread</t>
        </is>
      </c>
      <c r="J74" s="2" t="n">
        <v>46257</v>
      </c>
      <c r="K74" s="1" t="n">
        <v>3.37</v>
      </c>
    </row>
    <row r="75" s="65">
      <c r="A75" s="1">
        <f>SUM(K75,M75,O75,Q75,S75,U75)</f>
        <v/>
      </c>
      <c r="C75" t="inlineStr">
        <is>
          <t>Aldi</t>
        </is>
      </c>
      <c r="D75" t="inlineStr">
        <is>
          <t>730325</t>
        </is>
      </c>
      <c r="E75" t="inlineStr">
        <is>
          <t>3pk_Gel Pens</t>
        </is>
      </c>
      <c r="F75" t="inlineStr">
        <is>
          <t>NA</t>
        </is>
      </c>
      <c r="G75" t="inlineStr">
        <is>
          <t>160</t>
        </is>
      </c>
      <c r="H75" t="inlineStr">
        <is>
          <t>Gel Pens, 3-Pack</t>
        </is>
      </c>
      <c r="I75" t="inlineStr">
        <is>
          <t>Writing Supplies</t>
        </is>
      </c>
      <c r="J75" s="2" t="n">
        <v>46257</v>
      </c>
      <c r="K75" s="1" t="n">
        <v>5.99</v>
      </c>
    </row>
    <row r="76" s="65">
      <c r="A76" s="1">
        <f>SUM(K76,M76,O76,Q76,S76,U76)</f>
        <v/>
      </c>
      <c r="C76" t="inlineStr">
        <is>
          <t>Aldi</t>
        </is>
      </c>
      <c r="D76" t="inlineStr">
        <is>
          <t>720921</t>
        </is>
      </c>
      <c r="E76" t="inlineStr">
        <is>
          <t>PB Toast Crackers FA</t>
        </is>
      </c>
      <c r="F76" t="inlineStr">
        <is>
          <t>NA</t>
        </is>
      </c>
      <c r="G76" t="inlineStr">
        <is>
          <t>160</t>
        </is>
      </c>
      <c r="H76" t="inlineStr">
        <is>
          <t>Peanut Butter Toast Crackers</t>
        </is>
      </c>
      <c r="I76" t="inlineStr">
        <is>
          <t>Crackers</t>
        </is>
      </c>
      <c r="J76" s="2" t="n">
        <v>46257</v>
      </c>
      <c r="K76" s="1" t="n">
        <v>2.79</v>
      </c>
    </row>
    <row r="77" s="65">
      <c r="A77" s="1">
        <f>SUM(K77,M77,O77,Q77,S77,U77)</f>
        <v/>
      </c>
      <c r="C77" t="inlineStr">
        <is>
          <t>Aldi</t>
        </is>
      </c>
      <c r="D77" t="inlineStr">
        <is>
          <t>383548</t>
        </is>
      </c>
      <c r="E77" t="inlineStr">
        <is>
          <t>Goat Cheese Logs</t>
        </is>
      </c>
      <c r="F77" t="inlineStr">
        <is>
          <t>NA</t>
        </is>
      </c>
      <c r="G77" t="inlineStr">
        <is>
          <t>160</t>
        </is>
      </c>
      <c r="H77" t="inlineStr">
        <is>
          <t>Goat Cheese Logs</t>
        </is>
      </c>
      <c r="I77" t="inlineStr">
        <is>
          <t>Specialty Cheese</t>
        </is>
      </c>
      <c r="J77" s="2" t="n">
        <v>46257</v>
      </c>
      <c r="K77" s="1" t="n">
        <v>1.99</v>
      </c>
    </row>
    <row r="78" s="65">
      <c r="A78" s="1">
        <f>SUM(K78,M78,O78,Q78,S78,U78)</f>
        <v/>
      </c>
      <c r="C78" t="inlineStr">
        <is>
          <t>Aldi</t>
        </is>
      </c>
      <c r="D78" t="inlineStr">
        <is>
          <t>713372</t>
        </is>
      </c>
      <c r="E78" t="inlineStr">
        <is>
          <t>Feta Crumbles</t>
        </is>
      </c>
      <c r="F78" t="inlineStr">
        <is>
          <t>NA</t>
        </is>
      </c>
      <c r="G78" t="inlineStr">
        <is>
          <t>160</t>
        </is>
      </c>
      <c r="H78" t="inlineStr">
        <is>
          <t>Feta Cheese Crumbles</t>
        </is>
      </c>
      <c r="I78" t="inlineStr">
        <is>
          <t>Specialty Cheese</t>
        </is>
      </c>
      <c r="J78" s="2" t="n">
        <v>46257</v>
      </c>
      <c r="K78" s="1" t="n">
        <v>2.89</v>
      </c>
    </row>
    <row r="79" s="65">
      <c r="A79" s="1">
        <f>SUM(K79,M79,O79,Q79,S79,U79)</f>
        <v/>
      </c>
      <c r="C79" t="inlineStr">
        <is>
          <t>Aldi</t>
        </is>
      </c>
      <c r="D79" t="inlineStr">
        <is>
          <t>NA</t>
        </is>
      </c>
      <c r="E79" t="inlineStr">
        <is>
          <t>CollapsibleStorage</t>
        </is>
      </c>
      <c r="F79" t="inlineStr">
        <is>
          <t>NA</t>
        </is>
      </c>
      <c r="G79" t="inlineStr">
        <is>
          <t>160</t>
        </is>
      </c>
      <c r="H79" t="inlineStr">
        <is>
          <t>Collapsible Storage Container/Bin</t>
        </is>
      </c>
      <c r="I79" t="inlineStr">
        <is>
          <t>Storage &amp; Organization</t>
        </is>
      </c>
      <c r="J79" s="2" t="n">
        <v>46257</v>
      </c>
      <c r="K79" s="1" t="n">
        <v>5.99</v>
      </c>
    </row>
    <row r="80" s="65">
      <c r="A80" s="1">
        <f>SUM(K80,M80,O80,Q80,S80,U80)</f>
        <v/>
      </c>
      <c r="C80" t="inlineStr">
        <is>
          <t>Trader Joe's</t>
        </is>
      </c>
      <c r="D80" t="inlineStr">
        <is>
          <t>NA</t>
        </is>
      </c>
      <c r="E80" t="inlineStr">
        <is>
          <t>R-STRAWBERRIES 1 LB</t>
        </is>
      </c>
      <c r="F80" t="inlineStr">
        <is>
          <t>NA</t>
        </is>
      </c>
      <c r="G80" t="inlineStr">
        <is>
          <t>0848</t>
        </is>
      </c>
      <c r="H80" t="inlineStr">
        <is>
          <t>Strawberries, 1 lb</t>
        </is>
      </c>
      <c r="I80" t="inlineStr">
        <is>
          <t>Fresh Fruit</t>
        </is>
      </c>
      <c r="J80" s="2" t="n">
        <v>46258</v>
      </c>
      <c r="K80" s="1" t="n">
        <v>3.99</v>
      </c>
    </row>
    <row r="81" s="65">
      <c r="A81" s="1">
        <f>SUM(K81,M81,O81,Q81,S81,U81)</f>
        <v/>
      </c>
      <c r="C81" t="inlineStr">
        <is>
          <t>Trader Joe's</t>
        </is>
      </c>
      <c r="D81" t="inlineStr">
        <is>
          <t>NA</t>
        </is>
      </c>
      <c r="E81" t="inlineStr">
        <is>
          <t>FIRE ROASTED RED PEPPERS</t>
        </is>
      </c>
      <c r="F81" t="inlineStr">
        <is>
          <t>NA</t>
        </is>
      </c>
      <c r="G81" t="inlineStr">
        <is>
          <t>0848</t>
        </is>
      </c>
      <c r="H81" t="inlineStr">
        <is>
          <t>Fire Roasted Red Peppers</t>
        </is>
      </c>
      <c r="I81" t="inlineStr">
        <is>
          <t>Jarred Vegetables</t>
        </is>
      </c>
      <c r="J81" s="2" t="n">
        <v>46258</v>
      </c>
      <c r="K81" s="1" t="n">
        <v>3.29</v>
      </c>
    </row>
    <row r="82" s="65">
      <c r="A82" s="1">
        <f>SUM(K82,M82,O82,Q82,S82,U82)</f>
        <v/>
      </c>
      <c r="C82" t="inlineStr">
        <is>
          <t>Trader Joe's</t>
        </is>
      </c>
      <c r="D82" t="inlineStr">
        <is>
          <t>NA</t>
        </is>
      </c>
      <c r="E82" t="inlineStr">
        <is>
          <t>PASTA CHICKPEA FUSILLI</t>
        </is>
      </c>
      <c r="F82" t="inlineStr">
        <is>
          <t>NA</t>
        </is>
      </c>
      <c r="G82" t="inlineStr">
        <is>
          <t>0848</t>
        </is>
      </c>
      <c r="H82" t="inlineStr">
        <is>
          <t>Chickpea Fusilli Pasta</t>
        </is>
      </c>
      <c r="I82" t="inlineStr">
        <is>
          <t>Pasta</t>
        </is>
      </c>
      <c r="J82" s="2" t="n">
        <v>46258</v>
      </c>
      <c r="K82" s="1" t="n">
        <v>2.99</v>
      </c>
    </row>
    <row r="83" s="65">
      <c r="A83" s="1">
        <f>SUM(K83,M83,O83,Q83,S83,U83)</f>
        <v/>
      </c>
      <c r="C83" t="inlineStr">
        <is>
          <t>Publix</t>
        </is>
      </c>
      <c r="D83" t="inlineStr">
        <is>
          <t>NA</t>
        </is>
      </c>
      <c r="E83" t="inlineStr">
        <is>
          <t>Stony Yobaby Pouch Peach</t>
        </is>
      </c>
      <c r="F83" t="inlineStr">
        <is>
          <t>F</t>
        </is>
      </c>
      <c r="G83" t="inlineStr">
        <is>
          <t>1058</t>
        </is>
      </c>
      <c r="H83" t="inlineStr">
        <is>
          <t>Stonyfield Organic YoBaby Yogurt Pouch, Peach</t>
        </is>
      </c>
      <c r="I83" t="inlineStr">
        <is>
          <t>Yogurt</t>
        </is>
      </c>
      <c r="J83" s="2" t="n">
        <v>46259</v>
      </c>
      <c r="K83" s="1" t="n">
        <v>7.85</v>
      </c>
    </row>
    <row r="84" s="65">
      <c r="A84" s="1">
        <f>SUM(K84,M84,O84,Q84,S84,U84)</f>
        <v/>
      </c>
      <c r="C84" t="inlineStr">
        <is>
          <t>Publix</t>
        </is>
      </c>
      <c r="D84" t="inlineStr">
        <is>
          <t>NA</t>
        </is>
      </c>
      <c r="E84" t="inlineStr">
        <is>
          <t>Stony Yobaby Pouch Banana</t>
        </is>
      </c>
      <c r="F84" t="inlineStr">
        <is>
          <t>F</t>
        </is>
      </c>
      <c r="G84" t="inlineStr">
        <is>
          <t>1058</t>
        </is>
      </c>
      <c r="H84" t="inlineStr">
        <is>
          <t>Stonyfield Organic YoBaby Yogurt Pouch, Banana</t>
        </is>
      </c>
      <c r="I84" t="inlineStr">
        <is>
          <t>Yogurt</t>
        </is>
      </c>
      <c r="J84" s="2" t="n">
        <v>46259</v>
      </c>
      <c r="K84" s="1" t="n">
        <v>7.85</v>
      </c>
    </row>
    <row r="85" s="65">
      <c r="A85" s="1">
        <f>SUM(K85,M85,O85,Q85,S85,U85)</f>
        <v/>
      </c>
      <c r="C85" t="inlineStr">
        <is>
          <t>Publix</t>
        </is>
      </c>
      <c r="D85" t="inlineStr">
        <is>
          <t>NA</t>
        </is>
      </c>
      <c r="E85" t="inlineStr">
        <is>
          <t>Sweet Loren's Gf Brownie</t>
        </is>
      </c>
      <c r="F85" t="inlineStr">
        <is>
          <t>F</t>
        </is>
      </c>
      <c r="G85" t="inlineStr">
        <is>
          <t>1058</t>
        </is>
      </c>
      <c r="H85" t="inlineStr">
        <is>
          <t>Sweet Loren's Gluten Free Brownie Cookie Dough</t>
        </is>
      </c>
      <c r="I85" t="inlineStr">
        <is>
          <t>Refrigerated Dough</t>
        </is>
      </c>
      <c r="J85" s="2" t="n">
        <v>46259</v>
      </c>
      <c r="K85" s="1" t="n">
        <v>6.99</v>
      </c>
    </row>
    <row r="86" s="65">
      <c r="A86" s="1">
        <f>SUM(K86,M86,O86,Q86,S86,U86)</f>
        <v/>
      </c>
      <c r="C86" t="inlineStr">
        <is>
          <t>Walmart</t>
        </is>
      </c>
      <c r="D86" t="inlineStr">
        <is>
          <t>NA</t>
        </is>
      </c>
      <c r="E86" t="inlineStr">
        <is>
          <t>Tax</t>
        </is>
      </c>
      <c r="F86" t="inlineStr">
        <is>
          <t>NA</t>
        </is>
      </c>
      <c r="G86" t="inlineStr">
        <is>
          <t>0</t>
        </is>
      </c>
      <c r="H86" t="inlineStr">
        <is>
          <t>Tax</t>
        </is>
      </c>
      <c r="I86" t="inlineStr">
        <is>
          <t>Fees &amp; Charges</t>
        </is>
      </c>
      <c r="J86" s="2" t="n">
        <v>46240</v>
      </c>
      <c r="K86" s="1" t="n">
        <v>3.48</v>
      </c>
      <c r="L86" s="2" t="n">
        <v>46241</v>
      </c>
      <c r="M86" s="1" t="n">
        <v>3.48</v>
      </c>
      <c r="N86" s="2" t="n">
        <v>46247</v>
      </c>
      <c r="O86" s="1" t="n">
        <v>1.76</v>
      </c>
      <c r="P86" s="2" t="n">
        <v>46260</v>
      </c>
      <c r="Q86" s="1" t="n">
        <v>6.35</v>
      </c>
      <c r="R86" s="2" t="n">
        <v>46260</v>
      </c>
      <c r="S86" s="1" t="n">
        <v>6.35</v>
      </c>
    </row>
    <row r="87" s="65">
      <c r="A87" s="1">
        <f>SUM(K87,M87,O87,Q87,S87,U87)</f>
        <v/>
      </c>
      <c r="C87" t="inlineStr">
        <is>
          <t>Walmart</t>
        </is>
      </c>
      <c r="D87" t="inlineStr">
        <is>
          <t>NA</t>
        </is>
      </c>
      <c r="E87" t="inlineStr">
        <is>
          <t>Driver tip</t>
        </is>
      </c>
      <c r="F87" t="inlineStr">
        <is>
          <t>NA</t>
        </is>
      </c>
      <c r="G87" t="inlineStr">
        <is>
          <t>0</t>
        </is>
      </c>
      <c r="H87" t="inlineStr">
        <is>
          <t>Driver Tip</t>
        </is>
      </c>
      <c r="I87" t="inlineStr">
        <is>
          <t>Fees &amp; Charges</t>
        </is>
      </c>
      <c r="J87" s="2" t="n">
        <v>46240</v>
      </c>
      <c r="K87" s="1" t="n">
        <v>16.92</v>
      </c>
      <c r="L87" s="2" t="n">
        <v>46247</v>
      </c>
      <c r="M87" s="1" t="n">
        <v>17.72</v>
      </c>
      <c r="N87" s="2" t="n">
        <v>46260</v>
      </c>
      <c r="O87" s="1" t="n">
        <v>12.14</v>
      </c>
    </row>
    <row r="88" s="65">
      <c r="A88" s="1">
        <f>SUM(K88,M88,O88,Q88,S88,U88)</f>
        <v/>
      </c>
      <c r="C88" t="inlineStr">
        <is>
          <t>Walmart</t>
        </is>
      </c>
      <c r="D88" t="inlineStr">
        <is>
          <t>NA</t>
        </is>
      </c>
      <c r="E88" t="inlineStr">
        <is>
          <t>Command Heavy Duty Picture Hangers, Hold 20 tbs, Black, Damage-Free Hanging, 8 Pairs Adhesive Strips</t>
        </is>
      </c>
      <c r="F88" t="inlineStr">
        <is>
          <t>NA</t>
        </is>
      </c>
      <c r="G88" t="inlineStr">
        <is>
          <t>0</t>
        </is>
      </c>
      <c r="H88" t="inlineStr">
        <is>
          <t>Command Heavy Duty Picture Hangers</t>
        </is>
      </c>
      <c r="I88" t="inlineStr">
        <is>
          <t>Home Improvement</t>
        </is>
      </c>
      <c r="J88" s="2" t="n">
        <v>46260</v>
      </c>
      <c r="K88" s="1" t="n">
        <v>28.54</v>
      </c>
    </row>
    <row r="89" s="65">
      <c r="A89" s="1">
        <f>SUM(K89,M89,O89,Q89,S89,U89)</f>
        <v/>
      </c>
      <c r="C89" t="inlineStr">
        <is>
          <t>Walmart</t>
        </is>
      </c>
      <c r="D89" t="inlineStr">
        <is>
          <t>NA</t>
        </is>
      </c>
      <c r="E89" t="inlineStr">
        <is>
          <t>Dove Men+Care Antiperspirant Deodorant Stick 72-Hour Sweat &amp; Odor Protection Clean Comfort Antiperspirant For Men</t>
        </is>
      </c>
      <c r="F89" t="inlineStr">
        <is>
          <t>NA</t>
        </is>
      </c>
      <c r="G89" t="inlineStr">
        <is>
          <t>0</t>
        </is>
      </c>
      <c r="H89" t="inlineStr">
        <is>
          <t>Dove Men+Care Antiperspirant</t>
        </is>
      </c>
      <c r="I89" t="inlineStr">
        <is>
          <t>Deodorant</t>
        </is>
      </c>
      <c r="J89" s="2" t="n">
        <v>46260</v>
      </c>
      <c r="K89" t="inlineStr">
        <is>
          <t>NA</t>
        </is>
      </c>
    </row>
    <row r="90" s="65">
      <c r="A90" s="1">
        <f>SUM(K90,M90,O90,Q90,S90,U90)</f>
        <v/>
      </c>
      <c r="C90" t="inlineStr">
        <is>
          <t>Walmart</t>
        </is>
      </c>
      <c r="D90" t="inlineStr">
        <is>
          <t>NA</t>
        </is>
      </c>
      <c r="E90" t="inlineStr">
        <is>
          <t>Dawn Ultra 11" Puff Glassware and Dish Cleaning Brush Wand with Sponge Head</t>
        </is>
      </c>
      <c r="F90" t="inlineStr">
        <is>
          <t>NA</t>
        </is>
      </c>
      <c r="G90" t="inlineStr">
        <is>
          <t>0</t>
        </is>
      </c>
      <c r="H90" t="inlineStr">
        <is>
          <t>Dawn Dish Cleaning Brush Wand</t>
        </is>
      </c>
      <c r="I90" t="inlineStr">
        <is>
          <t>Dishwashing Supplies</t>
        </is>
      </c>
      <c r="J90" s="2" t="n">
        <v>46260</v>
      </c>
      <c r="K90" s="1" t="n">
        <v>4.46</v>
      </c>
    </row>
    <row r="91" s="65">
      <c r="A91" s="1">
        <f>SUM(K91,M91,O91,Q91,S91,U91)</f>
        <v/>
      </c>
      <c r="C91" t="inlineStr">
        <is>
          <t>Walmart</t>
        </is>
      </c>
      <c r="D91" t="inlineStr">
        <is>
          <t>NA</t>
        </is>
      </c>
      <c r="E91" t="inlineStr">
        <is>
          <t>Once Upon a Farm Organic Tractor Wheels Toddler Bar, Apple, Sweet Potato &amp; Spinach, 10ct</t>
        </is>
      </c>
      <c r="F91" t="inlineStr">
        <is>
          <t>NA</t>
        </is>
      </c>
      <c r="G91" t="inlineStr">
        <is>
          <t>0</t>
        </is>
      </c>
      <c r="H91" t="inlineStr">
        <is>
          <t>Once Upon a Farm Tractor Wheels Toddler Bars</t>
        </is>
      </c>
      <c r="I91" t="inlineStr">
        <is>
          <t>Baby &amp; Toddler Food</t>
        </is>
      </c>
      <c r="J91" s="2" t="n">
        <v>46260</v>
      </c>
      <c r="K91" s="1" t="n">
        <v>9.98</v>
      </c>
    </row>
    <row r="92" s="65">
      <c r="A92" s="1">
        <f>SUM(K92,M92,O92,Q92,S92,U92)</f>
        <v/>
      </c>
      <c r="C92" t="inlineStr">
        <is>
          <t>Walmart</t>
        </is>
      </c>
      <c r="D92" t="inlineStr">
        <is>
          <t>NA</t>
        </is>
      </c>
      <c r="E92" t="inlineStr">
        <is>
          <t>Weiman Granite &amp; Stone Disinfectant Cleaner &amp; Polish, 24 floz</t>
        </is>
      </c>
      <c r="F92" t="inlineStr">
        <is>
          <t>NA</t>
        </is>
      </c>
      <c r="G92" t="inlineStr">
        <is>
          <t>0</t>
        </is>
      </c>
      <c r="H92" t="inlineStr">
        <is>
          <t>Weiman Granite &amp; Stone Cleaner &amp; Polish</t>
        </is>
      </c>
      <c r="I92" t="inlineStr">
        <is>
          <t>Household Cleaners</t>
        </is>
      </c>
      <c r="J92" s="2" t="n">
        <v>46260</v>
      </c>
      <c r="K92" s="1" t="n">
        <v>6.24</v>
      </c>
    </row>
    <row r="93" s="65">
      <c r="A93" s="1">
        <f>SUM(K93,M93,O93,Q93,S93,U93)</f>
        <v/>
      </c>
      <c r="C93" t="inlineStr">
        <is>
          <t>Walmart</t>
        </is>
      </c>
      <c r="D93" t="inlineStr">
        <is>
          <t>NA</t>
        </is>
      </c>
      <c r="E93" t="inlineStr">
        <is>
          <t>Chobani Low-Fat Vanilla Greek Yogurt Mixed Berry On The Bottom, Hero Batch z 4PK</t>
        </is>
      </c>
      <c r="F93" t="inlineStr">
        <is>
          <t>NA</t>
        </is>
      </c>
      <c r="G93" t="inlineStr">
        <is>
          <t>0</t>
        </is>
      </c>
      <c r="H93" t="inlineStr">
        <is>
          <t>Chobani Vanilla Mixed Berry Greek Yogurt</t>
        </is>
      </c>
      <c r="I93" t="inlineStr">
        <is>
          <t>Yogurt</t>
        </is>
      </c>
      <c r="J93" s="2" t="n">
        <v>46260</v>
      </c>
      <c r="K93" s="1" t="n">
        <v>4.67</v>
      </c>
    </row>
    <row r="94" s="65">
      <c r="A94" s="1">
        <f>SUM(K94,M94,O94,Q94,S94,U94)</f>
        <v/>
      </c>
      <c r="C94" t="inlineStr">
        <is>
          <t>Walmart</t>
        </is>
      </c>
      <c r="D94" t="inlineStr">
        <is>
          <t>NA</t>
        </is>
      </c>
      <c r="E94" t="inlineStr">
        <is>
          <t>Fresh Banana, Each 4 weight adjusted aty4</t>
        </is>
      </c>
      <c r="F94" t="inlineStr">
        <is>
          <t>NA</t>
        </is>
      </c>
      <c r="G94" t="inlineStr">
        <is>
          <t>0</t>
        </is>
      </c>
      <c r="H94" t="inlineStr">
        <is>
          <t>Bananas</t>
        </is>
      </c>
      <c r="I94" t="inlineStr">
        <is>
          <t>Fresh Fruit</t>
        </is>
      </c>
      <c r="J94" s="2" t="n">
        <v>46260</v>
      </c>
      <c r="K94" s="1" t="n">
        <v>0.6</v>
      </c>
      <c r="L94" s="2" t="n">
        <v>46260</v>
      </c>
      <c r="M94" s="1" t="n">
        <v>0.6</v>
      </c>
    </row>
    <row r="95" s="65">
      <c r="A95" s="1">
        <f>SUM(K95,M95,O95,Q95,S95,U95)</f>
        <v/>
      </c>
      <c r="C95" t="inlineStr">
        <is>
          <t>Honey Pineapple</t>
        </is>
      </c>
      <c r="D95" t="inlineStr">
        <is>
          <t>NA</t>
        </is>
      </c>
      <c r="E95" t="inlineStr">
        <is>
          <t>1 Caramel Macchiato</t>
        </is>
      </c>
      <c r="F95" t="inlineStr">
        <is>
          <t>NA</t>
        </is>
      </c>
      <c r="G95" t="inlineStr">
        <is>
          <t>NA</t>
        </is>
      </c>
      <c r="H95" t="inlineStr">
        <is>
          <t>1 Caramel Macchiato</t>
        </is>
      </c>
      <c r="I95" t="inlineStr">
        <is>
          <t>Prepared Coffee</t>
        </is>
      </c>
      <c r="J95" s="2" t="n">
        <v>46261</v>
      </c>
      <c r="K95" s="1" t="n">
        <v>5.5</v>
      </c>
    </row>
    <row r="96" s="65">
      <c r="A96" s="1">
        <f>SUM(K96,M96,O96,Q96,S96,U96)</f>
        <v/>
      </c>
      <c r="C96" t="inlineStr">
        <is>
          <t>Honey Pineapple</t>
        </is>
      </c>
      <c r="D96" t="inlineStr">
        <is>
          <t>NA</t>
        </is>
      </c>
      <c r="E96" t="inlineStr">
        <is>
          <t>1 Iced Caramel Macchiato</t>
        </is>
      </c>
      <c r="F96" t="inlineStr">
        <is>
          <t>NA</t>
        </is>
      </c>
      <c r="G96" t="inlineStr">
        <is>
          <t>NA</t>
        </is>
      </c>
      <c r="H96" t="inlineStr">
        <is>
          <t>1 Iced Caramel Macchiato</t>
        </is>
      </c>
      <c r="I96" t="inlineStr">
        <is>
          <t>Prepared Coffee</t>
        </is>
      </c>
      <c r="J96" s="2" t="n">
        <v>46261</v>
      </c>
      <c r="K96" s="1" t="n">
        <v>5.5</v>
      </c>
    </row>
    <row r="97" s="65">
      <c r="A97" s="1">
        <f>SUM(K97,M97,O97,Q97,S97,U97)</f>
        <v/>
      </c>
      <c r="C97" t="inlineStr">
        <is>
          <t>Honey Pineapple</t>
        </is>
      </c>
      <c r="D97" t="inlineStr">
        <is>
          <t>NA</t>
        </is>
      </c>
      <c r="E97" t="inlineStr">
        <is>
          <t>1 Frenchy Plate</t>
        </is>
      </c>
      <c r="F97" t="inlineStr">
        <is>
          <t>LF</t>
        </is>
      </c>
      <c r="G97" t="inlineStr">
        <is>
          <t>NA</t>
        </is>
      </c>
      <c r="H97" t="inlineStr">
        <is>
          <t>1 Frenchy Plate</t>
        </is>
      </c>
      <c r="I97" t="inlineStr">
        <is>
          <t>Prepared Meals</t>
        </is>
      </c>
      <c r="J97" s="2" t="n">
        <v>46261</v>
      </c>
      <c r="K97" s="1" t="n">
        <v>14.9</v>
      </c>
    </row>
    <row r="98" s="65">
      <c r="A98" s="1">
        <f>SUM(K98,M98,O98,Q98,S98,U98)</f>
        <v/>
      </c>
      <c r="C98" t="inlineStr">
        <is>
          <t>Honey Pineapple</t>
        </is>
      </c>
      <c r="D98" t="inlineStr">
        <is>
          <t>NA</t>
        </is>
      </c>
      <c r="E98" t="inlineStr">
        <is>
          <t>1 Chicken N French Toast</t>
        </is>
      </c>
      <c r="F98" t="inlineStr">
        <is>
          <t>T</t>
        </is>
      </c>
      <c r="G98" t="inlineStr">
        <is>
          <t>NA</t>
        </is>
      </c>
      <c r="H98" t="inlineStr">
        <is>
          <t>1 Chicken N French Toast</t>
        </is>
      </c>
      <c r="I98" t="inlineStr">
        <is>
          <t>Prepared Meals</t>
        </is>
      </c>
      <c r="J98" s="2" t="n">
        <v>46261</v>
      </c>
      <c r="K98" s="1" t="n">
        <v>16.3</v>
      </c>
    </row>
    <row r="99" s="65">
      <c r="A99" s="1">
        <f>SUM(K99,M99,O99,Q99,S99,U99)</f>
        <v/>
      </c>
      <c r="C99" t="inlineStr">
        <is>
          <t>Honey Pineapple</t>
        </is>
      </c>
      <c r="D99" t="inlineStr">
        <is>
          <t>NA</t>
        </is>
      </c>
      <c r="E99" t="inlineStr">
        <is>
          <t>Tax</t>
        </is>
      </c>
      <c r="F99" t="inlineStr">
        <is>
          <t>NA</t>
        </is>
      </c>
      <c r="G99" t="inlineStr">
        <is>
          <t>NA</t>
        </is>
      </c>
      <c r="H99" t="inlineStr">
        <is>
          <t>Tax</t>
        </is>
      </c>
      <c r="I99" t="inlineStr">
        <is>
          <t>Fees &amp; Charges</t>
        </is>
      </c>
      <c r="J99" s="2" t="n">
        <v>46261</v>
      </c>
      <c r="K99" s="1" t="n">
        <v>2.96</v>
      </c>
    </row>
    <row r="100" s="65">
      <c r="A100" s="1">
        <f>SUM(K100,M100,O100,Q100,S100,U100)</f>
        <v/>
      </c>
      <c r="C100" t="inlineStr">
        <is>
          <t>Honey Pineapple</t>
        </is>
      </c>
      <c r="D100" t="inlineStr">
        <is>
          <t>NA</t>
        </is>
      </c>
      <c r="E100" t="inlineStr">
        <is>
          <t>Tip</t>
        </is>
      </c>
      <c r="F100" t="inlineStr">
        <is>
          <t>NA</t>
        </is>
      </c>
      <c r="G100" t="inlineStr">
        <is>
          <t>NA</t>
        </is>
      </c>
      <c r="H100" t="inlineStr">
        <is>
          <t>Tip</t>
        </is>
      </c>
      <c r="I100" t="inlineStr">
        <is>
          <t>Fees &amp; Charges</t>
        </is>
      </c>
      <c r="J100" s="2" t="n">
        <v>46261</v>
      </c>
      <c r="K100" s="1" t="n">
        <v>2.96</v>
      </c>
    </row>
    <row r="101" s="65">
      <c r="A101" s="1">
        <f>SUM(K101,M101,O101,Q101,S101,U101)</f>
        <v/>
      </c>
      <c r="C101" t="inlineStr">
        <is>
          <t>Publix</t>
        </is>
      </c>
      <c r="D101" t="inlineStr">
        <is>
          <t>NA</t>
        </is>
      </c>
      <c r="E101" t="inlineStr">
        <is>
          <t>Jif Nsa P/B Creamy</t>
        </is>
      </c>
      <c r="F101" t="inlineStr">
        <is>
          <t>F</t>
        </is>
      </c>
      <c r="G101" t="inlineStr">
        <is>
          <t>120</t>
        </is>
      </c>
      <c r="H101" t="inlineStr">
        <is>
          <t>Jif No Sugar Added Creamy Peanut Butter</t>
        </is>
      </c>
      <c r="I101" t="inlineStr">
        <is>
          <t>Peanut Butter</t>
        </is>
      </c>
      <c r="J101" s="2" t="n">
        <v>46262</v>
      </c>
      <c r="K101" s="1" t="n">
        <v>3.69</v>
      </c>
    </row>
    <row r="102" s="65">
      <c r="A102" s="1">
        <f>SUM(K102,M102,O102,Q102,S102,U102)</f>
        <v/>
      </c>
      <c r="C102" t="inlineStr">
        <is>
          <t>Publix</t>
        </is>
      </c>
      <c r="D102" t="inlineStr">
        <is>
          <t>NA</t>
        </is>
      </c>
      <c r="E102" t="inlineStr">
        <is>
          <t>King Arth G/ Pnck Hix</t>
        </is>
      </c>
      <c r="F102" t="inlineStr">
        <is>
          <t>F</t>
        </is>
      </c>
      <c r="G102" t="inlineStr">
        <is>
          <t>120</t>
        </is>
      </c>
      <c r="H102" t="inlineStr">
        <is>
          <t>King Arthur Gluten-Free Pancake Mix</t>
        </is>
      </c>
      <c r="I102" t="inlineStr">
        <is>
          <t>Baking Mixes</t>
        </is>
      </c>
      <c r="J102" s="2" t="n">
        <v>46262</v>
      </c>
      <c r="K102" s="1" t="n">
        <v>5.15</v>
      </c>
    </row>
    <row r="103" s="65">
      <c r="A103" s="1">
        <f>SUM(K103,M103,O103,Q103,S103,U103)</f>
        <v/>
      </c>
      <c r="C103" t="inlineStr">
        <is>
          <t>Publix</t>
        </is>
      </c>
      <c r="D103" t="inlineStr">
        <is>
          <t>NA</t>
        </is>
      </c>
      <c r="E103" t="inlineStr">
        <is>
          <t>Bagged Green Beans</t>
        </is>
      </c>
      <c r="F103" t="inlineStr">
        <is>
          <t>F</t>
        </is>
      </c>
      <c r="G103" t="inlineStr">
        <is>
          <t>120</t>
        </is>
      </c>
      <c r="H103" t="inlineStr">
        <is>
          <t>Green Beans</t>
        </is>
      </c>
      <c r="I103" t="inlineStr">
        <is>
          <t>Fresh Vegetables</t>
        </is>
      </c>
      <c r="J103" s="2" t="n">
        <v>46262</v>
      </c>
      <c r="K103" s="1" t="n">
        <v>2.99</v>
      </c>
    </row>
    <row r="104" s="65">
      <c r="A104" s="1">
        <f>SUM(K104,M104,O104,Q104,S104,U104)</f>
        <v/>
      </c>
      <c r="C104" t="inlineStr">
        <is>
          <t>Publix</t>
        </is>
      </c>
      <c r="D104" t="inlineStr">
        <is>
          <t>NA</t>
        </is>
      </c>
      <c r="E104" t="inlineStr">
        <is>
          <t>Potato Nibbles Ruby Sensa</t>
        </is>
      </c>
      <c r="F104" t="inlineStr">
        <is>
          <t>F</t>
        </is>
      </c>
      <c r="G104" t="inlineStr">
        <is>
          <t>120</t>
        </is>
      </c>
      <c r="H104" t="inlineStr">
        <is>
          <t>Ruby Sensation Potato Nibbles</t>
        </is>
      </c>
      <c r="I104" t="inlineStr">
        <is>
          <t>Fresh Vegetables</t>
        </is>
      </c>
      <c r="J104" s="2" t="n">
        <v>46262</v>
      </c>
      <c r="K104" s="1" t="n">
        <v>5.15</v>
      </c>
    </row>
    <row r="105" s="65">
      <c r="A105" s="1">
        <f>SUM(K105,M105,O105,Q105,S105,U105)</f>
        <v/>
      </c>
      <c r="C105" t="inlineStr">
        <is>
          <t>Publix</t>
        </is>
      </c>
      <c r="D105" t="inlineStr">
        <is>
          <t>NA</t>
        </is>
      </c>
      <c r="E105" t="inlineStr">
        <is>
          <t>Cholula Cremosa Gltro Lme</t>
        </is>
      </c>
      <c r="F105" t="inlineStr">
        <is>
          <t>F</t>
        </is>
      </c>
      <c r="G105" t="inlineStr">
        <is>
          <t>120</t>
        </is>
      </c>
      <c r="H105" t="inlineStr">
        <is>
          <t>Cholula Cremosa Cilantro Lime Sauce</t>
        </is>
      </c>
      <c r="I105" t="inlineStr">
        <is>
          <t>Sauces &amp; Condiments</t>
        </is>
      </c>
      <c r="J105" s="2" t="n">
        <v>46262</v>
      </c>
      <c r="K105" s="1" t="n">
        <v>3.19</v>
      </c>
    </row>
    <row r="106" s="65">
      <c r="A106" s="1">
        <f>SUM(K106,M106,O106,Q106,S106,U106)</f>
        <v/>
      </c>
      <c r="C106" t="inlineStr">
        <is>
          <t>Publix</t>
        </is>
      </c>
      <c r="D106" t="inlineStr">
        <is>
          <t>NA</t>
        </is>
      </c>
      <c r="E106" t="inlineStr">
        <is>
          <t>Mc Sig Evrythng Bgel Ssng</t>
        </is>
      </c>
      <c r="F106" t="inlineStr">
        <is>
          <t>F</t>
        </is>
      </c>
      <c r="G106" t="inlineStr">
        <is>
          <t>120</t>
        </is>
      </c>
      <c r="H106" t="inlineStr">
        <is>
          <t>McCormick Everything Bagel Seasoning</t>
        </is>
      </c>
      <c r="I106" t="inlineStr">
        <is>
          <t>Seasonings &amp; Spices</t>
        </is>
      </c>
      <c r="J106" s="2" t="n">
        <v>46262</v>
      </c>
      <c r="K106" s="1" t="n">
        <v>6.79</v>
      </c>
    </row>
    <row r="107" s="65">
      <c r="A107" s="1">
        <f>SUM(K107,M107,O107,Q107,S107,U107)</f>
        <v/>
      </c>
      <c r="C107" t="inlineStr">
        <is>
          <t>Publix</t>
        </is>
      </c>
      <c r="D107" t="inlineStr">
        <is>
          <t>NA</t>
        </is>
      </c>
      <c r="E107" t="inlineStr">
        <is>
          <t>Banza White Cheddar Shel</t>
        </is>
      </c>
      <c r="F107" t="inlineStr">
        <is>
          <t>F</t>
        </is>
      </c>
      <c r="G107" t="inlineStr">
        <is>
          <t>120</t>
        </is>
      </c>
      <c r="H107" t="inlineStr">
        <is>
          <t>Banza White Cheddar Shells</t>
        </is>
      </c>
      <c r="I107" t="inlineStr">
        <is>
          <t>Macaroni &amp; Cheese</t>
        </is>
      </c>
      <c r="J107" s="2" t="n">
        <v>46262</v>
      </c>
      <c r="K107" s="1" t="n">
        <v>3.99</v>
      </c>
    </row>
    <row r="108" s="65">
      <c r="A108" s="1">
        <f>SUM(K108,M108,O108,Q108,S108,U108)</f>
        <v/>
      </c>
      <c r="C108" t="inlineStr">
        <is>
          <t>Publix</t>
        </is>
      </c>
      <c r="D108" t="inlineStr">
        <is>
          <t>NA</t>
        </is>
      </c>
      <c r="E108" t="inlineStr">
        <is>
          <t>anza White Cheddar Shel</t>
        </is>
      </c>
      <c r="F108" t="inlineStr">
        <is>
          <t>F</t>
        </is>
      </c>
      <c r="G108" t="inlineStr">
        <is>
          <t>120</t>
        </is>
      </c>
      <c r="H108" t="inlineStr">
        <is>
          <t>Banza White Cheddar Shells</t>
        </is>
      </c>
      <c r="I108" t="inlineStr">
        <is>
          <t>Macaroni &amp; Cheese</t>
        </is>
      </c>
      <c r="J108" s="2" t="n">
        <v>46262</v>
      </c>
      <c r="K108" s="1" t="n">
        <v>3.99</v>
      </c>
    </row>
    <row r="109" s="65">
      <c r="A109" s="1">
        <f>SUM(K109,M109,O109,Q109,S109,U109)</f>
        <v/>
      </c>
      <c r="C109" t="inlineStr">
        <is>
          <t>Publix</t>
        </is>
      </c>
      <c r="D109" t="inlineStr">
        <is>
          <t>NA</t>
        </is>
      </c>
      <c r="E109" t="inlineStr">
        <is>
          <t>Annie's Dlx Shi&amp;Chd Gf</t>
        </is>
      </c>
      <c r="F109" t="inlineStr">
        <is>
          <t>F</t>
        </is>
      </c>
      <c r="G109" t="inlineStr">
        <is>
          <t>120</t>
        </is>
      </c>
      <c r="H109" t="inlineStr">
        <is>
          <t>Annie's Gluten-Free Deluxe Shells &amp; Cheddar</t>
        </is>
      </c>
      <c r="I109" t="inlineStr">
        <is>
          <t>Macaroni &amp; Cheese</t>
        </is>
      </c>
      <c r="J109" s="2" t="n">
        <v>46262</v>
      </c>
      <c r="K109" s="1" t="n">
        <v>5.45</v>
      </c>
    </row>
    <row r="110" s="65">
      <c r="A110" s="1">
        <f>SUM(K110,M110,O110,Q110,S110,U110)</f>
        <v/>
      </c>
      <c r="C110" t="inlineStr">
        <is>
          <t>Publix</t>
        </is>
      </c>
      <c r="D110" t="inlineStr">
        <is>
          <t>NA</t>
        </is>
      </c>
      <c r="E110" t="inlineStr">
        <is>
          <t>Annie's Dlx Shl&amp;Chd Gf</t>
        </is>
      </c>
      <c r="F110" t="inlineStr">
        <is>
          <t>F</t>
        </is>
      </c>
      <c r="G110" t="inlineStr">
        <is>
          <t>120</t>
        </is>
      </c>
      <c r="H110" t="inlineStr">
        <is>
          <t>Annie's Gluten-Free Deluxe Shells &amp; Cheddar</t>
        </is>
      </c>
      <c r="I110" t="inlineStr">
        <is>
          <t>Macaroni &amp; Cheese</t>
        </is>
      </c>
      <c r="J110" s="2" t="n">
        <v>46262</v>
      </c>
      <c r="K110" s="1" t="n">
        <v>5.45</v>
      </c>
    </row>
    <row r="111" s="65">
      <c r="A111" s="1">
        <f>SUM(K111,M111,O111,Q111,S111,U111)</f>
        <v/>
      </c>
      <c r="C111" t="inlineStr">
        <is>
          <t>Publix</t>
        </is>
      </c>
      <c r="D111" t="inlineStr">
        <is>
          <t>NA</t>
        </is>
      </c>
      <c r="E111" t="inlineStr">
        <is>
          <t>Gw Keta Salmon Fillet</t>
        </is>
      </c>
      <c r="F111" t="inlineStr">
        <is>
          <t>F</t>
        </is>
      </c>
      <c r="G111" t="inlineStr">
        <is>
          <t>120</t>
        </is>
      </c>
      <c r="H111" t="inlineStr">
        <is>
          <t>GreenWise Keta Salmon Fillet</t>
        </is>
      </c>
      <c r="I111" t="inlineStr">
        <is>
          <t>Fresh Seafood</t>
        </is>
      </c>
      <c r="J111" s="2" t="n">
        <v>46262</v>
      </c>
      <c r="K111" s="1" t="n">
        <v>14.29</v>
      </c>
    </row>
    <row r="112" s="65">
      <c r="A112" s="1">
        <f>SUM(K112,M112,O112,Q112,S112,U112)</f>
        <v/>
      </c>
      <c r="C112" t="inlineStr">
        <is>
          <t>Publix</t>
        </is>
      </c>
      <c r="D112" t="inlineStr">
        <is>
          <t>NA</t>
        </is>
      </c>
      <c r="E112" t="inlineStr">
        <is>
          <t>Daiya Shreds Mexican Bld</t>
        </is>
      </c>
      <c r="F112" t="inlineStr">
        <is>
          <t>F</t>
        </is>
      </c>
      <c r="G112" t="inlineStr">
        <is>
          <t>120</t>
        </is>
      </c>
      <c r="H112" t="inlineStr">
        <is>
          <t>Daiya Mexican Blend Shreds</t>
        </is>
      </c>
      <c r="I112" t="inlineStr">
        <is>
          <t>Plant-Based Cheese</t>
        </is>
      </c>
      <c r="J112" s="2" t="n">
        <v>46262</v>
      </c>
      <c r="K112" s="1" t="n">
        <v>5.65</v>
      </c>
      <c r="L112" s="2" t="n">
        <v>46262</v>
      </c>
      <c r="M112" s="1" t="n">
        <v>0</v>
      </c>
    </row>
    <row r="113" s="65">
      <c r="A113" s="1">
        <f>SUM(K113,M113,O113,Q113,S113,U113)</f>
        <v/>
      </c>
      <c r="C113" t="inlineStr">
        <is>
          <t>Publix</t>
        </is>
      </c>
      <c r="D113" t="inlineStr">
        <is>
          <t>NA</t>
        </is>
      </c>
      <c r="E113" t="inlineStr">
        <is>
          <t>Tf Caesar Salad Kit Chop F</t>
        </is>
      </c>
      <c r="F113" t="inlineStr">
        <is>
          <t>NA</t>
        </is>
      </c>
      <c r="G113" t="inlineStr">
        <is>
          <t>120</t>
        </is>
      </c>
      <c r="H113" t="inlineStr">
        <is>
          <t>Taylor Farms Chopped Caesar Salad Kit</t>
        </is>
      </c>
      <c r="I113" t="inlineStr">
        <is>
          <t>Salad Kits</t>
        </is>
      </c>
      <c r="J113" s="2" t="n">
        <v>46262</v>
      </c>
      <c r="K113" t="n">
        <v>3.33</v>
      </c>
    </row>
    <row r="114" s="65">
      <c r="A114" s="1">
        <f>SUM(K114,M114,O114,Q114,S114,U114)</f>
        <v/>
      </c>
      <c r="C114" t="inlineStr">
        <is>
          <t>Publix</t>
        </is>
      </c>
      <c r="D114" t="inlineStr">
        <is>
          <t>NA</t>
        </is>
      </c>
      <c r="E114" t="inlineStr">
        <is>
          <t>Tf Everything Salad Chop</t>
        </is>
      </c>
      <c r="F114" t="inlineStr">
        <is>
          <t>TF</t>
        </is>
      </c>
      <c r="G114" t="inlineStr">
        <is>
          <t>120</t>
        </is>
      </c>
      <c r="H114" t="inlineStr">
        <is>
          <t>Taylor Farms Everything Chopped Salad Kit</t>
        </is>
      </c>
      <c r="I114" t="inlineStr">
        <is>
          <t>Salad Kits</t>
        </is>
      </c>
      <c r="J114" s="2" t="n">
        <v>46262</v>
      </c>
      <c r="K114" t="n">
        <v>3.33</v>
      </c>
    </row>
    <row r="115" s="65">
      <c r="A115" s="1">
        <f>SUM(K115,M115,O115,Q115,S115,U115)</f>
        <v/>
      </c>
      <c r="C115" t="inlineStr">
        <is>
          <t>Publix</t>
        </is>
      </c>
      <c r="D115" t="inlineStr">
        <is>
          <t>NA</t>
        </is>
      </c>
      <c r="E115" t="inlineStr">
        <is>
          <t>Hagen David Blackberry</t>
        </is>
      </c>
      <c r="F115" t="inlineStr">
        <is>
          <t>T</t>
        </is>
      </c>
      <c r="G115" t="inlineStr">
        <is>
          <t>120</t>
        </is>
      </c>
      <c r="H115" t="inlineStr">
        <is>
          <t>Häagen-Dazs Blackberry Ice Cream</t>
        </is>
      </c>
      <c r="I115" t="inlineStr">
        <is>
          <t>Wine</t>
        </is>
      </c>
      <c r="J115" s="2" t="n">
        <v>46262</v>
      </c>
      <c r="K115" s="1" t="n">
        <v>7.19</v>
      </c>
    </row>
    <row r="116" s="65">
      <c r="A116" s="1">
        <f>SUM(K116,M116,O116,Q116,S116,U116)</f>
        <v/>
      </c>
      <c r="C116" t="inlineStr">
        <is>
          <t>Publix</t>
        </is>
      </c>
      <c r="D116" t="inlineStr">
        <is>
          <t>NA</t>
        </is>
      </c>
      <c r="E116" t="inlineStr">
        <is>
          <t>Tax</t>
        </is>
      </c>
      <c r="F116" t="inlineStr">
        <is>
          <t>NA</t>
        </is>
      </c>
      <c r="G116" t="inlineStr">
        <is>
          <t>120</t>
        </is>
      </c>
      <c r="H116" t="inlineStr">
        <is>
          <t>Tax</t>
        </is>
      </c>
      <c r="I116" t="inlineStr">
        <is>
          <t>Fees &amp; Charges</t>
        </is>
      </c>
      <c r="J116" s="2" t="n">
        <v>46262</v>
      </c>
      <c r="K116" t="n">
        <v>0.5</v>
      </c>
    </row>
    <row r="117" s="65">
      <c r="A117" s="1">
        <f>SUM(K117,M117,O117,Q117,S117,U117)</f>
        <v/>
      </c>
      <c r="C117" t="inlineStr">
        <is>
          <t>Publix</t>
        </is>
      </c>
      <c r="D117" t="inlineStr">
        <is>
          <t>NA</t>
        </is>
      </c>
      <c r="E117" t="inlineStr">
        <is>
          <t>Tf Everything Salad Chop</t>
        </is>
      </c>
      <c r="F117" t="inlineStr">
        <is>
          <t>TF</t>
        </is>
      </c>
      <c r="G117" t="inlineStr">
        <is>
          <t>120</t>
        </is>
      </c>
      <c r="H117" t="inlineStr">
        <is>
          <t>Taylor Farms Everything Chopped Salad Kit</t>
        </is>
      </c>
      <c r="I117" t="inlineStr">
        <is>
          <t>Salad Kits</t>
        </is>
      </c>
      <c r="J117" s="2" t="n">
        <v>46262</v>
      </c>
      <c r="K117" t="n">
        <v>3.34</v>
      </c>
    </row>
    <row r="118" s="65">
      <c r="A118" s="1">
        <f>SUM(K118,M118,O118,Q118,S118,U118)</f>
        <v/>
      </c>
      <c r="C118" t="inlineStr">
        <is>
          <t>Publix</t>
        </is>
      </c>
      <c r="D118" t="inlineStr">
        <is>
          <t>NA</t>
        </is>
      </c>
      <c r="E118" t="inlineStr">
        <is>
          <t>Bananas</t>
        </is>
      </c>
      <c r="F118" t="inlineStr">
        <is>
          <t>NA</t>
        </is>
      </c>
      <c r="G118" t="inlineStr">
        <is>
          <t>120</t>
        </is>
      </c>
      <c r="H118" t="inlineStr">
        <is>
          <t>Bananas</t>
        </is>
      </c>
      <c r="I118" t="inlineStr">
        <is>
          <t>Fresh Fruit</t>
        </is>
      </c>
      <c r="J118" s="2" t="n">
        <v>46262</v>
      </c>
      <c r="K118" t="n">
        <v>1.53</v>
      </c>
      <c r="L118" s="2" t="n">
        <v>46268</v>
      </c>
      <c r="M118" t="inlineStr">
        <is>
          <t>NA</t>
        </is>
      </c>
    </row>
    <row r="119" s="65">
      <c r="A119" s="1">
        <f>SUM(K119,M119,O119,Q119,S119,U119)</f>
        <v/>
      </c>
      <c r="C119" t="inlineStr">
        <is>
          <t>Publix</t>
        </is>
      </c>
      <c r="D119" t="inlineStr">
        <is>
          <t>NA</t>
        </is>
      </c>
      <c r="E119" t="inlineStr">
        <is>
          <t>Sweet Loren's Gf Brownie</t>
        </is>
      </c>
      <c r="F119" t="inlineStr">
        <is>
          <t>F</t>
        </is>
      </c>
      <c r="G119" t="inlineStr">
        <is>
          <t>120</t>
        </is>
      </c>
      <c r="H119" t="inlineStr">
        <is>
          <t>Sweet Loren's Gluten Free Brownie Cookie Dough</t>
        </is>
      </c>
      <c r="I119" t="inlineStr">
        <is>
          <t>Refrigerated Dough</t>
        </is>
      </c>
      <c r="J119" s="2" t="n">
        <v>46268</v>
      </c>
      <c r="K119" s="1" t="n">
        <v>6.99</v>
      </c>
    </row>
    <row r="120" s="65">
      <c r="A120" s="1">
        <f>SUM(K120,M120,O120,Q120,S120,U120)</f>
        <v/>
      </c>
      <c r="C120" t="inlineStr">
        <is>
          <t>Publix</t>
        </is>
      </c>
      <c r="D120" t="inlineStr">
        <is>
          <t>NA</t>
        </is>
      </c>
      <c r="E120" t="inlineStr">
        <is>
          <t>Publix Half&amp;Half Hg</t>
        </is>
      </c>
      <c r="F120" t="inlineStr">
        <is>
          <t>F</t>
        </is>
      </c>
      <c r="G120" t="inlineStr">
        <is>
          <t>120</t>
        </is>
      </c>
      <c r="H120" t="inlineStr">
        <is>
          <t>Publix Half &amp; Half, Half Gallon</t>
        </is>
      </c>
      <c r="I120" t="inlineStr">
        <is>
          <t>Cream &amp; Half-and-Half</t>
        </is>
      </c>
      <c r="J120" s="2" t="n">
        <v>46268</v>
      </c>
      <c r="K120" s="1" t="n">
        <v>5.89</v>
      </c>
    </row>
    <row r="121" s="65">
      <c r="A121" s="1">
        <f>SUM(K121,M121,O121,Q121,S121,U121)</f>
        <v/>
      </c>
      <c r="C121" t="inlineStr">
        <is>
          <t>Publix</t>
        </is>
      </c>
      <c r="D121" t="inlineStr">
        <is>
          <t>NA</t>
        </is>
      </c>
      <c r="E121" t="inlineStr">
        <is>
          <t>Silk Soy Organic Nsa Hg</t>
        </is>
      </c>
      <c r="F121" t="inlineStr">
        <is>
          <t>F</t>
        </is>
      </c>
      <c r="G121" t="inlineStr">
        <is>
          <t>120</t>
        </is>
      </c>
      <c r="H121" t="inlineStr">
        <is>
          <t>Silk Organic Unsweet Soymilk, Half Gallon</t>
        </is>
      </c>
      <c r="I121" t="inlineStr">
        <is>
          <t>Plant-Based Milk</t>
        </is>
      </c>
      <c r="J121" s="2" t="n">
        <v>46268</v>
      </c>
      <c r="K121" s="1" t="n">
        <v>6.79</v>
      </c>
      <c r="L121" s="2" t="n">
        <v>46268</v>
      </c>
      <c r="M121" s="1" t="n">
        <v>6.79</v>
      </c>
    </row>
    <row r="122" s="65">
      <c r="A122" s="1">
        <f>SUM(K122,M122,O122,Q122,S122,U122)</f>
        <v/>
      </c>
      <c r="C122" t="inlineStr">
        <is>
          <t>Publix</t>
        </is>
      </c>
      <c r="D122" t="inlineStr">
        <is>
          <t>NA</t>
        </is>
      </c>
      <c r="E122" t="inlineStr">
        <is>
          <t>Starbucks Oat Brwn Sugar</t>
        </is>
      </c>
      <c r="F122" t="inlineStr">
        <is>
          <t>F</t>
        </is>
      </c>
      <c r="G122" t="inlineStr">
        <is>
          <t>120</t>
        </is>
      </c>
      <c r="H122" t="inlineStr">
        <is>
          <t>Starbucks Oatmilk Brown Sugar Creamer</t>
        </is>
      </c>
      <c r="I122" t="inlineStr">
        <is>
          <t>Coffee Creamer</t>
        </is>
      </c>
      <c r="J122" s="2" t="n">
        <v>46268</v>
      </c>
      <c r="K122" s="1" t="n">
        <v>6.69</v>
      </c>
    </row>
    <row r="123" s="65">
      <c r="A123" s="1">
        <f>SUM(K123,M123,O123,Q123,S123,U123)</f>
        <v/>
      </c>
      <c r="C123" t="inlineStr">
        <is>
          <t>Publix</t>
        </is>
      </c>
      <c r="D123" t="inlineStr">
        <is>
          <t>NA</t>
        </is>
      </c>
      <c r="E123" t="inlineStr">
        <is>
          <t>Quak Rice Crisp App/Cinn</t>
        </is>
      </c>
      <c r="F123" t="inlineStr">
        <is>
          <t>F</t>
        </is>
      </c>
      <c r="G123" t="inlineStr">
        <is>
          <t>120</t>
        </is>
      </c>
      <c r="H123" t="inlineStr">
        <is>
          <t>Quaker Rice Crisps Apple Cinnamon</t>
        </is>
      </c>
      <c r="I123" t="inlineStr">
        <is>
          <t>Rice Cakes &amp; Crisps</t>
        </is>
      </c>
      <c r="J123" s="2" t="n">
        <v>46268</v>
      </c>
      <c r="K123" s="1" t="n">
        <v>3.49</v>
      </c>
    </row>
    <row r="124" s="65">
      <c r="A124" s="1">
        <f>SUM(K124,M124,O124,Q124,S124,U124)</f>
        <v/>
      </c>
      <c r="C124" t="inlineStr">
        <is>
          <t>Publix</t>
        </is>
      </c>
      <c r="D124" t="inlineStr">
        <is>
          <t>NA</t>
        </is>
      </c>
      <c r="E124" t="inlineStr">
        <is>
          <t>Quak Rice Crisp Chocolate</t>
        </is>
      </c>
      <c r="F124" t="inlineStr">
        <is>
          <t>NA</t>
        </is>
      </c>
      <c r="G124" t="inlineStr">
        <is>
          <t>120</t>
        </is>
      </c>
      <c r="H124" t="inlineStr">
        <is>
          <t>Quaker Rice Crisps Chocolate</t>
        </is>
      </c>
      <c r="I124" t="inlineStr">
        <is>
          <t>Rice Cakes &amp; Crisps</t>
        </is>
      </c>
      <c r="J124" s="2" t="n">
        <v>46268</v>
      </c>
      <c r="K124" s="1" t="n">
        <v>3.49</v>
      </c>
    </row>
    <row r="125" s="65">
      <c r="A125" s="1">
        <f>SUM(K125,M125,O125,Q125,S125,U125)</f>
        <v/>
      </c>
      <c r="C125" t="inlineStr">
        <is>
          <t>Publix</t>
        </is>
      </c>
      <c r="D125" t="inlineStr">
        <is>
          <t>NA</t>
        </is>
      </c>
      <c r="E125" t="inlineStr">
        <is>
          <t>Klond Bar Dble Chocolate FT</t>
        </is>
      </c>
      <c r="F125" t="inlineStr">
        <is>
          <t>F</t>
        </is>
      </c>
      <c r="G125" t="inlineStr">
        <is>
          <t>120</t>
        </is>
      </c>
      <c r="H125" t="inlineStr">
        <is>
          <t>Klondike Double Chocolate Bar</t>
        </is>
      </c>
      <c r="I125" t="inlineStr">
        <is>
          <t>Frozen Desserts</t>
        </is>
      </c>
      <c r="J125" s="2" t="n">
        <v>46268</v>
      </c>
      <c r="K125" s="1" t="n">
        <v>5.75</v>
      </c>
    </row>
    <row r="126" s="65">
      <c r="A126" s="1">
        <f>SUM(K126,M126,O126,Q126,S126,U126)</f>
        <v/>
      </c>
      <c r="C126" t="inlineStr">
        <is>
          <t>Publix</t>
        </is>
      </c>
      <c r="D126" t="inlineStr">
        <is>
          <t>NA</t>
        </is>
      </c>
      <c r="E126" t="inlineStr">
        <is>
          <t>Yasso Grk Yog Bar Coff Co FT</t>
        </is>
      </c>
      <c r="F126" t="inlineStr">
        <is>
          <t>NA</t>
        </is>
      </c>
      <c r="G126" t="inlineStr">
        <is>
          <t>120</t>
        </is>
      </c>
      <c r="H126" t="inlineStr">
        <is>
          <t>Yasso Greek Yogurt Bars, Coffee Chocolate Chip</t>
        </is>
      </c>
      <c r="I126" t="inlineStr">
        <is>
          <t>Frozen Desserts</t>
        </is>
      </c>
      <c r="J126" s="2" t="n">
        <v>46268</v>
      </c>
      <c r="K126" s="1" t="n">
        <v>6.91</v>
      </c>
    </row>
    <row r="127" s="65">
      <c r="A127" s="1">
        <f>SUM(K127,M127,O127,Q127,S127,U127)</f>
        <v/>
      </c>
      <c r="C127" t="inlineStr">
        <is>
          <t>Publix</t>
        </is>
      </c>
      <c r="D127" t="inlineStr">
        <is>
          <t>NA</t>
        </is>
      </c>
      <c r="E127" t="inlineStr">
        <is>
          <t>Yasso Grk Yog Bar Mntchep FT</t>
        </is>
      </c>
      <c r="F127" t="inlineStr">
        <is>
          <t>F</t>
        </is>
      </c>
      <c r="G127" t="inlineStr">
        <is>
          <t>120</t>
        </is>
      </c>
      <c r="H127" t="inlineStr">
        <is>
          <t>Yasso Greek Yogurt Bars, Mint Chocolate Chip</t>
        </is>
      </c>
      <c r="I127" t="inlineStr">
        <is>
          <t>Frozen Desserts</t>
        </is>
      </c>
      <c r="J127" s="2" t="n">
        <v>46268</v>
      </c>
      <c r="K127" s="1" t="n">
        <v>6.91</v>
      </c>
    </row>
    <row r="128" s="65">
      <c r="A128" s="1">
        <f>SUM(K128,M128,O128,Q128,S128,U128)</f>
        <v/>
      </c>
      <c r="C128" t="inlineStr">
        <is>
          <t>Publix</t>
        </is>
      </c>
      <c r="D128" t="inlineStr">
        <is>
          <t>NA</t>
        </is>
      </c>
      <c r="E128" t="inlineStr">
        <is>
          <t>Dkb Org Oats &amp; Blues Brd</t>
        </is>
      </c>
      <c r="F128" t="inlineStr">
        <is>
          <t>F</t>
        </is>
      </c>
      <c r="G128" t="inlineStr">
        <is>
          <t>120</t>
        </is>
      </c>
      <c r="H128" t="inlineStr">
        <is>
          <t>Dave's Killer Bread Organic Oats &amp; Blues</t>
        </is>
      </c>
      <c r="I128" t="inlineStr">
        <is>
          <t>Bread</t>
        </is>
      </c>
      <c r="J128" s="2" t="n">
        <v>46268</v>
      </c>
      <c r="K128" s="1" t="n">
        <v>6.79</v>
      </c>
    </row>
    <row r="129" s="65">
      <c r="A129" s="1">
        <f>SUM(K129,M129,O129,Q129,S129,U129)</f>
        <v/>
      </c>
      <c r="C129" t="inlineStr">
        <is>
          <t>Publix</t>
        </is>
      </c>
      <c r="D129" t="inlineStr">
        <is>
          <t>NA</t>
        </is>
      </c>
      <c r="E129" t="inlineStr">
        <is>
          <t>Pbx True Bleu Salad Kt</t>
        </is>
      </c>
      <c r="F129" t="inlineStr">
        <is>
          <t>F</t>
        </is>
      </c>
      <c r="G129" t="inlineStr">
        <is>
          <t>120</t>
        </is>
      </c>
      <c r="H129" t="inlineStr">
        <is>
          <t>Publix True Bleu Salad Kit</t>
        </is>
      </c>
      <c r="I129" t="inlineStr">
        <is>
          <t>Salad Kits</t>
        </is>
      </c>
      <c r="J129" s="2" t="n">
        <v>46268</v>
      </c>
      <c r="K129" t="n">
        <v>3</v>
      </c>
    </row>
    <row r="130" s="65">
      <c r="A130" s="1">
        <f>SUM(K130,M130,O130,Q130,S130,U130)</f>
        <v/>
      </c>
      <c r="C130" t="inlineStr">
        <is>
          <t>Publix</t>
        </is>
      </c>
      <c r="D130" t="inlineStr">
        <is>
          <t>NA</t>
        </is>
      </c>
      <c r="E130" t="inlineStr">
        <is>
          <t>Pbx Makoto Ginger Sld</t>
        </is>
      </c>
      <c r="F130" t="inlineStr">
        <is>
          <t>F</t>
        </is>
      </c>
      <c r="G130" t="inlineStr">
        <is>
          <t>120</t>
        </is>
      </c>
      <c r="H130" t="inlineStr">
        <is>
          <t>Publix Makoto Ginger Salad</t>
        </is>
      </c>
      <c r="I130" t="inlineStr">
        <is>
          <t>Salad Kits</t>
        </is>
      </c>
      <c r="J130" s="2" t="n">
        <v>46268</v>
      </c>
      <c r="K130" t="n">
        <v>3</v>
      </c>
    </row>
    <row r="131" s="65">
      <c r="A131" s="1">
        <f>SUM(K131,M131,O131,Q131,S131,U131)</f>
        <v/>
      </c>
      <c r="C131" t="inlineStr">
        <is>
          <t>Publix</t>
        </is>
      </c>
      <c r="D131" t="inlineStr">
        <is>
          <t>NA</t>
        </is>
      </c>
      <c r="E131" t="inlineStr">
        <is>
          <t>Beans Green Fresh Trimmed</t>
        </is>
      </c>
      <c r="F131" t="inlineStr">
        <is>
          <t>F</t>
        </is>
      </c>
      <c r="G131" t="inlineStr">
        <is>
          <t>120</t>
        </is>
      </c>
      <c r="H131" t="inlineStr">
        <is>
          <t>Fresh Trimmed Green Beans</t>
        </is>
      </c>
      <c r="I131" t="inlineStr">
        <is>
          <t>Fresh Vegetables</t>
        </is>
      </c>
      <c r="J131" s="2" t="n">
        <v>46268</v>
      </c>
      <c r="K131" s="1" t="n">
        <v>4.1</v>
      </c>
      <c r="L131" s="2" t="n">
        <v>46268</v>
      </c>
      <c r="M131" s="1" t="n">
        <v>0</v>
      </c>
    </row>
    <row r="132" s="65">
      <c r="A132" s="1">
        <f>SUM(K132,M132,O132,Q132,S132,U132)</f>
        <v/>
      </c>
      <c r="C132" t="inlineStr">
        <is>
          <t>Publix</t>
        </is>
      </c>
      <c r="D132" t="inlineStr">
        <is>
          <t>NA</t>
        </is>
      </c>
      <c r="E132" t="inlineStr">
        <is>
          <t>Watermelan Seedless Wedge</t>
        </is>
      </c>
      <c r="F132" t="inlineStr">
        <is>
          <t>F</t>
        </is>
      </c>
      <c r="G132" t="inlineStr">
        <is>
          <t>120</t>
        </is>
      </c>
      <c r="H132" t="inlineStr">
        <is>
          <t>Seedless Watermelon Wedge</t>
        </is>
      </c>
      <c r="I132" t="inlineStr">
        <is>
          <t>Fresh-Cut Fruit</t>
        </is>
      </c>
      <c r="J132" s="2" t="n">
        <v>46268</v>
      </c>
      <c r="K132" s="1" t="n">
        <v>3.32</v>
      </c>
    </row>
    <row r="133" s="65">
      <c r="A133" s="1">
        <f>SUM(K133,M133,O133,Q133,S133,U133)</f>
        <v/>
      </c>
      <c r="C133" t="inlineStr">
        <is>
          <t>Publix</t>
        </is>
      </c>
      <c r="D133" t="inlineStr">
        <is>
          <t>NA</t>
        </is>
      </c>
      <c r="E133" t="inlineStr">
        <is>
          <t>limes Persian</t>
        </is>
      </c>
      <c r="F133" t="inlineStr">
        <is>
          <t>NA</t>
        </is>
      </c>
      <c r="G133" t="inlineStr">
        <is>
          <t>120</t>
        </is>
      </c>
      <c r="H133" t="inlineStr">
        <is>
          <t>Persian Limes</t>
        </is>
      </c>
      <c r="I133" t="inlineStr">
        <is>
          <t>Fresh Fruit</t>
        </is>
      </c>
      <c r="J133" s="2" t="n">
        <v>46268</v>
      </c>
      <c r="K133" t="n">
        <v>0.8</v>
      </c>
    </row>
    <row r="134" s="65">
      <c r="A134" s="1">
        <f>SUM(K134,M134,O134,Q134,S134,U134)</f>
        <v/>
      </c>
      <c r="C134" t="inlineStr">
        <is>
          <t>Publix</t>
        </is>
      </c>
      <c r="D134" t="inlineStr">
        <is>
          <t>NA</t>
        </is>
      </c>
      <c r="E134" t="inlineStr">
        <is>
          <t>Salmon Fillet</t>
        </is>
      </c>
      <c r="F134" t="inlineStr">
        <is>
          <t>F</t>
        </is>
      </c>
      <c r="G134" t="inlineStr">
        <is>
          <t>120</t>
        </is>
      </c>
      <c r="H134" t="inlineStr">
        <is>
          <t>Salmon Fillet</t>
        </is>
      </c>
      <c r="I134" t="inlineStr">
        <is>
          <t>Fresh Seafood</t>
        </is>
      </c>
      <c r="J134" s="2" t="n">
        <v>46268</v>
      </c>
      <c r="K134" s="1" t="n">
        <v>46.91</v>
      </c>
    </row>
    <row r="135" s="65">
      <c r="A135" s="1">
        <f>SUM(K135,M135,O135,Q135,S135,U135)</f>
        <v/>
      </c>
      <c r="C135" t="inlineStr">
        <is>
          <t>Publix</t>
        </is>
      </c>
      <c r="D135" t="inlineStr">
        <is>
          <t>NA</t>
        </is>
      </c>
      <c r="E135" t="inlineStr">
        <is>
          <t>Dt Sp Smk Salmon PeppaG</t>
        </is>
      </c>
      <c r="F135" t="inlineStr">
        <is>
          <t>F</t>
        </is>
      </c>
      <c r="G135" t="inlineStr">
        <is>
          <t>120</t>
        </is>
      </c>
      <c r="H135" t="inlineStr">
        <is>
          <t>Smoked Salmon with Pepper</t>
        </is>
      </c>
      <c r="I135" t="inlineStr">
        <is>
          <t>Smoked Seafood</t>
        </is>
      </c>
      <c r="J135" s="2" t="n">
        <v>46268</v>
      </c>
      <c r="K135" s="1" t="n">
        <v>5.99</v>
      </c>
    </row>
    <row r="136" s="65">
      <c r="A136" s="1">
        <f>SUM(K136,M136,O136,Q136,S136,U136)</f>
        <v/>
      </c>
      <c r="C136" t="inlineStr">
        <is>
          <t>Publix</t>
        </is>
      </c>
      <c r="D136" t="inlineStr">
        <is>
          <t>NA</t>
        </is>
      </c>
      <c r="E136" t="inlineStr">
        <is>
          <t>L/Deb Cosmic Browniés</t>
        </is>
      </c>
      <c r="F136" t="inlineStr">
        <is>
          <t>NA</t>
        </is>
      </c>
      <c r="G136" t="inlineStr">
        <is>
          <t>120</t>
        </is>
      </c>
      <c r="H136" t="inlineStr">
        <is>
          <t>Little Debbie Cosmic Brownies</t>
        </is>
      </c>
      <c r="I136" t="inlineStr">
        <is>
          <t>Snack Cakes</t>
        </is>
      </c>
      <c r="J136" s="2" t="n">
        <v>46268</v>
      </c>
      <c r="K136" s="1" t="n">
        <v>3.19</v>
      </c>
    </row>
    <row r="137" s="65">
      <c r="A137" s="1">
        <f>SUM(K137,M137,O137,Q137,S137,U137)</f>
        <v/>
      </c>
      <c r="C137" t="inlineStr">
        <is>
          <t>Publix</t>
        </is>
      </c>
      <c r="D137" t="inlineStr">
        <is>
          <t>NA</t>
        </is>
      </c>
      <c r="E137" t="inlineStr">
        <is>
          <t>Magen David Blackberry</t>
        </is>
      </c>
      <c r="F137" t="inlineStr">
        <is>
          <t>T</t>
        </is>
      </c>
      <c r="G137" t="inlineStr">
        <is>
          <t>120</t>
        </is>
      </c>
      <c r="H137" t="inlineStr">
        <is>
          <t>Magen David Blackberry Wine</t>
        </is>
      </c>
      <c r="I137" t="inlineStr">
        <is>
          <t>Wine</t>
        </is>
      </c>
      <c r="J137" s="2" t="n">
        <v>46268</v>
      </c>
      <c r="K137" s="1" t="n">
        <v>7.19</v>
      </c>
    </row>
    <row r="138" s="65">
      <c r="A138" s="1">
        <f>SUM(K138,M138,O138,Q138,S138,U138)</f>
        <v/>
      </c>
      <c r="C138" t="inlineStr">
        <is>
          <t>Publix</t>
        </is>
      </c>
      <c r="D138" t="inlineStr">
        <is>
          <t>NA</t>
        </is>
      </c>
      <c r="E138" t="inlineStr">
        <is>
          <t>Ka Flour Bread Unbl 10Lb</t>
        </is>
      </c>
      <c r="F138" t="inlineStr">
        <is>
          <t>F</t>
        </is>
      </c>
      <c r="G138" t="inlineStr">
        <is>
          <t>120</t>
        </is>
      </c>
      <c r="H138" t="inlineStr">
        <is>
          <t>King Arthur Unbleached Bread Flour, 10 lb</t>
        </is>
      </c>
      <c r="I138" t="inlineStr">
        <is>
          <t>Baking Ingredients</t>
        </is>
      </c>
      <c r="J138" s="2" t="n">
        <v>46268</v>
      </c>
      <c r="K138" s="1" t="n">
        <v>11.59</v>
      </c>
    </row>
    <row r="139" s="65">
      <c r="A139" s="1">
        <f>SUM(K139,M139,O139,Q139,S139,U139)</f>
        <v/>
      </c>
      <c r="C139" t="inlineStr">
        <is>
          <t>Publix</t>
        </is>
      </c>
      <c r="D139" t="inlineStr">
        <is>
          <t>NA</t>
        </is>
      </c>
      <c r="E139" t="inlineStr">
        <is>
          <t>Mango</t>
        </is>
      </c>
      <c r="F139" t="inlineStr">
        <is>
          <t>F</t>
        </is>
      </c>
      <c r="G139" t="inlineStr">
        <is>
          <t>120</t>
        </is>
      </c>
      <c r="H139" t="inlineStr">
        <is>
          <t>Mango</t>
        </is>
      </c>
      <c r="I139" t="inlineStr">
        <is>
          <t>Fresh Fruit</t>
        </is>
      </c>
      <c r="J139" s="2" t="n">
        <v>46268</v>
      </c>
      <c r="K139" s="1" t="n">
        <v>2.99</v>
      </c>
    </row>
    <row r="140" s="65">
      <c r="A140" s="1">
        <f>SUM(K140,M140,O140,Q140,S140,U140)</f>
        <v/>
      </c>
      <c r="C140" t="inlineStr">
        <is>
          <t>Publix</t>
        </is>
      </c>
      <c r="D140" t="inlineStr">
        <is>
          <t>NA</t>
        </is>
      </c>
      <c r="E140" t="inlineStr">
        <is>
          <t>Sales Tax 7%</t>
        </is>
      </c>
      <c r="F140" t="inlineStr">
        <is>
          <t>T</t>
        </is>
      </c>
      <c r="G140" t="inlineStr">
        <is>
          <t>120</t>
        </is>
      </c>
      <c r="H140" t="inlineStr">
        <is>
          <t>Sales Tax</t>
        </is>
      </c>
      <c r="I140" t="inlineStr">
        <is>
          <t>Fees &amp; Charges</t>
        </is>
      </c>
      <c r="J140" s="2" t="n">
        <v>46268</v>
      </c>
      <c r="K140" s="1" t="n">
        <v>1.87</v>
      </c>
    </row>
    <row r="141" s="65">
      <c r="A141" s="1">
        <f>SUM(K141,M141,O141,Q141,S141,U141)</f>
        <v/>
      </c>
      <c r="C141" t="inlineStr">
        <is>
          <t>Publix</t>
        </is>
      </c>
      <c r="D141" t="inlineStr">
        <is>
          <t>NA</t>
        </is>
      </c>
      <c r="E141" t="inlineStr">
        <is>
          <t>Bananas</t>
        </is>
      </c>
      <c r="F141" t="inlineStr">
        <is>
          <t>F</t>
        </is>
      </c>
      <c r="G141" t="inlineStr">
        <is>
          <t>120</t>
        </is>
      </c>
      <c r="H141" t="inlineStr">
        <is>
          <t>Bananas</t>
        </is>
      </c>
      <c r="I141" t="inlineStr">
        <is>
          <t>Fresh Fruit</t>
        </is>
      </c>
      <c r="J141" s="2" t="n">
        <v>46268</v>
      </c>
      <c r="K141" s="1" t="n">
        <v>1.55</v>
      </c>
    </row>
    <row r="142" s="65">
      <c r="A142" s="1">
        <f>SUM(K142,M142,O142,Q142,S142,U142)</f>
        <v/>
      </c>
      <c r="C142" t="inlineStr">
        <is>
          <t>Aldi</t>
        </is>
      </c>
      <c r="D142" t="inlineStr">
        <is>
          <t>356686</t>
        </is>
      </c>
      <c r="E142" t="inlineStr">
        <is>
          <t>Little Yellows</t>
        </is>
      </c>
      <c r="F142" t="inlineStr">
        <is>
          <t>NA</t>
        </is>
      </c>
      <c r="G142" t="inlineStr">
        <is>
          <t>238</t>
        </is>
      </c>
      <c r="H142" t="inlineStr">
        <is>
          <t>Little Yellow Potatoes</t>
        </is>
      </c>
      <c r="I142" t="inlineStr">
        <is>
          <t>Fresh Vegetables</t>
        </is>
      </c>
      <c r="J142" s="2" t="n">
        <v>46271</v>
      </c>
      <c r="K142" t="n">
        <v>3.29</v>
      </c>
    </row>
    <row r="143" s="65">
      <c r="A143" s="1">
        <f>SUM(K143,M143,O143,Q143,S143,U143)</f>
        <v/>
      </c>
      <c r="C143" t="inlineStr">
        <is>
          <t>Aldi</t>
        </is>
      </c>
      <c r="D143" t="inlineStr">
        <is>
          <t>356427</t>
        </is>
      </c>
      <c r="E143" t="inlineStr">
        <is>
          <t>Multi-Peppers 3</t>
        </is>
      </c>
      <c r="F143" t="inlineStr">
        <is>
          <t>NA</t>
        </is>
      </c>
      <c r="G143" t="inlineStr">
        <is>
          <t>238</t>
        </is>
      </c>
      <c r="H143" t="inlineStr">
        <is>
          <t>Multi-Color Peppers, 3-Pack</t>
        </is>
      </c>
      <c r="I143" t="inlineStr">
        <is>
          <t>Fresh Vegetables</t>
        </is>
      </c>
      <c r="J143" s="2" t="n">
        <v>46271</v>
      </c>
      <c r="K143" t="n">
        <v>2.69</v>
      </c>
    </row>
    <row r="144" s="65">
      <c r="A144" s="1">
        <f>SUM(K144,M144,O144,Q144,S144,U144)</f>
        <v/>
      </c>
      <c r="C144" t="inlineStr">
        <is>
          <t>Aldi</t>
        </is>
      </c>
      <c r="D144" t="inlineStr">
        <is>
          <t>396384</t>
        </is>
      </c>
      <c r="E144" t="inlineStr">
        <is>
          <t>Green Grapes LRW</t>
        </is>
      </c>
      <c r="F144" t="inlineStr">
        <is>
          <t>NA</t>
        </is>
      </c>
      <c r="G144" t="inlineStr">
        <is>
          <t>238</t>
        </is>
      </c>
      <c r="H144" t="inlineStr">
        <is>
          <t>Green Grapes</t>
        </is>
      </c>
      <c r="I144" t="inlineStr">
        <is>
          <t>Fresh Fruit</t>
        </is>
      </c>
      <c r="J144" s="2" t="n">
        <v>46271</v>
      </c>
      <c r="K144" t="n">
        <v>3.81</v>
      </c>
    </row>
    <row r="145" s="65">
      <c r="A145" s="1">
        <f>SUM(K145,M145,O145,Q145,S145,U145)</f>
        <v/>
      </c>
      <c r="C145" t="inlineStr">
        <is>
          <t>Aldi</t>
        </is>
      </c>
      <c r="D145" t="inlineStr">
        <is>
          <t>692109</t>
        </is>
      </c>
      <c r="E145" t="inlineStr">
        <is>
          <t>Org Celery Heart</t>
        </is>
      </c>
      <c r="F145" t="inlineStr">
        <is>
          <t>NA</t>
        </is>
      </c>
      <c r="G145" t="inlineStr">
        <is>
          <t>238</t>
        </is>
      </c>
      <c r="H145" t="inlineStr">
        <is>
          <t>Organic Celery Hearts</t>
        </is>
      </c>
      <c r="I145" t="inlineStr">
        <is>
          <t>Fresh Vegetables</t>
        </is>
      </c>
      <c r="J145" s="2" t="n">
        <v>46271</v>
      </c>
      <c r="K145" t="n">
        <v>2.59</v>
      </c>
    </row>
    <row r="146" s="65">
      <c r="A146" s="1">
        <f>SUM(K146,M146,O146,Q146,S146,U146)</f>
        <v/>
      </c>
      <c r="C146" t="inlineStr">
        <is>
          <t>Aldi</t>
        </is>
      </c>
      <c r="D146" t="inlineStr">
        <is>
          <t>466249</t>
        </is>
      </c>
      <c r="E146" t="inlineStr">
        <is>
          <t>Head &amp; Shoulders</t>
        </is>
      </c>
      <c r="F146" t="inlineStr">
        <is>
          <t>NA</t>
        </is>
      </c>
      <c r="G146" t="inlineStr">
        <is>
          <t>238</t>
        </is>
      </c>
      <c r="H146" t="inlineStr">
        <is>
          <t>Head &amp; Shoulders</t>
        </is>
      </c>
      <c r="I146" t="inlineStr">
        <is>
          <t>Hair Care</t>
        </is>
      </c>
      <c r="J146" s="2" t="n">
        <v>46271</v>
      </c>
      <c r="K146" t="n">
        <v>6.97</v>
      </c>
    </row>
    <row r="147" s="65">
      <c r="A147" s="1">
        <f>SUM(K147,M147,O147,Q147,S147,U147)</f>
        <v/>
      </c>
      <c r="C147" t="inlineStr">
        <is>
          <t>Aldi</t>
        </is>
      </c>
      <c r="D147" t="inlineStr">
        <is>
          <t>399518</t>
        </is>
      </c>
      <c r="E147" t="inlineStr">
        <is>
          <t>Salt Grinders</t>
        </is>
      </c>
      <c r="F147" t="inlineStr">
        <is>
          <t>NA</t>
        </is>
      </c>
      <c r="G147" t="inlineStr">
        <is>
          <t>238</t>
        </is>
      </c>
      <c r="H147" t="inlineStr">
        <is>
          <t>Salt Grinder</t>
        </is>
      </c>
      <c r="I147" t="inlineStr">
        <is>
          <t>Seasonings &amp; Spices</t>
        </is>
      </c>
      <c r="J147" s="2" t="n">
        <v>46271</v>
      </c>
      <c r="K147" t="n">
        <v>1.59</v>
      </c>
    </row>
    <row r="148" s="65">
      <c r="A148" s="1">
        <f>SUM(K148,M148,O148,Q148,S148,U148)</f>
        <v/>
      </c>
      <c r="C148" t="inlineStr">
        <is>
          <t>Aldi</t>
        </is>
      </c>
      <c r="D148" t="inlineStr">
        <is>
          <t>399025</t>
        </is>
      </c>
      <c r="E148" t="inlineStr">
        <is>
          <t>Peppercorn Grinder</t>
        </is>
      </c>
      <c r="F148" t="inlineStr">
        <is>
          <t>NA</t>
        </is>
      </c>
      <c r="G148" t="inlineStr">
        <is>
          <t>238</t>
        </is>
      </c>
      <c r="H148" t="inlineStr">
        <is>
          <t>Peppercorn Grinder</t>
        </is>
      </c>
      <c r="I148" t="inlineStr">
        <is>
          <t>Seasonings &amp; Spices</t>
        </is>
      </c>
      <c r="J148" s="2" t="n">
        <v>46271</v>
      </c>
      <c r="K148" t="n">
        <v>2.29</v>
      </c>
    </row>
    <row r="149" s="65">
      <c r="A149" s="1">
        <f>SUM(K149,M149,O149,Q149,S149,U149)</f>
        <v/>
      </c>
      <c r="C149" t="inlineStr">
        <is>
          <t>Aldi</t>
        </is>
      </c>
      <c r="D149" t="inlineStr">
        <is>
          <t>NA</t>
        </is>
      </c>
      <c r="E149" t="inlineStr">
        <is>
          <t>Brocoli Crowns</t>
        </is>
      </c>
      <c r="F149" t="inlineStr">
        <is>
          <t>NA</t>
        </is>
      </c>
      <c r="G149" t="inlineStr">
        <is>
          <t>238</t>
        </is>
      </c>
      <c r="H149" t="inlineStr">
        <is>
          <t>Broccoli Crowns</t>
        </is>
      </c>
      <c r="I149" t="inlineStr">
        <is>
          <t>Fresh Vegetables</t>
        </is>
      </c>
      <c r="J149" s="2" t="n">
        <v>46271</v>
      </c>
      <c r="K149" t="n">
        <v>3.95</v>
      </c>
    </row>
    <row r="150" s="65">
      <c r="A150" s="1">
        <f>SUM(K150,M150,O150,Q150,S150,U150)</f>
        <v/>
      </c>
      <c r="C150" t="inlineStr">
        <is>
          <t>Aldi</t>
        </is>
      </c>
      <c r="D150" t="inlineStr">
        <is>
          <t>NA</t>
        </is>
      </c>
      <c r="E150" t="inlineStr">
        <is>
          <t>Banannas LRW</t>
        </is>
      </c>
      <c r="F150" t="inlineStr">
        <is>
          <t>NA</t>
        </is>
      </c>
      <c r="G150" t="inlineStr">
        <is>
          <t>238</t>
        </is>
      </c>
      <c r="H150" t="inlineStr">
        <is>
          <t>Bananas</t>
        </is>
      </c>
      <c r="I150" t="inlineStr">
        <is>
          <t>Fresh Fruit</t>
        </is>
      </c>
      <c r="J150" s="2" t="n">
        <v>46271</v>
      </c>
      <c r="K150" t="n">
        <v>1.66</v>
      </c>
    </row>
    <row r="151" s="65">
      <c r="A151" s="1">
        <f>SUM(K151,M151,O151,Q151,S151,U151)</f>
        <v/>
      </c>
      <c r="C151" t="inlineStr">
        <is>
          <t>Aldi</t>
        </is>
      </c>
      <c r="D151" t="inlineStr">
        <is>
          <t>NA</t>
        </is>
      </c>
      <c r="E151" t="inlineStr">
        <is>
          <t>Blueberries</t>
        </is>
      </c>
      <c r="F151" t="inlineStr">
        <is>
          <t>NA</t>
        </is>
      </c>
      <c r="G151" t="inlineStr">
        <is>
          <t>238</t>
        </is>
      </c>
      <c r="H151" t="inlineStr">
        <is>
          <t>Blueberries</t>
        </is>
      </c>
      <c r="I151" t="inlineStr">
        <is>
          <t>Fresh Fruit</t>
        </is>
      </c>
      <c r="J151" s="2" t="n">
        <v>46271</v>
      </c>
      <c r="K151" t="n">
        <v>5.98</v>
      </c>
    </row>
    <row r="152" s="65">
      <c r="A152" s="1">
        <f>SUM(K152,M152,O152,Q152,S152,U152)</f>
        <v/>
      </c>
      <c r="C152" t="inlineStr">
        <is>
          <t>Aldi</t>
        </is>
      </c>
      <c r="D152" t="inlineStr">
        <is>
          <t>NA</t>
        </is>
      </c>
      <c r="E152" t="inlineStr">
        <is>
          <t>Raspberries</t>
        </is>
      </c>
      <c r="F152" t="inlineStr">
        <is>
          <t>NA</t>
        </is>
      </c>
      <c r="G152" t="inlineStr">
        <is>
          <t>238</t>
        </is>
      </c>
      <c r="H152" t="inlineStr">
        <is>
          <t>Raspberries</t>
        </is>
      </c>
      <c r="I152" t="inlineStr">
        <is>
          <t>Fresh Fruit</t>
        </is>
      </c>
      <c r="J152" s="2" t="n">
        <v>46271</v>
      </c>
      <c r="K152" t="n">
        <v>2.69</v>
      </c>
    </row>
    <row r="153" s="65">
      <c r="A153" s="1">
        <f>SUM(K153,M153,O153,Q153,S153,U153)</f>
        <v/>
      </c>
      <c r="C153" t="inlineStr">
        <is>
          <t>Aldi</t>
        </is>
      </c>
      <c r="D153" t="inlineStr">
        <is>
          <t>NA</t>
        </is>
      </c>
      <c r="E153" t="inlineStr">
        <is>
          <t>Strawberries</t>
        </is>
      </c>
      <c r="F153" t="inlineStr">
        <is>
          <t>NA</t>
        </is>
      </c>
      <c r="G153" t="inlineStr">
        <is>
          <t>238</t>
        </is>
      </c>
      <c r="H153" t="inlineStr">
        <is>
          <t>Strawberries</t>
        </is>
      </c>
      <c r="I153" t="inlineStr">
        <is>
          <t>Fresh Fruit</t>
        </is>
      </c>
      <c r="J153" s="2" t="n">
        <v>46271</v>
      </c>
      <c r="K153" t="n">
        <v>2.29</v>
      </c>
    </row>
    <row r="154" s="65">
      <c r="A154" s="1">
        <f>SUM(K154,M154,O154,Q154,S154,U154)</f>
        <v/>
      </c>
      <c r="C154" t="inlineStr">
        <is>
          <t>Aldi</t>
        </is>
      </c>
      <c r="D154" t="inlineStr">
        <is>
          <t>NA</t>
        </is>
      </c>
      <c r="E154" t="inlineStr">
        <is>
          <t>GF Wide Pan Bread</t>
        </is>
      </c>
      <c r="F154" t="inlineStr">
        <is>
          <t>NA</t>
        </is>
      </c>
      <c r="G154" t="inlineStr">
        <is>
          <t>238</t>
        </is>
      </c>
      <c r="H154" t="inlineStr">
        <is>
          <t>Gluten-Free Wide Pan Bread</t>
        </is>
      </c>
      <c r="I154" t="inlineStr">
        <is>
          <t>Bread</t>
        </is>
      </c>
      <c r="J154" s="2" t="n">
        <v>46271</v>
      </c>
      <c r="K154" t="n">
        <v>6.79</v>
      </c>
    </row>
    <row r="155" s="65">
      <c r="A155" s="1">
        <f>SUM(K155,M155,O155,Q155,S155,U155)</f>
        <v/>
      </c>
      <c r="C155" t="inlineStr">
        <is>
          <t>Aldi</t>
        </is>
      </c>
      <c r="D155" t="inlineStr">
        <is>
          <t>NA</t>
        </is>
      </c>
      <c r="E155" t="inlineStr">
        <is>
          <t>Artisinal Buns</t>
        </is>
      </c>
      <c r="F155" t="inlineStr">
        <is>
          <t>NA</t>
        </is>
      </c>
      <c r="G155" t="inlineStr">
        <is>
          <t>238</t>
        </is>
      </c>
      <c r="H155" t="inlineStr">
        <is>
          <t>Artisanal Buns</t>
        </is>
      </c>
      <c r="I155" t="inlineStr">
        <is>
          <t>Bread</t>
        </is>
      </c>
      <c r="J155" s="2" t="n">
        <v>46271</v>
      </c>
      <c r="K155" t="n">
        <v>2.99</v>
      </c>
    </row>
    <row r="156" s="65">
      <c r="A156" s="1">
        <f>SUM(K156,M156,O156,Q156,S156,U156)</f>
        <v/>
      </c>
      <c r="C156" t="inlineStr">
        <is>
          <t>Aldi</t>
        </is>
      </c>
      <c r="D156" t="inlineStr">
        <is>
          <t>NA</t>
        </is>
      </c>
      <c r="E156" t="inlineStr">
        <is>
          <t>Organic Chickpeas</t>
        </is>
      </c>
      <c r="F156" t="inlineStr">
        <is>
          <t>NA</t>
        </is>
      </c>
      <c r="G156" t="inlineStr">
        <is>
          <t>238</t>
        </is>
      </c>
      <c r="H156" t="inlineStr">
        <is>
          <t>Organic Chickpeas</t>
        </is>
      </c>
      <c r="I156" t="inlineStr">
        <is>
          <t>Canned Beans &amp; Legumes</t>
        </is>
      </c>
      <c r="J156" s="2" t="n">
        <v>46271</v>
      </c>
      <c r="K156" t="n">
        <v>0.99</v>
      </c>
    </row>
    <row r="157" s="65">
      <c r="A157" s="1">
        <f>SUM(K157,M157,O157,Q157,S157,U157)</f>
        <v/>
      </c>
      <c r="C157" t="inlineStr">
        <is>
          <t>Aldi</t>
        </is>
      </c>
      <c r="D157" t="inlineStr">
        <is>
          <t>NA</t>
        </is>
      </c>
      <c r="E157" t="inlineStr">
        <is>
          <t>Pil Flaky Biscuits</t>
        </is>
      </c>
      <c r="F157" t="inlineStr">
        <is>
          <t>NA</t>
        </is>
      </c>
      <c r="G157" t="inlineStr">
        <is>
          <t>238</t>
        </is>
      </c>
      <c r="H157" t="inlineStr">
        <is>
          <t>Pillsbury Flaky Biscuits</t>
        </is>
      </c>
      <c r="I157" t="inlineStr">
        <is>
          <t>Refrigerated Dough</t>
        </is>
      </c>
      <c r="J157" s="2" t="n">
        <v>46271</v>
      </c>
      <c r="K157" t="n">
        <v>2.97</v>
      </c>
    </row>
    <row r="158" s="65">
      <c r="A158" s="1">
        <f>SUM(K158,M158,O158,Q158,S158,U158)</f>
        <v/>
      </c>
      <c r="C158" t="inlineStr">
        <is>
          <t>Aldi</t>
        </is>
      </c>
      <c r="D158" t="inlineStr">
        <is>
          <t>383252</t>
        </is>
      </c>
      <c r="E158" t="inlineStr">
        <is>
          <t>Deli Sliced Cheese</t>
        </is>
      </c>
      <c r="F158" t="inlineStr">
        <is>
          <t>NA</t>
        </is>
      </c>
      <c r="G158" t="inlineStr">
        <is>
          <t>238</t>
        </is>
      </c>
      <c r="H158" t="inlineStr">
        <is>
          <t>Deli-Sliced Cheese</t>
        </is>
      </c>
      <c r="I158" t="inlineStr">
        <is>
          <t>Cheese</t>
        </is>
      </c>
      <c r="J158" s="2" t="n">
        <v>46271</v>
      </c>
      <c r="K158" s="1" t="n">
        <v>1.49</v>
      </c>
    </row>
    <row r="159" s="65">
      <c r="A159" s="1">
        <f>SUM(K159,M159,O159,Q159,S159,U159)</f>
        <v/>
      </c>
      <c r="C159" t="inlineStr">
        <is>
          <t>Aldi</t>
        </is>
      </c>
      <c r="D159" t="inlineStr">
        <is>
          <t>382473</t>
        </is>
      </c>
      <c r="E159" t="inlineStr">
        <is>
          <t>Shredded Mozz</t>
        </is>
      </c>
      <c r="F159" t="inlineStr">
        <is>
          <t>NA</t>
        </is>
      </c>
      <c r="G159" t="inlineStr">
        <is>
          <t>238</t>
        </is>
      </c>
      <c r="H159" t="inlineStr">
        <is>
          <t>Shredded Mozzarella Cheese</t>
        </is>
      </c>
      <c r="I159" t="inlineStr">
        <is>
          <t>Cheese</t>
        </is>
      </c>
      <c r="J159" s="2" t="n">
        <v>46271</v>
      </c>
      <c r="K159" s="1" t="n">
        <v>3.29</v>
      </c>
    </row>
    <row r="160" s="65">
      <c r="A160" s="1">
        <f>SUM(K160,M160,O160,Q160,S160,U160)</f>
        <v/>
      </c>
      <c r="C160" t="inlineStr">
        <is>
          <t>Aldi</t>
        </is>
      </c>
      <c r="D160" t="inlineStr">
        <is>
          <t>380809</t>
        </is>
      </c>
      <c r="E160" t="inlineStr">
        <is>
          <t>2 Roll Paper Towel</t>
        </is>
      </c>
      <c r="F160" t="inlineStr">
        <is>
          <t>NA</t>
        </is>
      </c>
      <c r="G160" t="inlineStr">
        <is>
          <t>238</t>
        </is>
      </c>
      <c r="H160" t="inlineStr">
        <is>
          <t>Paper Towels, 2-Roll</t>
        </is>
      </c>
      <c r="I160" t="inlineStr">
        <is>
          <t>Paper Towels</t>
        </is>
      </c>
      <c r="J160" s="2" t="n">
        <v>46271</v>
      </c>
      <c r="K160" s="1" t="n">
        <v>3.89</v>
      </c>
    </row>
    <row r="161" s="65">
      <c r="A161" s="1">
        <f>SUM(K161,M161,O161,Q161,S161,U161)</f>
        <v/>
      </c>
      <c r="C161" t="inlineStr">
        <is>
          <t>Aldi</t>
        </is>
      </c>
      <c r="D161" t="inlineStr">
        <is>
          <t>272135</t>
        </is>
      </c>
      <c r="E161" t="inlineStr">
        <is>
          <t>Salmon Portions</t>
        </is>
      </c>
      <c r="F161" t="inlineStr">
        <is>
          <t>NA</t>
        </is>
      </c>
      <c r="G161" t="inlineStr">
        <is>
          <t>238</t>
        </is>
      </c>
      <c r="H161" t="inlineStr">
        <is>
          <t>Salmon Portions</t>
        </is>
      </c>
      <c r="I161" t="inlineStr">
        <is>
          <t>Fresh Seafood</t>
        </is>
      </c>
      <c r="J161" s="2" t="n">
        <v>46271</v>
      </c>
      <c r="K161" s="1" t="n">
        <v>8</v>
      </c>
    </row>
    <row r="162" s="65">
      <c r="A162" s="1">
        <f>SUM(K162,M162,O162,Q162,S162,U162)</f>
        <v/>
      </c>
      <c r="C162" t="inlineStr">
        <is>
          <t>Aldi</t>
        </is>
      </c>
      <c r="D162" t="inlineStr">
        <is>
          <t>388137</t>
        </is>
      </c>
      <c r="E162" t="inlineStr">
        <is>
          <t>Large Eggs</t>
        </is>
      </c>
      <c r="F162" t="inlineStr">
        <is>
          <t>NA</t>
        </is>
      </c>
      <c r="G162" t="inlineStr">
        <is>
          <t>238</t>
        </is>
      </c>
      <c r="H162" t="inlineStr">
        <is>
          <t>Large Eggs</t>
        </is>
      </c>
      <c r="I162" t="inlineStr">
        <is>
          <t>Eggs</t>
        </is>
      </c>
      <c r="J162" s="2" t="n">
        <v>46271</v>
      </c>
      <c r="K162" t="n">
        <v>3.32</v>
      </c>
    </row>
    <row r="163" s="65">
      <c r="A163" s="1">
        <f>SUM(K163,M163,O163,Q163,S163,U163)</f>
        <v/>
      </c>
      <c r="C163" t="inlineStr">
        <is>
          <t>Aldi</t>
        </is>
      </c>
      <c r="D163" t="inlineStr">
        <is>
          <t>NA</t>
        </is>
      </c>
      <c r="E163" t="inlineStr">
        <is>
          <t>Tax</t>
        </is>
      </c>
      <c r="F163" t="inlineStr">
        <is>
          <t>NA</t>
        </is>
      </c>
      <c r="G163" t="inlineStr">
        <is>
          <t>238</t>
        </is>
      </c>
      <c r="H163" t="inlineStr">
        <is>
          <t>Tax</t>
        </is>
      </c>
      <c r="I163" t="inlineStr">
        <is>
          <t>Fees &amp; Charges</t>
        </is>
      </c>
      <c r="J163" s="2" t="n">
        <v>46271</v>
      </c>
      <c r="K163" t="n">
        <v>0.76</v>
      </c>
    </row>
    <row r="164" s="65">
      <c r="A164" s="1">
        <f>SUM(K164,M164,O164,Q164,S164,U164)</f>
        <v/>
      </c>
      <c r="C164" t="inlineStr">
        <is>
          <t>Trader Joe's</t>
        </is>
      </c>
      <c r="D164" t="inlineStr">
        <is>
          <t>NA</t>
        </is>
      </c>
      <c r="E164" t="inlineStr">
        <is>
          <t>EMPIRE KOSHER GROUND TRK</t>
        </is>
      </c>
      <c r="F164" t="inlineStr">
        <is>
          <t>NA</t>
        </is>
      </c>
      <c r="G164" t="inlineStr">
        <is>
          <t>0848</t>
        </is>
      </c>
      <c r="H164" t="inlineStr">
        <is>
          <t>Empire Kosher Ground Turkey</t>
        </is>
      </c>
      <c r="I164" t="inlineStr">
        <is>
          <t>Fresh Poultry</t>
        </is>
      </c>
      <c r="J164" s="2" t="n">
        <v>46258</v>
      </c>
      <c r="K164" s="1" t="n">
        <v>6.99</v>
      </c>
      <c r="L164" s="2" t="n">
        <v>46258</v>
      </c>
      <c r="M164" s="1" t="n">
        <v>6.99</v>
      </c>
      <c r="N164" s="2" t="n">
        <v>46272</v>
      </c>
      <c r="O164" s="1" t="n">
        <v>6.99</v>
      </c>
      <c r="P164" s="2" t="n">
        <v>46272</v>
      </c>
      <c r="Q164" t="n">
        <v>6.99</v>
      </c>
      <c r="R164" s="2" t="n">
        <v>46272</v>
      </c>
      <c r="S164" s="1" t="n">
        <v>6.99</v>
      </c>
      <c r="T164" s="2" t="n">
        <v>46272</v>
      </c>
      <c r="U164" t="n">
        <v>6.99</v>
      </c>
    </row>
    <row r="165" s="65">
      <c r="A165" s="1">
        <f>SUM(K165,M165,O165,Q165,S165,U165)</f>
        <v/>
      </c>
      <c r="C165" t="inlineStr">
        <is>
          <t>Trader Joe's</t>
        </is>
      </c>
      <c r="D165" t="inlineStr">
        <is>
          <t>NA</t>
        </is>
      </c>
      <c r="E165" t="inlineStr">
        <is>
          <t>MUFFIN BLUEBERRY GLUTEN</t>
        </is>
      </c>
      <c r="F165" t="inlineStr">
        <is>
          <t>NA</t>
        </is>
      </c>
      <c r="G165" t="inlineStr">
        <is>
          <t>0848</t>
        </is>
      </c>
      <c r="H165" t="inlineStr">
        <is>
          <t>Gluten-Free Blueberry Muffins</t>
        </is>
      </c>
      <c r="I165" t="inlineStr">
        <is>
          <t>Muffins &amp; Pastries</t>
        </is>
      </c>
      <c r="J165" s="2" t="n">
        <v>46258</v>
      </c>
      <c r="K165" s="1" t="n">
        <v>5.99</v>
      </c>
      <c r="L165" s="2" t="n">
        <v>46272</v>
      </c>
      <c r="M165" t="inlineStr">
        <is>
          <t>NA</t>
        </is>
      </c>
      <c r="N165" s="2" t="n">
        <v>46272</v>
      </c>
      <c r="O165" t="inlineStr">
        <is>
          <t>NA</t>
        </is>
      </c>
    </row>
    <row r="166" s="65">
      <c r="A166" s="1">
        <f>SUM(K166,M166,O166,Q166,S166,U166)</f>
        <v/>
      </c>
      <c r="C166" t="inlineStr">
        <is>
          <t>Trader Joe's</t>
        </is>
      </c>
      <c r="D166" t="inlineStr">
        <is>
          <t>NA</t>
        </is>
      </c>
      <c r="E166" t="inlineStr">
        <is>
          <t>TAQUITOS BLACK BEAN &amp; CH</t>
        </is>
      </c>
      <c r="F166" t="inlineStr">
        <is>
          <t>NA</t>
        </is>
      </c>
      <c r="G166" t="inlineStr">
        <is>
          <t>0848</t>
        </is>
      </c>
      <c r="H166" t="inlineStr">
        <is>
          <t>Black Bean &amp; Cheese Taquitos</t>
        </is>
      </c>
      <c r="I166" t="inlineStr">
        <is>
          <t>Frozen Appetizers</t>
        </is>
      </c>
      <c r="J166" s="2" t="n">
        <v>46272</v>
      </c>
      <c r="K166" t="n">
        <v>4.49</v>
      </c>
    </row>
    <row r="167" s="65">
      <c r="A167" s="1">
        <f>SUM(K167,M167,O167,Q167,S167,U167)</f>
        <v/>
      </c>
      <c r="C167" t="inlineStr">
        <is>
          <t>Trader Joe's</t>
        </is>
      </c>
      <c r="D167" t="inlineStr">
        <is>
          <t>NA</t>
        </is>
      </c>
      <c r="E167" t="inlineStr">
        <is>
          <t>EMPIRE KOSHER TRKY HALF</t>
        </is>
      </c>
      <c r="F167" t="inlineStr">
        <is>
          <t>NA</t>
        </is>
      </c>
      <c r="G167" t="inlineStr">
        <is>
          <t>0848</t>
        </is>
      </c>
      <c r="H167" t="inlineStr">
        <is>
          <t>Empire Kosher Turkey Half</t>
        </is>
      </c>
      <c r="I167" t="inlineStr">
        <is>
          <t>Fresh Poultry</t>
        </is>
      </c>
      <c r="J167" s="2" t="n">
        <v>46272</v>
      </c>
      <c r="K167" t="n">
        <v>19.16</v>
      </c>
    </row>
    <row r="168" s="65">
      <c r="A168" s="1">
        <f>SUM(K168,M168,O168,Q168,S168,U168)</f>
        <v/>
      </c>
      <c r="C168" t="inlineStr">
        <is>
          <t>Trader Joe's</t>
        </is>
      </c>
      <c r="D168" t="inlineStr">
        <is>
          <t>NA</t>
        </is>
      </c>
      <c r="E168" t="inlineStr">
        <is>
          <t>EMPIRE KOSHER BNL/SKNL B</t>
        </is>
      </c>
      <c r="F168" t="inlineStr">
        <is>
          <t>NA</t>
        </is>
      </c>
      <c r="G168" t="inlineStr">
        <is>
          <t>0848</t>
        </is>
      </c>
      <c r="H168" t="inlineStr">
        <is>
          <t>Empire Kosher Boneless Skinless Chicken Breast</t>
        </is>
      </c>
      <c r="I168" t="inlineStr">
        <is>
          <t>Fresh Poultry</t>
        </is>
      </c>
      <c r="J168" s="2" t="n">
        <v>46272</v>
      </c>
      <c r="K168" s="1" t="n">
        <v>10.79</v>
      </c>
      <c r="L168" s="2" t="n">
        <v>46272</v>
      </c>
      <c r="M168" s="1" t="n">
        <v>10.95</v>
      </c>
    </row>
    <row r="169" s="65">
      <c r="A169" s="1">
        <f>SUM(K169,M169,O169,Q169,S169,U169)</f>
        <v/>
      </c>
      <c r="C169" t="inlineStr">
        <is>
          <t>Trader Joe's</t>
        </is>
      </c>
      <c r="D169" t="inlineStr">
        <is>
          <t>NA</t>
        </is>
      </c>
      <c r="E169" t="inlineStr">
        <is>
          <t>BEEF KOSHER GROUND 85/15</t>
        </is>
      </c>
      <c r="F169" t="inlineStr">
        <is>
          <t>F</t>
        </is>
      </c>
      <c r="G169" t="inlineStr">
        <is>
          <t>0848</t>
        </is>
      </c>
      <c r="H169" t="inlineStr">
        <is>
          <t>Kosher Ground Beef 85/15</t>
        </is>
      </c>
      <c r="I169" t="inlineStr">
        <is>
          <t>Fresh Beef</t>
        </is>
      </c>
      <c r="J169" s="2" t="n">
        <v>46272</v>
      </c>
      <c r="K169" s="1" t="n">
        <v>35.97</v>
      </c>
    </row>
    <row r="170" s="65">
      <c r="A170" s="1">
        <f>SUM(K170,M170,O170,Q170,S170,U170)</f>
        <v/>
      </c>
      <c r="C170" t="inlineStr">
        <is>
          <t>Trader Joe's</t>
        </is>
      </c>
      <c r="D170" t="inlineStr">
        <is>
          <t>NA</t>
        </is>
      </c>
      <c r="E170" t="inlineStr">
        <is>
          <t>CHOCOLATE BABKA</t>
        </is>
      </c>
      <c r="F170" t="inlineStr">
        <is>
          <t>NA</t>
        </is>
      </c>
      <c r="G170" t="inlineStr">
        <is>
          <t>0848</t>
        </is>
      </c>
      <c r="H170" t="inlineStr">
        <is>
          <t>Chocolate Babka</t>
        </is>
      </c>
      <c r="I170" t="inlineStr">
        <is>
          <t>Muffins &amp; Pastries</t>
        </is>
      </c>
      <c r="J170" s="2" t="n">
        <v>46272</v>
      </c>
      <c r="K170" t="n">
        <v>5.99</v>
      </c>
    </row>
    <row r="171" s="65">
      <c r="A171" s="1">
        <f>SUM(K171,M171,O171,Q171,S171,U171)</f>
        <v/>
      </c>
      <c r="C171" t="inlineStr">
        <is>
          <t>Trader Joe's</t>
        </is>
      </c>
      <c r="D171" t="inlineStr">
        <is>
          <t>NA</t>
        </is>
      </c>
      <c r="E171" t="inlineStr">
        <is>
          <t>R-SALAD COMPLETE SWEET K</t>
        </is>
      </c>
      <c r="F171" t="inlineStr">
        <is>
          <t>NA</t>
        </is>
      </c>
      <c r="G171" t="inlineStr">
        <is>
          <t>0848</t>
        </is>
      </c>
      <c r="H171" t="inlineStr">
        <is>
          <t>Complete Sweet Kale Salad Kit</t>
        </is>
      </c>
      <c r="I171" t="inlineStr">
        <is>
          <t>Salad Kits</t>
        </is>
      </c>
      <c r="J171" s="2" t="n">
        <v>46272</v>
      </c>
      <c r="K171" t="n">
        <v>3.49</v>
      </c>
    </row>
    <row r="172" s="65">
      <c r="A172" s="1">
        <f>SUM(K172,M172,O172,Q172,S172,U172)</f>
        <v/>
      </c>
      <c r="C172" t="inlineStr">
        <is>
          <t>Trader Joe's</t>
        </is>
      </c>
      <c r="D172" t="inlineStr">
        <is>
          <t>NA</t>
        </is>
      </c>
      <c r="E172" t="inlineStr">
        <is>
          <t>HALF MOON  COOKIES</t>
        </is>
      </c>
      <c r="F172" t="inlineStr">
        <is>
          <t>NA</t>
        </is>
      </c>
      <c r="G172" t="inlineStr">
        <is>
          <t>0848</t>
        </is>
      </c>
      <c r="H172" t="inlineStr">
        <is>
          <t>Half Moon Cookies</t>
        </is>
      </c>
      <c r="I172" t="inlineStr">
        <is>
          <t>Cookies</t>
        </is>
      </c>
      <c r="J172" s="2" t="n">
        <v>46272</v>
      </c>
      <c r="K172" t="n">
        <v>3.99</v>
      </c>
    </row>
    <row r="173" s="65">
      <c r="A173" s="1">
        <f>SUM(K173,M173,O173,Q173,S173,U173)</f>
        <v/>
      </c>
      <c r="C173" t="inlineStr">
        <is>
          <t>Trader Joe's</t>
        </is>
      </c>
      <c r="D173" t="inlineStr">
        <is>
          <t>NA</t>
        </is>
      </c>
      <c r="E173" t="inlineStr">
        <is>
          <t xml:space="preserve">HOL PUMPKIN CREAM CHEESE </t>
        </is>
      </c>
      <c r="F173" t="inlineStr">
        <is>
          <t>NA</t>
        </is>
      </c>
      <c r="G173" t="inlineStr">
        <is>
          <t>0848</t>
        </is>
      </c>
      <c r="H173" t="inlineStr">
        <is>
          <t>Pumpkin Cream Cheese</t>
        </is>
      </c>
      <c r="I173" t="inlineStr">
        <is>
          <t>Cream Cheese</t>
        </is>
      </c>
      <c r="J173" s="2" t="n">
        <v>46272</v>
      </c>
      <c r="K173" t="n">
        <v>2.79</v>
      </c>
    </row>
    <row r="174" s="65">
      <c r="A174" s="1">
        <f>SUM(K174,M174,O174,Q174,S174,U174)</f>
        <v/>
      </c>
      <c r="C174" t="inlineStr">
        <is>
          <t>Publix</t>
        </is>
      </c>
      <c r="D174" t="inlineStr">
        <is>
          <t>NA</t>
        </is>
      </c>
      <c r="E174" t="inlineStr">
        <is>
          <t>Chobani Fob 0% Blk Chry</t>
        </is>
      </c>
      <c r="F174" t="inlineStr">
        <is>
          <t>NA</t>
        </is>
      </c>
      <c r="G174" t="inlineStr">
        <is>
          <t>120</t>
        </is>
      </c>
      <c r="H174" t="inlineStr">
        <is>
          <t>Chobani Black Cherry Greek Yogurt</t>
        </is>
      </c>
      <c r="I174" t="inlineStr">
        <is>
          <t>Yogurt</t>
        </is>
      </c>
      <c r="J174" s="2" t="n">
        <v>46272</v>
      </c>
      <c r="K174" t="n">
        <v>1</v>
      </c>
      <c r="L174" s="2" t="n">
        <v>46272</v>
      </c>
      <c r="M174" t="n">
        <v>1</v>
      </c>
    </row>
    <row r="175" s="65">
      <c r="A175" s="1">
        <f>SUM(K175,M175,O175,Q175,S175,U175)</f>
        <v/>
      </c>
      <c r="C175" t="inlineStr">
        <is>
          <t>Publix</t>
        </is>
      </c>
      <c r="D175" t="inlineStr">
        <is>
          <t>NA</t>
        </is>
      </c>
      <c r="E175" t="inlineStr">
        <is>
          <t>Mc Cinn Grnd 2.370oz</t>
        </is>
      </c>
      <c r="F175" t="inlineStr">
        <is>
          <t>NA</t>
        </is>
      </c>
      <c r="G175" t="inlineStr">
        <is>
          <t>120</t>
        </is>
      </c>
      <c r="H175" t="inlineStr">
        <is>
          <t>McCormick Ground Cinnamon</t>
        </is>
      </c>
      <c r="I175" t="inlineStr">
        <is>
          <t>Seasonings &amp; Spices</t>
        </is>
      </c>
      <c r="J175" s="2" t="n">
        <v>46272</v>
      </c>
      <c r="K175" t="n">
        <v>3.29</v>
      </c>
    </row>
    <row r="176" s="65">
      <c r="A176" s="1">
        <f>SUM(K176,M176,O176,Q176,S176,U176)</f>
        <v/>
      </c>
      <c r="C176" t="inlineStr">
        <is>
          <t>Publix</t>
        </is>
      </c>
      <c r="D176" t="inlineStr">
        <is>
          <t>NA</t>
        </is>
      </c>
      <c r="E176" t="inlineStr">
        <is>
          <t>Chobani Fob 2% Pineappple</t>
        </is>
      </c>
      <c r="F176" t="inlineStr">
        <is>
          <t>NA</t>
        </is>
      </c>
      <c r="G176" t="inlineStr">
        <is>
          <t>120</t>
        </is>
      </c>
      <c r="H176" t="inlineStr">
        <is>
          <t>Chobani Pineapple Greek Yogurt</t>
        </is>
      </c>
      <c r="I176" t="inlineStr">
        <is>
          <t>Yogurt</t>
        </is>
      </c>
      <c r="J176" s="2" t="n">
        <v>46272</v>
      </c>
      <c r="K176" t="n">
        <v>1</v>
      </c>
    </row>
    <row r="177" s="65">
      <c r="A177" s="1">
        <f>SUM(K177,M177,O177,Q177,S177,U177)</f>
        <v/>
      </c>
      <c r="C177" t="inlineStr">
        <is>
          <t>Publix</t>
        </is>
      </c>
      <c r="D177" t="inlineStr">
        <is>
          <t>NA</t>
        </is>
      </c>
      <c r="E177" t="inlineStr">
        <is>
          <t>Chobani Hero Batch Fob</t>
        </is>
      </c>
      <c r="F177" t="inlineStr">
        <is>
          <t>NA</t>
        </is>
      </c>
      <c r="G177" t="inlineStr">
        <is>
          <t>120</t>
        </is>
      </c>
      <c r="H177" t="inlineStr">
        <is>
          <t>Chobani Hero Batch Greek Yogurt</t>
        </is>
      </c>
      <c r="I177" t="inlineStr">
        <is>
          <t>Yogurt</t>
        </is>
      </c>
      <c r="J177" s="2" t="n">
        <v>46272</v>
      </c>
      <c r="K177" t="n">
        <v>1</v>
      </c>
    </row>
    <row r="178" s="65">
      <c r="A178" s="1">
        <f>SUM(K178,M178,O178,Q178,S178,U178)</f>
        <v/>
      </c>
      <c r="C178" t="inlineStr">
        <is>
          <t>Publix</t>
        </is>
      </c>
      <c r="D178" t="inlineStr">
        <is>
          <t>NA</t>
        </is>
      </c>
      <c r="E178" t="inlineStr">
        <is>
          <t>Chobani Blnd  2% Key Lime</t>
        </is>
      </c>
      <c r="F178" t="inlineStr">
        <is>
          <t>NA</t>
        </is>
      </c>
      <c r="G178" t="inlineStr">
        <is>
          <t>120</t>
        </is>
      </c>
      <c r="H178" t="inlineStr">
        <is>
          <t>Chobani Key Lime Greek Yogurt</t>
        </is>
      </c>
      <c r="I178" t="inlineStr">
        <is>
          <t>Yogurt</t>
        </is>
      </c>
      <c r="J178" s="2" t="n">
        <v>46272</v>
      </c>
      <c r="K178" t="n">
        <v>1</v>
      </c>
    </row>
    <row r="179" s="65">
      <c r="A179" s="1">
        <f>SUM(K179,M179,O179,Q179,S179,U179)</f>
        <v/>
      </c>
      <c r="C179" t="inlineStr">
        <is>
          <t>Publix</t>
        </is>
      </c>
      <c r="D179" t="inlineStr">
        <is>
          <t>NA</t>
        </is>
      </c>
      <c r="E179" t="inlineStr">
        <is>
          <t>Chobani Hero Batch Fob</t>
        </is>
      </c>
      <c r="F179" t="inlineStr">
        <is>
          <t>NA</t>
        </is>
      </c>
      <c r="G179" t="inlineStr">
        <is>
          <t>120</t>
        </is>
      </c>
      <c r="H179" t="inlineStr">
        <is>
          <t>Chobani Hero Batch Greek Yogurt</t>
        </is>
      </c>
      <c r="I179" t="inlineStr">
        <is>
          <t>Yogurt</t>
        </is>
      </c>
      <c r="J179" s="2" t="n">
        <v>46272</v>
      </c>
      <c r="K179" t="n">
        <v>1</v>
      </c>
    </row>
    <row r="180" s="65">
      <c r="A180" s="1">
        <f>SUM(K180,M180,O180,Q180,S180,U180)</f>
        <v/>
      </c>
      <c r="C180" t="inlineStr">
        <is>
          <t>Publix</t>
        </is>
      </c>
      <c r="D180" t="inlineStr">
        <is>
          <t>NA</t>
        </is>
      </c>
      <c r="E180" t="inlineStr">
        <is>
          <t>Chobani Fob 2% Stwbry Ban</t>
        </is>
      </c>
      <c r="F180" t="inlineStr">
        <is>
          <t>NA</t>
        </is>
      </c>
      <c r="G180" t="inlineStr">
        <is>
          <t>120</t>
        </is>
      </c>
      <c r="H180" t="inlineStr">
        <is>
          <t>Chobani Strawberry Banana Greek Yogurt</t>
        </is>
      </c>
      <c r="I180" t="inlineStr">
        <is>
          <t>Yogurt</t>
        </is>
      </c>
      <c r="J180" s="2" t="n">
        <v>46272</v>
      </c>
      <c r="K180" t="n">
        <v>1</v>
      </c>
    </row>
    <row r="181" s="65">
      <c r="A181" s="1">
        <f>SUM(K181,M181,O181,Q181,S181,U181)</f>
        <v/>
      </c>
      <c r="C181" t="inlineStr">
        <is>
          <t>Publix</t>
        </is>
      </c>
      <c r="D181" t="inlineStr">
        <is>
          <t>NA</t>
        </is>
      </c>
      <c r="E181" t="inlineStr">
        <is>
          <t>Chobani Fob 0% Blk Chry</t>
        </is>
      </c>
      <c r="F181" t="inlineStr">
        <is>
          <t>NA</t>
        </is>
      </c>
      <c r="G181" t="inlineStr">
        <is>
          <t>120</t>
        </is>
      </c>
      <c r="H181" t="inlineStr">
        <is>
          <t>Chobani Black Cherry Greek Yogurt</t>
        </is>
      </c>
      <c r="I181" t="inlineStr">
        <is>
          <t>Yogurt</t>
        </is>
      </c>
      <c r="J181" s="2" t="n">
        <v>46272</v>
      </c>
      <c r="K181" t="n">
        <v>1</v>
      </c>
    </row>
    <row r="182" s="65">
      <c r="A182" s="1">
        <f>SUM(K182,M182,O182,Q182,S182,U182)</f>
        <v/>
      </c>
      <c r="C182" t="inlineStr">
        <is>
          <t>Publix</t>
        </is>
      </c>
      <c r="D182" t="inlineStr">
        <is>
          <t>NA</t>
        </is>
      </c>
      <c r="E182" t="inlineStr">
        <is>
          <t>Chobani 20G Drk 4pk Straw</t>
        </is>
      </c>
      <c r="F182" t="inlineStr">
        <is>
          <t>NA</t>
        </is>
      </c>
      <c r="G182" t="inlineStr">
        <is>
          <t>120</t>
        </is>
      </c>
      <c r="H182" t="inlineStr">
        <is>
          <t>Chobani Protein Greek Yogurt Drink, Strawberries &amp; Cream</t>
        </is>
      </c>
      <c r="I182" t="inlineStr">
        <is>
          <t>Yogurt</t>
        </is>
      </c>
      <c r="J182" s="2" t="n">
        <v>46272</v>
      </c>
      <c r="K182" t="n">
        <v>10.99</v>
      </c>
    </row>
    <row r="183" s="65">
      <c r="A183" s="1">
        <f>SUM(K183,M183,O183,Q183,S183,U183)</f>
        <v/>
      </c>
      <c r="C183" t="inlineStr">
        <is>
          <t>Publix</t>
        </is>
      </c>
      <c r="D183" t="inlineStr">
        <is>
          <t>NA</t>
        </is>
      </c>
      <c r="E183" t="inlineStr">
        <is>
          <t xml:space="preserve">Sm Raisins Golden </t>
        </is>
      </c>
      <c r="F183" t="inlineStr">
        <is>
          <t>NA</t>
        </is>
      </c>
      <c r="G183" t="inlineStr">
        <is>
          <t>120</t>
        </is>
      </c>
      <c r="H183" t="inlineStr">
        <is>
          <t>Sun-Maid Golden Raisins</t>
        </is>
      </c>
      <c r="I183" t="inlineStr">
        <is>
          <t>Dried Fruit</t>
        </is>
      </c>
      <c r="J183" s="2" t="n">
        <v>46272</v>
      </c>
      <c r="K183" t="n">
        <v>4.45</v>
      </c>
    </row>
    <row r="184" s="65">
      <c r="A184" s="1">
        <f>SUM(K184,M184,O184,Q184,S184,U184)</f>
        <v/>
      </c>
      <c r="C184" t="inlineStr">
        <is>
          <t>Publix</t>
        </is>
      </c>
      <c r="D184" t="inlineStr">
        <is>
          <t>NA</t>
        </is>
      </c>
      <c r="E184" t="inlineStr">
        <is>
          <t>Cho 4pk Flip Lto</t>
        </is>
      </c>
      <c r="F184" t="inlineStr">
        <is>
          <t>NA</t>
        </is>
      </c>
      <c r="G184" t="inlineStr">
        <is>
          <t>120</t>
        </is>
      </c>
      <c r="H184" t="inlineStr">
        <is>
          <t>Chobani Flip 4-Pack</t>
        </is>
      </c>
      <c r="I184" t="inlineStr">
        <is>
          <t>Yogurt</t>
        </is>
      </c>
      <c r="J184" s="2" t="n">
        <v>46272</v>
      </c>
      <c r="K184" t="n">
        <v>7.19</v>
      </c>
    </row>
    <row r="185" s="65">
      <c r="A185" s="1">
        <f>SUM(K185,M185,O185,Q185,S185,U185)</f>
        <v/>
      </c>
      <c r="C185" t="inlineStr">
        <is>
          <t>PapaJohns</t>
        </is>
      </c>
      <c r="D185" t="inlineStr">
        <is>
          <t>NA</t>
        </is>
      </c>
      <c r="E185" t="inlineStr">
        <is>
          <t>Large NY Style 1-Topping Pizza</t>
        </is>
      </c>
      <c r="F185" t="inlineStr">
        <is>
          <t>NA</t>
        </is>
      </c>
      <c r="G185" t="n">
        <v>0</v>
      </c>
      <c r="H185" t="inlineStr">
        <is>
          <t>Papa John's Large NY Style 1-Topping Pizza</t>
        </is>
      </c>
      <c r="I185" t="inlineStr">
        <is>
          <t>Prepared Meals</t>
        </is>
      </c>
      <c r="J185" s="2" t="n">
        <v>46272</v>
      </c>
      <c r="K185" t="n">
        <v>17.33</v>
      </c>
    </row>
    <row r="186" s="65">
      <c r="A186" s="1">
        <f>SUM(K186,M186,O186,Q186,S186,U186)</f>
        <v/>
      </c>
      <c r="C186" t="inlineStr">
        <is>
          <t>PapaJohns</t>
        </is>
      </c>
      <c r="D186" t="inlineStr">
        <is>
          <t>NA</t>
        </is>
      </c>
      <c r="E186" t="inlineStr">
        <is>
          <t>Pizza + Wings + Cheesesticks</t>
        </is>
      </c>
      <c r="F186" t="inlineStr">
        <is>
          <t>NA</t>
        </is>
      </c>
      <c r="G186" t="n">
        <v>0</v>
      </c>
      <c r="H186" t="inlineStr">
        <is>
          <t>Papa John's Pizza, Wings &amp; Cheesesticks</t>
        </is>
      </c>
      <c r="I186" t="inlineStr">
        <is>
          <t>Prepared Meals</t>
        </is>
      </c>
      <c r="J186" s="2" t="n">
        <v>46272</v>
      </c>
      <c r="K186" t="n">
        <v>39.37</v>
      </c>
    </row>
    <row r="187" s="65">
      <c r="A187" s="1">
        <f>SUM(K187,M187,O187,Q187,S187,U187)</f>
        <v/>
      </c>
      <c r="C187" t="inlineStr">
        <is>
          <t>SurfinTurtle</t>
        </is>
      </c>
      <c r="D187" t="inlineStr">
        <is>
          <t>NA</t>
        </is>
      </c>
      <c r="E187" t="inlineStr">
        <is>
          <t>Pineapple Dole Whip Cup</t>
        </is>
      </c>
      <c r="F187" t="inlineStr">
        <is>
          <t>NA</t>
        </is>
      </c>
      <c r="G187" t="inlineStr">
        <is>
          <t>0</t>
        </is>
      </c>
      <c r="H187" t="inlineStr">
        <is>
          <t>Pineapple Dole Whip Cup</t>
        </is>
      </c>
      <c r="I187" t="inlineStr">
        <is>
          <t>Prepared Meals</t>
        </is>
      </c>
      <c r="J187" s="2" t="n">
        <v>46274</v>
      </c>
      <c r="K187" s="1" t="n">
        <v>5</v>
      </c>
    </row>
    <row r="188" s="65">
      <c r="A188" s="1">
        <f>SUM(K188,M188,O188,Q188,S188,U188)</f>
        <v/>
      </c>
      <c r="C188" t="inlineStr">
        <is>
          <t>SurfinTurtle</t>
        </is>
      </c>
      <c r="D188" t="inlineStr">
        <is>
          <t>NA</t>
        </is>
      </c>
      <c r="E188" t="inlineStr">
        <is>
          <t>Hot Fudge ($</t>
        </is>
      </c>
      <c r="F188" t="inlineStr">
        <is>
          <t>NA</t>
        </is>
      </c>
      <c r="G188" t="inlineStr">
        <is>
          <t>0</t>
        </is>
      </c>
      <c r="H188" t="inlineStr">
        <is>
          <t>Hot Fudge</t>
        </is>
      </c>
      <c r="I188" t="inlineStr">
        <is>
          <t>Prepared Meals</t>
        </is>
      </c>
      <c r="J188" s="2" t="n">
        <v>46274</v>
      </c>
      <c r="K188" s="1" t="n">
        <v>1</v>
      </c>
    </row>
    <row r="189" s="65">
      <c r="A189" s="1">
        <f>SUM(K189,M189,O189,Q189,S189,U189)</f>
        <v/>
      </c>
      <c r="C189" t="inlineStr">
        <is>
          <t>SurfinTurtle</t>
        </is>
      </c>
      <c r="D189" t="inlineStr">
        <is>
          <t>NA</t>
        </is>
      </c>
      <c r="E189" t="inlineStr">
        <is>
          <t>Arctic Cyclone</t>
        </is>
      </c>
      <c r="F189" t="inlineStr">
        <is>
          <t>NA</t>
        </is>
      </c>
      <c r="G189" t="inlineStr">
        <is>
          <t>0</t>
        </is>
      </c>
      <c r="H189" t="inlineStr">
        <is>
          <t>Arctic Cyclone</t>
        </is>
      </c>
      <c r="I189" t="inlineStr">
        <is>
          <t>Prepared Meals</t>
        </is>
      </c>
      <c r="J189" s="2" t="n">
        <v>46274</v>
      </c>
      <c r="K189" s="1" t="n">
        <v>6.5</v>
      </c>
    </row>
    <row r="190" s="65">
      <c r="A190" s="1">
        <f>SUM(K190,M190,O190,Q190,S190,U190)</f>
        <v/>
      </c>
      <c r="C190" t="inlineStr">
        <is>
          <t>SurfinTurtle</t>
        </is>
      </c>
      <c r="D190" t="inlineStr">
        <is>
          <t>NA</t>
        </is>
      </c>
      <c r="E190" t="inlineStr">
        <is>
          <t>Sales Tax (7%) $</t>
        </is>
      </c>
      <c r="F190" t="inlineStr">
        <is>
          <t>NA</t>
        </is>
      </c>
      <c r="G190" t="inlineStr">
        <is>
          <t>0</t>
        </is>
      </c>
      <c r="H190" t="inlineStr">
        <is>
          <t>Sales Tax</t>
        </is>
      </c>
      <c r="I190" t="inlineStr">
        <is>
          <t>Fees &amp; Charges</t>
        </is>
      </c>
      <c r="J190" s="2" t="n">
        <v>46274</v>
      </c>
      <c r="K190" s="1" t="n">
        <v>0.8</v>
      </c>
    </row>
    <row r="191" s="65">
      <c r="A191" s="1">
        <f>SUM(K191,M191,O191,Q191,S191,U191)</f>
        <v/>
      </c>
      <c r="C191" t="inlineStr">
        <is>
          <t>Publix</t>
        </is>
      </c>
      <c r="D191" t="inlineStr">
        <is>
          <t>NA</t>
        </is>
      </c>
      <c r="E191" t="inlineStr">
        <is>
          <t>Chobani 20G Drk 4PK Straw</t>
        </is>
      </c>
      <c r="F191" t="inlineStr">
        <is>
          <t>F</t>
        </is>
      </c>
      <c r="G191" t="inlineStr">
        <is>
          <t>1058</t>
        </is>
      </c>
      <c r="H191" t="inlineStr">
        <is>
          <t>Chobani Protein Greek Yogurt Drink, Strawberries &amp; Cream</t>
        </is>
      </c>
      <c r="I191" t="inlineStr">
        <is>
          <t>Yogurt</t>
        </is>
      </c>
      <c r="J191" s="2" t="n">
        <v>46278</v>
      </c>
      <c r="K191" s="1" t="n">
        <v>10.99</v>
      </c>
    </row>
    <row r="192" s="65">
      <c r="A192" s="1">
        <f>SUM(K192,M192,O192,Q192,S192,U192)</f>
        <v/>
      </c>
      <c r="C192" t="inlineStr">
        <is>
          <t>Publix</t>
        </is>
      </c>
      <c r="D192" t="inlineStr">
        <is>
          <t>NA</t>
        </is>
      </c>
      <c r="E192" t="inlineStr">
        <is>
          <t>Meyers Hand Soap Lemon</t>
        </is>
      </c>
      <c r="F192" t="inlineStr">
        <is>
          <t>T</t>
        </is>
      </c>
      <c r="G192" t="inlineStr">
        <is>
          <t>1058</t>
        </is>
      </c>
      <c r="H192" t="inlineStr">
        <is>
          <t>Mrs. Meyer's Lemon Verbena Hand Soap</t>
        </is>
      </c>
      <c r="I192" t="inlineStr">
        <is>
          <t>Hand Soap</t>
        </is>
      </c>
      <c r="J192" s="2" t="n">
        <v>46278</v>
      </c>
      <c r="K192" s="1" t="n">
        <v>4.99</v>
      </c>
    </row>
    <row r="193" s="65">
      <c r="A193" s="1">
        <f>SUM(K193,M193,O193,Q193,S193,U193)</f>
        <v/>
      </c>
      <c r="C193" t="inlineStr">
        <is>
          <t>Publix</t>
        </is>
      </c>
      <c r="D193" t="inlineStr">
        <is>
          <t>NA</t>
        </is>
      </c>
      <c r="E193" t="inlineStr">
        <is>
          <t>Tums Chwy Bites Brry 60ct</t>
        </is>
      </c>
      <c r="F193" t="inlineStr">
        <is>
          <t>NA</t>
        </is>
      </c>
      <c r="G193" t="inlineStr">
        <is>
          <t>1058</t>
        </is>
      </c>
      <c r="H193" t="inlineStr">
        <is>
          <t>Tums Chewy Bites Berry, 60 Count</t>
        </is>
      </c>
      <c r="I193" t="inlineStr">
        <is>
          <t>Antacids</t>
        </is>
      </c>
      <c r="J193" s="2" t="n">
        <v>46278</v>
      </c>
      <c r="K193" s="1" t="n">
        <v>10.29</v>
      </c>
    </row>
    <row r="194" s="65">
      <c r="A194" s="1">
        <f>SUM(K194,M194,O194,Q194,S194,U194)</f>
        <v/>
      </c>
      <c r="C194" t="inlineStr">
        <is>
          <t>Publix</t>
        </is>
      </c>
      <c r="D194" t="inlineStr">
        <is>
          <t>NA</t>
        </is>
      </c>
      <c r="E194" t="inlineStr">
        <is>
          <t>Tax</t>
        </is>
      </c>
      <c r="F194" t="inlineStr">
        <is>
          <t>T</t>
        </is>
      </c>
      <c r="G194" t="inlineStr">
        <is>
          <t>1058</t>
        </is>
      </c>
      <c r="H194" t="inlineStr">
        <is>
          <t>Tax</t>
        </is>
      </c>
      <c r="I194" t="inlineStr">
        <is>
          <t>Fees &amp; Charges</t>
        </is>
      </c>
      <c r="J194" s="2" t="n">
        <v>46278</v>
      </c>
      <c r="K194" t="inlineStr">
        <is>
          <t>NA</t>
        </is>
      </c>
    </row>
    <row r="195" s="65">
      <c r="A195" s="1">
        <f>SUM(K195,M195,O195,Q195,S195,U195)</f>
        <v/>
      </c>
      <c r="C195" t="inlineStr">
        <is>
          <t>Walmart</t>
        </is>
      </c>
      <c r="D195" t="inlineStr">
        <is>
          <t>NA</t>
        </is>
      </c>
      <c r="E195" t="inlineStr">
        <is>
          <t>Purina Tidy Cats Free and Clean Clumping Cat Litter</t>
        </is>
      </c>
      <c r="F195" t="inlineStr">
        <is>
          <t>NA</t>
        </is>
      </c>
      <c r="G195" t="inlineStr">
        <is>
          <t>0</t>
        </is>
      </c>
      <c r="H195" t="inlineStr">
        <is>
          <t>Purina Tidy Cats Free &amp; Clean Clumping Cat Litter</t>
        </is>
      </c>
      <c r="I195" t="inlineStr">
        <is>
          <t>Cat Litter</t>
        </is>
      </c>
      <c r="J195" s="2" t="n">
        <v>46278</v>
      </c>
      <c r="K195" s="1" t="n">
        <v>25.94</v>
      </c>
    </row>
    <row r="196" s="65">
      <c r="A196" s="1">
        <f>SUM(K196,M196,O196,Q196,S196,U196)</f>
        <v/>
      </c>
      <c r="C196" t="inlineStr">
        <is>
          <t>Walmart</t>
        </is>
      </c>
      <c r="D196" t="inlineStr">
        <is>
          <t>NA</t>
        </is>
      </c>
      <c r="E196" t="inlineStr">
        <is>
          <t>Mott's No Sugar Added Applesauce</t>
        </is>
      </c>
      <c r="F196" t="inlineStr">
        <is>
          <t>NA</t>
        </is>
      </c>
      <c r="G196" t="inlineStr">
        <is>
          <t>0</t>
        </is>
      </c>
      <c r="H196" t="inlineStr">
        <is>
          <t>Mott's No Sugar Added Applesauce</t>
        </is>
      </c>
      <c r="I196" t="inlineStr">
        <is>
          <t>Applesauce</t>
        </is>
      </c>
      <c r="J196" s="2" t="n">
        <v>46278</v>
      </c>
      <c r="K196" s="1" t="n">
        <v>7.97</v>
      </c>
    </row>
    <row r="197" s="65">
      <c r="A197" s="1">
        <f>SUM(K197,M197,O197,Q197,S197,U197)</f>
        <v/>
      </c>
      <c r="C197" t="inlineStr">
        <is>
          <t>Walmart</t>
        </is>
      </c>
      <c r="D197" t="inlineStr">
        <is>
          <t>NA</t>
        </is>
      </c>
      <c r="E197" t="inlineStr">
        <is>
          <t>Giovanni Rana Tortellini</t>
        </is>
      </c>
      <c r="F197" t="inlineStr">
        <is>
          <t>NA</t>
        </is>
      </c>
      <c r="G197" t="inlineStr">
        <is>
          <t>0</t>
        </is>
      </c>
      <c r="H197" t="inlineStr">
        <is>
          <t>Giovanni Rana Tortellini</t>
        </is>
      </c>
      <c r="I197" t="inlineStr">
        <is>
          <t>Refrigerated Pasta</t>
        </is>
      </c>
      <c r="J197" s="2" t="n">
        <v>46278</v>
      </c>
      <c r="K197" s="1" t="n">
        <v>8.74</v>
      </c>
    </row>
    <row r="198" s="65">
      <c r="A198" s="1">
        <f>SUM(K198,M198,O198,Q198,S198,U198)</f>
        <v/>
      </c>
      <c r="C198" t="inlineStr">
        <is>
          <t>Walmart</t>
        </is>
      </c>
      <c r="D198" t="inlineStr">
        <is>
          <t>NA</t>
        </is>
      </c>
      <c r="E198" t="inlineStr">
        <is>
          <t>Nature's Bakery Gluten Free Raspberry Fig Bars</t>
        </is>
      </c>
      <c r="F198" t="inlineStr">
        <is>
          <t>NA</t>
        </is>
      </c>
      <c r="G198" t="inlineStr">
        <is>
          <t>0</t>
        </is>
      </c>
      <c r="H198" t="inlineStr">
        <is>
          <t>Nature's Bakery Gluten-Free Raspberry Fig Bars</t>
        </is>
      </c>
      <c r="I198" t="inlineStr">
        <is>
          <t>Snack Bars</t>
        </is>
      </c>
      <c r="J198" s="2" t="n">
        <v>46278</v>
      </c>
      <c r="K198" s="1" t="n">
        <v>5.97</v>
      </c>
    </row>
    <row r="199" s="65">
      <c r="A199" s="1">
        <f>SUM(K199,M199,O199,Q199,S199,U199)</f>
        <v/>
      </c>
      <c r="C199" t="inlineStr">
        <is>
          <t>Walmart</t>
        </is>
      </c>
      <c r="D199" t="inlineStr">
        <is>
          <t>NA</t>
        </is>
      </c>
      <c r="E199" t="inlineStr">
        <is>
          <t>Tums Chewy Bites Ultra Strength Heartburn Relief Chews</t>
        </is>
      </c>
      <c r="F199" t="inlineStr">
        <is>
          <t>NA</t>
        </is>
      </c>
      <c r="G199" t="inlineStr">
        <is>
          <t>0</t>
        </is>
      </c>
      <c r="H199" t="inlineStr">
        <is>
          <t>Tums Chewy Bites Ultra Strength Heartburn Relief Chews</t>
        </is>
      </c>
      <c r="I199" t="inlineStr">
        <is>
          <t>Antacids</t>
        </is>
      </c>
      <c r="J199" s="2" t="n">
        <v>46278</v>
      </c>
      <c r="K199" s="1" t="n">
        <v>11.96</v>
      </c>
    </row>
    <row r="200" s="65">
      <c r="A200" s="1">
        <f>SUM(K200,M200,O200,Q200,S200,U200)</f>
        <v/>
      </c>
      <c r="C200" t="inlineStr">
        <is>
          <t>Walmart</t>
        </is>
      </c>
      <c r="D200" t="inlineStr">
        <is>
          <t>NA</t>
        </is>
      </c>
      <c r="E200" t="inlineStr">
        <is>
          <t>Swiffer Sweep + Mop, Dry Pads Refill</t>
        </is>
      </c>
      <c r="F200" t="inlineStr">
        <is>
          <t>NA</t>
        </is>
      </c>
      <c r="G200" t="inlineStr">
        <is>
          <t>0</t>
        </is>
      </c>
      <c r="H200" t="inlineStr">
        <is>
          <t>Swiffer Sweep + Mop Dry Pads Refill</t>
        </is>
      </c>
      <c r="I200" t="inlineStr">
        <is>
          <t>Household Cleaners</t>
        </is>
      </c>
      <c r="J200" s="2" t="n">
        <v>46278</v>
      </c>
      <c r="K200" s="1" t="n">
        <v>9.94</v>
      </c>
    </row>
    <row r="201" s="65">
      <c r="A201" s="1">
        <f>SUM(K201,M201,O201,Q201,S201,U201)</f>
        <v/>
      </c>
      <c r="C201" t="inlineStr">
        <is>
          <t>Walmart</t>
        </is>
      </c>
      <c r="D201" t="inlineStr">
        <is>
          <t>NA</t>
        </is>
      </c>
      <c r="E201" t="inlineStr">
        <is>
          <t>Fresh Mini Seedless Watermelon</t>
        </is>
      </c>
      <c r="F201" t="inlineStr">
        <is>
          <t>NA</t>
        </is>
      </c>
      <c r="G201" t="inlineStr">
        <is>
          <t>0</t>
        </is>
      </c>
      <c r="H201" t="inlineStr">
        <is>
          <t>Mini Seedless Watermelon</t>
        </is>
      </c>
      <c r="I201" t="inlineStr">
        <is>
          <t>Fresh Fruit</t>
        </is>
      </c>
      <c r="J201" s="2" t="n">
        <v>46278</v>
      </c>
      <c r="K201" s="1" t="n">
        <v>4.48</v>
      </c>
    </row>
    <row r="202" s="65">
      <c r="A202" s="1">
        <f>SUM(K202,M202,O202,Q202,S202,U202)</f>
        <v/>
      </c>
      <c r="C202" t="inlineStr">
        <is>
          <t>Walmart</t>
        </is>
      </c>
      <c r="D202" t="inlineStr">
        <is>
          <t>NA</t>
        </is>
      </c>
      <c r="E202" t="inlineStr">
        <is>
          <t>Dave's Killer Bread Organic Oats &amp; Blues</t>
        </is>
      </c>
      <c r="F202" t="inlineStr">
        <is>
          <t>NA</t>
        </is>
      </c>
      <c r="G202" t="inlineStr">
        <is>
          <t>0</t>
        </is>
      </c>
      <c r="H202" t="inlineStr">
        <is>
          <t>Dave's Killer Bread Organic Oats &amp; Blues</t>
        </is>
      </c>
      <c r="I202" t="inlineStr">
        <is>
          <t>Bread</t>
        </is>
      </c>
      <c r="J202" s="2" t="n">
        <v>46278</v>
      </c>
      <c r="K202" s="1" t="n">
        <v>5.98</v>
      </c>
    </row>
    <row r="203" s="65">
      <c r="A203" s="1">
        <f>SUM(K203,M203,O203,Q203,S203,U203)</f>
        <v/>
      </c>
      <c r="C203" t="inlineStr">
        <is>
          <t>Walmart</t>
        </is>
      </c>
      <c r="D203" t="inlineStr">
        <is>
          <t>NA</t>
        </is>
      </c>
      <c r="E203" t="inlineStr">
        <is>
          <t>Chobani Low-Fat Vanilla Greek Yogurt Mixed Berry On The Bottom</t>
        </is>
      </c>
      <c r="F203" t="inlineStr">
        <is>
          <t>NA</t>
        </is>
      </c>
      <c r="G203" t="inlineStr">
        <is>
          <t>0</t>
        </is>
      </c>
      <c r="H203" t="inlineStr">
        <is>
          <t>Chobani Vanilla Mixed Berry Greek Yogurt</t>
        </is>
      </c>
      <c r="I203" t="inlineStr">
        <is>
          <t>Yogurt</t>
        </is>
      </c>
      <c r="J203" s="2" t="n">
        <v>46278</v>
      </c>
      <c r="K203" s="1" t="n">
        <v>4.67</v>
      </c>
    </row>
    <row r="204" s="65">
      <c r="A204" s="1">
        <f>SUM(K204,M204,O204,Q204,S204,U204)</f>
        <v/>
      </c>
      <c r="C204" t="inlineStr">
        <is>
          <t>Walmart</t>
        </is>
      </c>
      <c r="D204" t="inlineStr">
        <is>
          <t>NA</t>
        </is>
      </c>
      <c r="E204" t="inlineStr">
        <is>
          <t>Marketside Classic Italian Salad Kit</t>
        </is>
      </c>
      <c r="F204" t="inlineStr">
        <is>
          <t>NA</t>
        </is>
      </c>
      <c r="G204" t="inlineStr">
        <is>
          <t>0</t>
        </is>
      </c>
      <c r="H204" t="inlineStr">
        <is>
          <t>Marketside Classic Italian Salad Kit</t>
        </is>
      </c>
      <c r="I204" t="inlineStr">
        <is>
          <t>Salad Kits</t>
        </is>
      </c>
      <c r="J204" s="2" t="n">
        <v>46278</v>
      </c>
      <c r="K204" s="1" t="n">
        <v>2.47</v>
      </c>
    </row>
    <row r="205" s="65">
      <c r="A205" s="1">
        <f>SUM(K205,M205,O205,Q205,S205,U205)</f>
        <v/>
      </c>
      <c r="C205" t="inlineStr">
        <is>
          <t>Walmart</t>
        </is>
      </c>
      <c r="D205" t="inlineStr">
        <is>
          <t>NA</t>
        </is>
      </c>
      <c r="E205" t="inlineStr">
        <is>
          <t>Fresh Express Avocado Twisted Caesar Chopped Salad Kit</t>
        </is>
      </c>
      <c r="F205" t="inlineStr">
        <is>
          <t>NA</t>
        </is>
      </c>
      <c r="G205" t="inlineStr">
        <is>
          <t>0</t>
        </is>
      </c>
      <c r="H205" t="inlineStr">
        <is>
          <t>Fresh Express Avocado Twisted Caesar Chopped Salad Kit</t>
        </is>
      </c>
      <c r="I205" t="inlineStr">
        <is>
          <t>Salad Kits</t>
        </is>
      </c>
      <c r="J205" s="2" t="n">
        <v>46278</v>
      </c>
      <c r="K205" s="1" t="n">
        <v>3.98</v>
      </c>
    </row>
    <row r="206" s="65">
      <c r="A206" s="1">
        <f>SUM(K206,M206,O206,Q206,S206,U206)</f>
        <v/>
      </c>
      <c r="C206" t="inlineStr">
        <is>
          <t>Walmart</t>
        </is>
      </c>
      <c r="D206" t="inlineStr">
        <is>
          <t>NA</t>
        </is>
      </c>
      <c r="E206" t="inlineStr">
        <is>
          <t>Hunt's Tomato Paste</t>
        </is>
      </c>
      <c r="F206" t="inlineStr">
        <is>
          <t>NA</t>
        </is>
      </c>
      <c r="G206" t="inlineStr">
        <is>
          <t>0</t>
        </is>
      </c>
      <c r="H206" t="inlineStr">
        <is>
          <t>Hunt's Tomato Paste</t>
        </is>
      </c>
      <c r="I206" t="inlineStr">
        <is>
          <t>Canned Tomatoes</t>
        </is>
      </c>
      <c r="J206" s="2" t="n">
        <v>46278</v>
      </c>
      <c r="K206" s="1" t="n">
        <v>1.16</v>
      </c>
    </row>
    <row r="207" s="65">
      <c r="A207" s="1">
        <f>SUM(K207,M207,O207,Q207,S207,U207)</f>
        <v/>
      </c>
      <c r="C207" t="inlineStr">
        <is>
          <t>Walmart</t>
        </is>
      </c>
      <c r="D207" t="inlineStr">
        <is>
          <t>NA</t>
        </is>
      </c>
      <c r="E207" t="inlineStr">
        <is>
          <t>Hunt's Crushed Tomatoes</t>
        </is>
      </c>
      <c r="F207" t="inlineStr">
        <is>
          <t>NA</t>
        </is>
      </c>
      <c r="G207" t="inlineStr">
        <is>
          <t>0</t>
        </is>
      </c>
      <c r="H207" t="inlineStr">
        <is>
          <t>Hunt's Crushed Tomatoes</t>
        </is>
      </c>
      <c r="I207" t="inlineStr">
        <is>
          <t>Canned Tomatoes</t>
        </is>
      </c>
      <c r="J207" s="2" t="n">
        <v>46278</v>
      </c>
      <c r="K207" s="1" t="n">
        <v>2.22</v>
      </c>
    </row>
    <row r="208" s="65">
      <c r="A208" s="1">
        <f>SUM(K208,M208,O208,Q208,S208,U208)</f>
        <v/>
      </c>
      <c r="C208" t="inlineStr">
        <is>
          <t>Walmart</t>
        </is>
      </c>
      <c r="D208" t="inlineStr">
        <is>
          <t>NA</t>
        </is>
      </c>
      <c r="E208" t="inlineStr">
        <is>
          <t>Great Value Heavy Whipping Cream</t>
        </is>
      </c>
      <c r="F208" t="inlineStr">
        <is>
          <t>NA</t>
        </is>
      </c>
      <c r="G208" t="inlineStr">
        <is>
          <t>0</t>
        </is>
      </c>
      <c r="H208" t="inlineStr">
        <is>
          <t>Great Value Heavy Whipping Cream</t>
        </is>
      </c>
      <c r="I208" t="inlineStr">
        <is>
          <t>Cream &amp; Half-and-Half</t>
        </is>
      </c>
      <c r="J208" s="2" t="n">
        <v>46278</v>
      </c>
      <c r="K208" s="1" t="n">
        <v>2.96</v>
      </c>
    </row>
    <row r="209" s="65">
      <c r="A209" s="1">
        <f>SUM(K209,M209,O209,Q209,S209,U209)</f>
        <v/>
      </c>
      <c r="C209" t="inlineStr">
        <is>
          <t>Walmart</t>
        </is>
      </c>
      <c r="D209" t="inlineStr">
        <is>
          <t>NA</t>
        </is>
      </c>
      <c r="E209" t="inlineStr">
        <is>
          <t>Marketside Fresh Baby Spinach</t>
        </is>
      </c>
      <c r="F209" t="inlineStr">
        <is>
          <t>NA</t>
        </is>
      </c>
      <c r="G209" t="inlineStr">
        <is>
          <t>0</t>
        </is>
      </c>
      <c r="H209" t="inlineStr">
        <is>
          <t>Marketside Baby Spinach</t>
        </is>
      </c>
      <c r="I209" t="inlineStr">
        <is>
          <t>Fresh Vegetables</t>
        </is>
      </c>
      <c r="J209" s="2" t="n">
        <v>46278</v>
      </c>
      <c r="K209" s="1" t="n">
        <v>2.18</v>
      </c>
    </row>
    <row r="210" s="65">
      <c r="A210" s="1">
        <f>SUM(K210,M210,O210,Q210,S210,U210)</f>
        <v/>
      </c>
      <c r="C210" t="inlineStr">
        <is>
          <t>Walmart</t>
        </is>
      </c>
      <c r="D210" t="inlineStr">
        <is>
          <t>NA</t>
        </is>
      </c>
      <c r="E210" t="inlineStr">
        <is>
          <t>Hebrew National Bun Length Beef Franks</t>
        </is>
      </c>
      <c r="F210" t="inlineStr">
        <is>
          <t>NA</t>
        </is>
      </c>
      <c r="G210" t="inlineStr">
        <is>
          <t>0</t>
        </is>
      </c>
      <c r="H210" t="inlineStr">
        <is>
          <t>Hebrew National Bun Length Beef Franks</t>
        </is>
      </c>
      <c r="I210" t="inlineStr">
        <is>
          <t>Hot Dogs &amp; Sausages</t>
        </is>
      </c>
      <c r="J210" s="2" t="n">
        <v>46278</v>
      </c>
      <c r="K210" s="1" t="n">
        <v>5.74</v>
      </c>
    </row>
    <row r="211" s="65">
      <c r="A211" s="1">
        <f>SUM(K211,M211,O211,Q211,S211,U211)</f>
        <v/>
      </c>
      <c r="C211" t="inlineStr">
        <is>
          <t>Walmart</t>
        </is>
      </c>
      <c r="D211" t="inlineStr">
        <is>
          <t>NA</t>
        </is>
      </c>
      <c r="E211" t="inlineStr">
        <is>
          <t>Ball Park White Hot Dog Buns</t>
        </is>
      </c>
      <c r="F211" t="inlineStr">
        <is>
          <t>NA</t>
        </is>
      </c>
      <c r="G211" t="inlineStr">
        <is>
          <t>0</t>
        </is>
      </c>
      <c r="H211" t="inlineStr">
        <is>
          <t>Ball Park White Hot Dog Buns</t>
        </is>
      </c>
      <c r="I211" t="inlineStr">
        <is>
          <t>Bread</t>
        </is>
      </c>
      <c r="J211" s="2" t="n">
        <v>46278</v>
      </c>
      <c r="K211" s="1" t="n">
        <v>3.27</v>
      </c>
    </row>
    <row r="212" s="65">
      <c r="A212" s="1">
        <f>SUM(K212,M212,O212,Q212,S212,U212)</f>
        <v/>
      </c>
      <c r="C212" t="inlineStr">
        <is>
          <t>Walmart</t>
        </is>
      </c>
      <c r="D212" t="inlineStr">
        <is>
          <t>NA</t>
        </is>
      </c>
      <c r="E212" t="inlineStr">
        <is>
          <t>Fresh Whole Green Onion</t>
        </is>
      </c>
      <c r="F212" t="inlineStr">
        <is>
          <t>NA</t>
        </is>
      </c>
      <c r="G212" t="inlineStr">
        <is>
          <t>0</t>
        </is>
      </c>
      <c r="H212" t="inlineStr">
        <is>
          <t>Green Onions</t>
        </is>
      </c>
      <c r="I212" t="inlineStr">
        <is>
          <t>Fresh Vegetables</t>
        </is>
      </c>
      <c r="J212" s="2" t="n">
        <v>46278</v>
      </c>
      <c r="K212" s="1" t="n">
        <v>0.97</v>
      </c>
    </row>
    <row r="213" s="65">
      <c r="A213" s="1">
        <f>SUM(K213,M213,O213,Q213,S213,U213)</f>
        <v/>
      </c>
      <c r="C213" t="inlineStr">
        <is>
          <t>Walmart</t>
        </is>
      </c>
      <c r="D213" t="inlineStr">
        <is>
          <t>NA</t>
        </is>
      </c>
      <c r="E213" t="inlineStr">
        <is>
          <t>Marketside Broccoli Florets</t>
        </is>
      </c>
      <c r="F213" t="inlineStr">
        <is>
          <t>NA</t>
        </is>
      </c>
      <c r="G213" t="inlineStr">
        <is>
          <t>0</t>
        </is>
      </c>
      <c r="H213" t="inlineStr">
        <is>
          <t>Marketside Broccoli Florets</t>
        </is>
      </c>
      <c r="I213" t="inlineStr">
        <is>
          <t>Fresh Vegetables</t>
        </is>
      </c>
      <c r="J213" s="2" t="n">
        <v>46278</v>
      </c>
      <c r="K213" s="1" t="n">
        <v>2.47</v>
      </c>
    </row>
    <row r="214" s="65">
      <c r="A214" s="1">
        <f>SUM(K214,M214,O214,Q214,S214,U214)</f>
        <v/>
      </c>
      <c r="C214" t="inlineStr">
        <is>
          <t>Walmart</t>
        </is>
      </c>
      <c r="D214" t="inlineStr">
        <is>
          <t>NA</t>
        </is>
      </c>
      <c r="E214" t="inlineStr">
        <is>
          <t>Great Value Large White Eggs</t>
        </is>
      </c>
      <c r="F214" t="inlineStr">
        <is>
          <t>NA</t>
        </is>
      </c>
      <c r="G214" t="inlineStr">
        <is>
          <t>0</t>
        </is>
      </c>
      <c r="H214" t="inlineStr">
        <is>
          <t>Great Value Large White Eggs</t>
        </is>
      </c>
      <c r="I214" t="inlineStr">
        <is>
          <t>Eggs</t>
        </is>
      </c>
      <c r="J214" s="2" t="n">
        <v>46278</v>
      </c>
      <c r="K214" s="1" t="n">
        <v>4.88</v>
      </c>
    </row>
    <row r="215" s="65">
      <c r="A215" s="1">
        <f>SUM(K215,M215,O215,Q215,S215,U215)</f>
        <v/>
      </c>
      <c r="C215" t="inlineStr">
        <is>
          <t>Walmart</t>
        </is>
      </c>
      <c r="D215" t="inlineStr">
        <is>
          <t>NA</t>
        </is>
      </c>
      <c r="E215" t="inlineStr">
        <is>
          <t>Organic Marketside Fresh Baby Peeled Carrots</t>
        </is>
      </c>
      <c r="F215" t="inlineStr">
        <is>
          <t>NA</t>
        </is>
      </c>
      <c r="G215" t="inlineStr">
        <is>
          <t>0</t>
        </is>
      </c>
      <c r="H215" t="inlineStr">
        <is>
          <t>Marketside Organic Baby Carrots</t>
        </is>
      </c>
      <c r="I215" t="inlineStr">
        <is>
          <t>Fresh Vegetables</t>
        </is>
      </c>
      <c r="J215" s="2" t="n">
        <v>46278</v>
      </c>
      <c r="K215" s="1" t="n">
        <v>1.83</v>
      </c>
    </row>
    <row r="216" s="65">
      <c r="A216" s="1">
        <f>SUM(K216,M216,O216,Q216,S216,U216)</f>
        <v/>
      </c>
      <c r="C216" t="inlineStr">
        <is>
          <t>Walmart</t>
        </is>
      </c>
      <c r="D216" t="inlineStr">
        <is>
          <t>NA</t>
        </is>
      </c>
      <c r="E216" t="inlineStr">
        <is>
          <t>Taylor Farms Everything Chopped Salad Kit</t>
        </is>
      </c>
      <c r="F216" t="inlineStr">
        <is>
          <t>NA</t>
        </is>
      </c>
      <c r="G216" t="inlineStr">
        <is>
          <t>0</t>
        </is>
      </c>
      <c r="H216" t="inlineStr">
        <is>
          <t>Taylor Farms Everything Chopped Salad Kit</t>
        </is>
      </c>
      <c r="I216" t="inlineStr">
        <is>
          <t>Salad Kits</t>
        </is>
      </c>
      <c r="J216" s="2" t="n">
        <v>46278</v>
      </c>
      <c r="K216" s="1" t="n">
        <v>8.24</v>
      </c>
    </row>
    <row r="217" s="65">
      <c r="A217" s="1">
        <f>SUM(K217,M217,O217,Q217,S217,U217)</f>
        <v/>
      </c>
      <c r="C217" t="inlineStr">
        <is>
          <t>Walmart</t>
        </is>
      </c>
      <c r="D217" t="inlineStr">
        <is>
          <t>NA</t>
        </is>
      </c>
      <c r="E217" t="inlineStr">
        <is>
          <t>Mighty Sesame Fine Organic Sesame Tahini</t>
        </is>
      </c>
      <c r="F217" t="inlineStr">
        <is>
          <t>NA</t>
        </is>
      </c>
      <c r="G217" t="inlineStr">
        <is>
          <t>0</t>
        </is>
      </c>
      <c r="H217" t="inlineStr">
        <is>
          <t>Mighty Sesame Organic Tahini</t>
        </is>
      </c>
      <c r="I217" t="inlineStr">
        <is>
          <t>Dips &amp; Spreads</t>
        </is>
      </c>
      <c r="J217" s="2" t="n">
        <v>46278</v>
      </c>
      <c r="K217" s="1" t="n">
        <v>5.78</v>
      </c>
    </row>
    <row r="218" s="65">
      <c r="A218" s="1">
        <f>SUM(K218,M218,O218,Q218,S218,U218)</f>
        <v/>
      </c>
      <c r="C218" t="inlineStr">
        <is>
          <t>Walmart</t>
        </is>
      </c>
      <c r="D218" t="inlineStr">
        <is>
          <t>NA</t>
        </is>
      </c>
      <c r="E218" t="inlineStr">
        <is>
          <t>Tabatchnick Classic Wholesome Chicken Broth</t>
        </is>
      </c>
      <c r="F218" t="inlineStr">
        <is>
          <t>NA</t>
        </is>
      </c>
      <c r="G218" t="inlineStr">
        <is>
          <t>0</t>
        </is>
      </c>
      <c r="H218" t="inlineStr">
        <is>
          <t>Tabatchnick Classic Chicken Broth</t>
        </is>
      </c>
      <c r="I218" t="inlineStr">
        <is>
          <t>Broth &amp; Stock</t>
        </is>
      </c>
      <c r="J218" s="2" t="n">
        <v>46278</v>
      </c>
      <c r="K218" s="1" t="n">
        <v>5.94</v>
      </c>
    </row>
    <row r="219" s="65">
      <c r="A219" s="1">
        <f>SUM(K219,M219,O219,Q219,S219,U219)</f>
        <v/>
      </c>
      <c r="C219" t="inlineStr">
        <is>
          <t>Walmart</t>
        </is>
      </c>
      <c r="D219" t="inlineStr">
        <is>
          <t>NA</t>
        </is>
      </c>
      <c r="E219" t="inlineStr">
        <is>
          <t>Barilla Gluten Free Spaghetti Pasta</t>
        </is>
      </c>
      <c r="F219" t="inlineStr">
        <is>
          <t>NA</t>
        </is>
      </c>
      <c r="G219" t="inlineStr">
        <is>
          <t>0</t>
        </is>
      </c>
      <c r="H219" t="inlineStr">
        <is>
          <t>Barilla Gluten-Free Spaghetti</t>
        </is>
      </c>
      <c r="I219" t="inlineStr">
        <is>
          <t>Pasta</t>
        </is>
      </c>
      <c r="J219" s="2" t="n">
        <v>46278</v>
      </c>
      <c r="K219" s="1" t="n">
        <v>5.34</v>
      </c>
    </row>
    <row r="220" s="65">
      <c r="A220" s="1">
        <f>SUM(K220,M220,O220,Q220,S220,U220)</f>
        <v/>
      </c>
      <c r="C220" t="inlineStr">
        <is>
          <t>Walmart</t>
        </is>
      </c>
      <c r="D220" t="inlineStr">
        <is>
          <t>NA</t>
        </is>
      </c>
      <c r="E220" t="inlineStr">
        <is>
          <t>Great Value Organic Smoked Paprika Seasoning</t>
        </is>
      </c>
      <c r="F220" t="inlineStr">
        <is>
          <t>NA</t>
        </is>
      </c>
      <c r="G220" t="inlineStr">
        <is>
          <t>0</t>
        </is>
      </c>
      <c r="H220" t="inlineStr">
        <is>
          <t>Great Value Organic Smoked Paprika</t>
        </is>
      </c>
      <c r="I220" t="inlineStr">
        <is>
          <t>Seasonings &amp; Spices</t>
        </is>
      </c>
      <c r="J220" s="2" t="n">
        <v>46278</v>
      </c>
      <c r="K220" s="1" t="n">
        <v>4.36</v>
      </c>
    </row>
    <row r="221" s="65">
      <c r="A221" s="1">
        <f>SUM(K221,M221,O221,Q221,S221,U221)</f>
        <v/>
      </c>
      <c r="C221" t="inlineStr">
        <is>
          <t>Walmart</t>
        </is>
      </c>
      <c r="D221" t="inlineStr">
        <is>
          <t>NA</t>
        </is>
      </c>
      <c r="E221" t="inlineStr">
        <is>
          <t>Ocean Spray® Craisins®</t>
        </is>
      </c>
      <c r="F221" t="inlineStr">
        <is>
          <t>NA</t>
        </is>
      </c>
      <c r="G221" t="inlineStr">
        <is>
          <t>0</t>
        </is>
      </c>
      <c r="H221" t="inlineStr">
        <is>
          <t>Ocean Spray Craisins</t>
        </is>
      </c>
      <c r="I221" t="inlineStr">
        <is>
          <t>Dried Fruit</t>
        </is>
      </c>
      <c r="J221" s="2" t="n">
        <v>46278</v>
      </c>
      <c r="K221" s="1" t="n">
        <v>3.97</v>
      </c>
    </row>
    <row r="222" s="65">
      <c r="A222" s="1">
        <f>SUM(K222,M222,O222,Q222,S222,U222)</f>
        <v/>
      </c>
      <c r="C222" t="inlineStr">
        <is>
          <t>Walmart</t>
        </is>
      </c>
      <c r="D222" t="inlineStr">
        <is>
          <t>NA</t>
        </is>
      </c>
      <c r="E222" t="inlineStr">
        <is>
          <t>Kikkoman Teriyaki Marinade &amp; Sauce</t>
        </is>
      </c>
      <c r="F222" t="inlineStr">
        <is>
          <t>NA</t>
        </is>
      </c>
      <c r="G222" t="inlineStr">
        <is>
          <t>0</t>
        </is>
      </c>
      <c r="H222" t="inlineStr">
        <is>
          <t>Kikkoman Teriyaki Marinade &amp; Sauce</t>
        </is>
      </c>
      <c r="I222" t="inlineStr">
        <is>
          <t>Sauces &amp; Condiments</t>
        </is>
      </c>
      <c r="J222" s="2" t="n">
        <v>46278</v>
      </c>
      <c r="K222" s="1" t="n">
        <v>3.77</v>
      </c>
    </row>
    <row r="223" s="65">
      <c r="A223" s="1">
        <f>SUM(K223,M223,O223,Q223,S223,U223)</f>
        <v/>
      </c>
      <c r="C223" t="inlineStr">
        <is>
          <t>Walmart</t>
        </is>
      </c>
      <c r="D223" t="inlineStr">
        <is>
          <t>NA</t>
        </is>
      </c>
      <c r="E223" t="inlineStr">
        <is>
          <t>Great Value 8.5 Inch Disposable Paper Plates</t>
        </is>
      </c>
      <c r="F223" t="inlineStr">
        <is>
          <t>NA</t>
        </is>
      </c>
      <c r="G223" t="inlineStr">
        <is>
          <t>0</t>
        </is>
      </c>
      <c r="H223" t="inlineStr">
        <is>
          <t>Great Value Paper Plates, 8.5 Inch</t>
        </is>
      </c>
      <c r="I223" t="inlineStr">
        <is>
          <t>Disposable Tableware</t>
        </is>
      </c>
      <c r="J223" s="2" t="n">
        <v>46278</v>
      </c>
      <c r="K223" s="1" t="n">
        <v>5.58</v>
      </c>
    </row>
    <row r="224" s="65">
      <c r="A224" s="1">
        <f>SUM(K224,M224,O224,Q224,S224,U224)</f>
        <v/>
      </c>
      <c r="C224" t="inlineStr">
        <is>
          <t>Walmart</t>
        </is>
      </c>
      <c r="D224" t="inlineStr">
        <is>
          <t>NA</t>
        </is>
      </c>
      <c r="E224" t="inlineStr">
        <is>
          <t>Sterilite 6 Quart Small Storage Bin</t>
        </is>
      </c>
      <c r="F224" t="inlineStr">
        <is>
          <t>NA</t>
        </is>
      </c>
      <c r="G224" t="inlineStr">
        <is>
          <t>0</t>
        </is>
      </c>
      <c r="H224" t="inlineStr">
        <is>
          <t>Sterilite 6-Quart Storage Bin</t>
        </is>
      </c>
      <c r="I224" t="inlineStr">
        <is>
          <t>Storage &amp; Organization</t>
        </is>
      </c>
      <c r="J224" s="2" t="n">
        <v>46278</v>
      </c>
      <c r="K224" s="1" t="n">
        <v>2.56</v>
      </c>
    </row>
    <row r="225" s="65">
      <c r="A225" s="1">
        <f>SUM(K225,M225,O225,Q225,S225,U225)</f>
        <v/>
      </c>
      <c r="C225" t="inlineStr">
        <is>
          <t>Walmart</t>
        </is>
      </c>
      <c r="D225" t="inlineStr">
        <is>
          <t>NA</t>
        </is>
      </c>
      <c r="E225" t="inlineStr">
        <is>
          <t>Mainstays 4 Pack Kitchen Scrubber Dishcloth Set</t>
        </is>
      </c>
      <c r="F225" t="inlineStr">
        <is>
          <t>NA</t>
        </is>
      </c>
      <c r="G225" t="inlineStr">
        <is>
          <t>0</t>
        </is>
      </c>
      <c r="H225" t="inlineStr">
        <is>
          <t>Mainstays Kitchen Scrubber Dishcloth Set, 4-Pack</t>
        </is>
      </c>
      <c r="I225" t="inlineStr">
        <is>
          <t>Dishwashing Supplies</t>
        </is>
      </c>
      <c r="J225" s="2" t="n">
        <v>46278</v>
      </c>
      <c r="K225" s="1" t="n">
        <v>3.58</v>
      </c>
    </row>
    <row r="226" s="65">
      <c r="A226" s="1">
        <f>SUM(K226,M226,O226,Q226,S226,U226)</f>
        <v/>
      </c>
      <c r="C226" t="inlineStr">
        <is>
          <t>Walmart</t>
        </is>
      </c>
      <c r="D226" t="inlineStr">
        <is>
          <t>NA</t>
        </is>
      </c>
      <c r="E226" t="inlineStr">
        <is>
          <t>Busch American Lager Beer</t>
        </is>
      </c>
      <c r="F226" t="inlineStr">
        <is>
          <t>NA</t>
        </is>
      </c>
      <c r="G226" t="inlineStr">
        <is>
          <t>0</t>
        </is>
      </c>
      <c r="H226" t="inlineStr">
        <is>
          <t>Busch American Lager Beer</t>
        </is>
      </c>
      <c r="I226" t="inlineStr">
        <is>
          <t>Beer</t>
        </is>
      </c>
      <c r="J226" s="2" t="n">
        <v>46278</v>
      </c>
      <c r="K226" s="1" t="n">
        <v>17.87</v>
      </c>
    </row>
    <row r="227" s="65">
      <c r="A227" s="1">
        <f>SUM(K227,M227,O227,Q227,S227,U227)</f>
        <v/>
      </c>
      <c r="C227" t="inlineStr">
        <is>
          <t>Walmart</t>
        </is>
      </c>
      <c r="D227" t="inlineStr">
        <is>
          <t>NA</t>
        </is>
      </c>
      <c r="E227" t="inlineStr">
        <is>
          <t>Great Value Half and Half</t>
        </is>
      </c>
      <c r="F227" t="inlineStr">
        <is>
          <t>NA</t>
        </is>
      </c>
      <c r="G227" t="inlineStr">
        <is>
          <t>0</t>
        </is>
      </c>
      <c r="H227" t="inlineStr">
        <is>
          <t>Great Value Half &amp; Half</t>
        </is>
      </c>
      <c r="I227" t="inlineStr">
        <is>
          <t>Cream &amp; Half-and-Half</t>
        </is>
      </c>
      <c r="J227" s="2" t="n">
        <v>46278</v>
      </c>
      <c r="K227" s="1" t="n">
        <v>9.84</v>
      </c>
    </row>
    <row r="228" s="65">
      <c r="A228" s="1">
        <f>SUM(K228,M228,O228,Q228,S228,U228)</f>
        <v/>
      </c>
      <c r="C228" t="inlineStr">
        <is>
          <t>Walmart</t>
        </is>
      </c>
      <c r="D228" t="inlineStr">
        <is>
          <t>NA</t>
        </is>
      </c>
      <c r="E228" t="inlineStr">
        <is>
          <t>Birds Eye Steamfresh Sweet Peas</t>
        </is>
      </c>
      <c r="F228" t="inlineStr">
        <is>
          <t>NA</t>
        </is>
      </c>
      <c r="G228" t="inlineStr">
        <is>
          <t>0</t>
        </is>
      </c>
      <c r="H228" t="inlineStr">
        <is>
          <t>Birds Eye Steamfresh Sweet Peas</t>
        </is>
      </c>
      <c r="I228" t="inlineStr">
        <is>
          <t>Frozen Vegetables</t>
        </is>
      </c>
      <c r="J228" s="2" t="n">
        <v>46278</v>
      </c>
      <c r="K228" s="1" t="n">
        <v>1.27</v>
      </c>
    </row>
    <row r="229" s="65">
      <c r="A229" s="1">
        <f>SUM(K229,M229,O229,Q229,S229,U229)</f>
        <v/>
      </c>
      <c r="C229" t="inlineStr">
        <is>
          <t>Walmart</t>
        </is>
      </c>
      <c r="D229" t="inlineStr">
        <is>
          <t>NA</t>
        </is>
      </c>
      <c r="E229" t="inlineStr">
        <is>
          <t>Spice World Fresh Peeled Garlic</t>
        </is>
      </c>
      <c r="F229" t="inlineStr">
        <is>
          <t>NA</t>
        </is>
      </c>
      <c r="G229" t="inlineStr">
        <is>
          <t>0</t>
        </is>
      </c>
      <c r="H229" t="inlineStr">
        <is>
          <t>Spice World Fresh Peeled Garlic</t>
        </is>
      </c>
      <c r="I229" t="inlineStr">
        <is>
          <t>Fresh Vegetables</t>
        </is>
      </c>
      <c r="J229" s="2" t="n">
        <v>46278</v>
      </c>
      <c r="K229" s="1" t="n">
        <v>3.07</v>
      </c>
    </row>
    <row r="230" s="65">
      <c r="A230" s="1">
        <f>SUM(K230,M230,O230,Q230,S230,U230)</f>
        <v/>
      </c>
      <c r="C230" t="inlineStr">
        <is>
          <t>Walmart</t>
        </is>
      </c>
      <c r="D230" t="inlineStr">
        <is>
          <t>NA</t>
        </is>
      </c>
      <c r="E230" t="inlineStr">
        <is>
          <t>Cracker Barrel Cracker Cuts Variety Pack Cheese Snacks</t>
        </is>
      </c>
      <c r="F230" t="inlineStr">
        <is>
          <t>NA</t>
        </is>
      </c>
      <c r="G230" t="inlineStr">
        <is>
          <t>0</t>
        </is>
      </c>
      <c r="H230" t="inlineStr">
        <is>
          <t>Cracker Barrel Cracker Cuts Variety Pack</t>
        </is>
      </c>
      <c r="I230" t="inlineStr">
        <is>
          <t>Cheese</t>
        </is>
      </c>
      <c r="J230" s="2" t="n">
        <v>46278</v>
      </c>
      <c r="K230" s="1" t="n">
        <v>8.48</v>
      </c>
    </row>
    <row r="231" s="65">
      <c r="A231" s="1">
        <f>SUM(K231,M231,O231,Q231,S231,U231)</f>
        <v/>
      </c>
      <c r="C231" t="inlineStr">
        <is>
          <t>Walmart</t>
        </is>
      </c>
      <c r="D231" t="inlineStr">
        <is>
          <t>NA</t>
        </is>
      </c>
      <c r="E231" t="inlineStr">
        <is>
          <t>Fresh Pink Lady Apples</t>
        </is>
      </c>
      <c r="F231" t="inlineStr">
        <is>
          <t>NA</t>
        </is>
      </c>
      <c r="G231" t="inlineStr">
        <is>
          <t>0</t>
        </is>
      </c>
      <c r="H231" t="inlineStr">
        <is>
          <t>Pink Lady Apples</t>
        </is>
      </c>
      <c r="I231" t="inlineStr">
        <is>
          <t>Fresh Fruit</t>
        </is>
      </c>
      <c r="J231" s="2" t="n">
        <v>46278</v>
      </c>
      <c r="K231" s="1" t="n">
        <v>4.97</v>
      </c>
    </row>
    <row r="232" s="65">
      <c r="A232" s="1">
        <f>SUM(K232,M232,O232,Q232,S232,U232)</f>
        <v/>
      </c>
      <c r="C232" t="inlineStr">
        <is>
          <t>Walmart</t>
        </is>
      </c>
      <c r="D232" t="inlineStr">
        <is>
          <t>NA</t>
        </is>
      </c>
      <c r="E232" t="inlineStr">
        <is>
          <t>Fresh Whole Red Potatoes</t>
        </is>
      </c>
      <c r="F232" t="inlineStr">
        <is>
          <t>NA</t>
        </is>
      </c>
      <c r="G232" t="inlineStr">
        <is>
          <t>0</t>
        </is>
      </c>
      <c r="H232" t="inlineStr">
        <is>
          <t>Red Potatoes</t>
        </is>
      </c>
      <c r="I232" t="inlineStr">
        <is>
          <t>Fresh Vegetables</t>
        </is>
      </c>
      <c r="J232" s="2" t="n">
        <v>46278</v>
      </c>
      <c r="K232" s="1" t="n">
        <v>5.23</v>
      </c>
    </row>
    <row r="233" s="65">
      <c r="A233" s="1">
        <f>SUM(K233,M233,O233,Q233,S233,U233)</f>
        <v/>
      </c>
      <c r="C233" t="inlineStr">
        <is>
          <t>Walmart</t>
        </is>
      </c>
      <c r="D233" t="inlineStr">
        <is>
          <t>NA</t>
        </is>
      </c>
      <c r="E233" t="inlineStr">
        <is>
          <t>Fresh Blueberries</t>
        </is>
      </c>
      <c r="F233" t="inlineStr">
        <is>
          <t>NA</t>
        </is>
      </c>
      <c r="G233" t="inlineStr">
        <is>
          <t>0</t>
        </is>
      </c>
      <c r="H233" t="inlineStr">
        <is>
          <t>Blueberries</t>
        </is>
      </c>
      <c r="I233" t="inlineStr">
        <is>
          <t>Fresh Fruit</t>
        </is>
      </c>
      <c r="J233" s="2" t="n">
        <v>46278</v>
      </c>
      <c r="K233" s="1" t="n">
        <v>4.67</v>
      </c>
    </row>
    <row r="234" s="65">
      <c r="A234" s="1">
        <f>SUM(K234,M234,O234,Q234,S234,U234)</f>
        <v/>
      </c>
      <c r="C234" t="inlineStr">
        <is>
          <t>Walmart</t>
        </is>
      </c>
      <c r="D234" t="inlineStr">
        <is>
          <t>NA</t>
        </is>
      </c>
      <c r="E234" t="inlineStr">
        <is>
          <t>Fresh Bell Peppers</t>
        </is>
      </c>
      <c r="F234" t="inlineStr">
        <is>
          <t>NA</t>
        </is>
      </c>
      <c r="G234" t="inlineStr">
        <is>
          <t>0</t>
        </is>
      </c>
      <c r="H234" t="inlineStr">
        <is>
          <t>Bell Peppers</t>
        </is>
      </c>
      <c r="I234" t="inlineStr">
        <is>
          <t>Fresh Vegetables</t>
        </is>
      </c>
      <c r="J234" s="2" t="n">
        <v>46278</v>
      </c>
      <c r="K234" s="1" t="n">
        <v>2.97</v>
      </c>
    </row>
    <row r="235" s="65">
      <c r="A235" s="1">
        <f>SUM(K235,M235,O235,Q235,S235,U235)</f>
        <v/>
      </c>
      <c r="C235" t="inlineStr">
        <is>
          <t>Walmart</t>
        </is>
      </c>
      <c r="D235" t="inlineStr">
        <is>
          <t>NA</t>
        </is>
      </c>
      <c r="E235" t="inlineStr">
        <is>
          <t>Fresh Pears Bartlett Bulk</t>
        </is>
      </c>
      <c r="F235" t="inlineStr">
        <is>
          <t>NA</t>
        </is>
      </c>
      <c r="G235" t="inlineStr">
        <is>
          <t>0</t>
        </is>
      </c>
      <c r="H235" t="inlineStr">
        <is>
          <t>Bartlett Pears</t>
        </is>
      </c>
      <c r="I235" t="inlineStr">
        <is>
          <t>Fresh Fruit</t>
        </is>
      </c>
      <c r="J235" s="2" t="n">
        <v>46278</v>
      </c>
      <c r="K235" s="1" t="n">
        <v>1.83</v>
      </c>
    </row>
    <row r="236" s="65">
      <c r="A236" s="1">
        <f>SUM(K236,M236,O236,Q236,S236,U236)</f>
        <v/>
      </c>
      <c r="C236" t="inlineStr">
        <is>
          <t>Walmart</t>
        </is>
      </c>
      <c r="D236" t="inlineStr">
        <is>
          <t>NA</t>
        </is>
      </c>
      <c r="E236" t="inlineStr">
        <is>
          <t>Fresh Tomato on the Vine</t>
        </is>
      </c>
      <c r="F236" t="inlineStr">
        <is>
          <t>NA</t>
        </is>
      </c>
      <c r="G236" t="inlineStr">
        <is>
          <t>0</t>
        </is>
      </c>
      <c r="H236" t="inlineStr">
        <is>
          <t>Tomatoes on the Vine</t>
        </is>
      </c>
      <c r="I236" t="inlineStr">
        <is>
          <t>Fresh Vegetables</t>
        </is>
      </c>
      <c r="J236" s="2" t="n">
        <v>46278</v>
      </c>
      <c r="K236" s="1" t="n">
        <v>3.27</v>
      </c>
    </row>
    <row r="237" s="65">
      <c r="A237" s="1">
        <f>SUM(K237,M237,O237,Q237,S237,U237)</f>
        <v/>
      </c>
      <c r="C237" t="inlineStr">
        <is>
          <t>Walmart</t>
        </is>
      </c>
      <c r="D237" t="inlineStr">
        <is>
          <t>NA</t>
        </is>
      </c>
      <c r="E237" t="inlineStr">
        <is>
          <t>Fresh Whole Sweet Onion</t>
        </is>
      </c>
      <c r="F237" t="inlineStr">
        <is>
          <t>NA</t>
        </is>
      </c>
      <c r="G237" t="inlineStr">
        <is>
          <t>0</t>
        </is>
      </c>
      <c r="H237" t="inlineStr">
        <is>
          <t>Sweet Onion</t>
        </is>
      </c>
      <c r="I237" t="inlineStr">
        <is>
          <t>Fresh Vegetables</t>
        </is>
      </c>
      <c r="J237" s="2" t="n">
        <v>46278</v>
      </c>
      <c r="K237" s="1" t="n">
        <v>0.91</v>
      </c>
    </row>
    <row r="238" s="65">
      <c r="A238" s="1">
        <f>SUM(K238,M238,O238,Q238,S238,U238)</f>
        <v/>
      </c>
      <c r="C238" t="inlineStr">
        <is>
          <t>Walmart</t>
        </is>
      </c>
      <c r="D238" t="inlineStr">
        <is>
          <t>NA</t>
        </is>
      </c>
      <c r="E238" t="inlineStr">
        <is>
          <t>Fresh Whole Red Onion</t>
        </is>
      </c>
      <c r="F238" t="inlineStr">
        <is>
          <t>NA</t>
        </is>
      </c>
      <c r="G238" t="inlineStr">
        <is>
          <t>0</t>
        </is>
      </c>
      <c r="H238" t="inlineStr">
        <is>
          <t>Red Onion</t>
        </is>
      </c>
      <c r="I238" t="inlineStr">
        <is>
          <t>Fresh Vegetables</t>
        </is>
      </c>
      <c r="J238" s="2" t="n">
        <v>46278</v>
      </c>
      <c r="K238" s="1" t="n">
        <v>1.01</v>
      </c>
    </row>
    <row r="239" s="65">
      <c r="A239" s="1">
        <f>SUM(K239,M239,O239,Q239,S239,U239)</f>
        <v/>
      </c>
      <c r="C239" t="inlineStr">
        <is>
          <t>Walmart</t>
        </is>
      </c>
      <c r="D239" t="inlineStr">
        <is>
          <t>NA</t>
        </is>
      </c>
      <c r="E239" t="inlineStr">
        <is>
          <t>Fresh Banana</t>
        </is>
      </c>
      <c r="F239" t="inlineStr">
        <is>
          <t>NA</t>
        </is>
      </c>
      <c r="G239" t="inlineStr">
        <is>
          <t>0</t>
        </is>
      </c>
      <c r="H239" t="inlineStr">
        <is>
          <t>Bananas</t>
        </is>
      </c>
      <c r="I239" t="inlineStr">
        <is>
          <t>Fresh Fruit</t>
        </is>
      </c>
      <c r="J239" s="2" t="n">
        <v>46278</v>
      </c>
      <c r="K239" s="1" t="n">
        <v>2.15</v>
      </c>
    </row>
    <row r="240" s="65">
      <c r="A240" s="1">
        <f>SUM(K240,M240,O240,Q240,S240,U240)</f>
        <v/>
      </c>
      <c r="C240" t="inlineStr">
        <is>
          <t>Walmart</t>
        </is>
      </c>
      <c r="D240" t="inlineStr">
        <is>
          <t>NA</t>
        </is>
      </c>
      <c r="E240" t="inlineStr">
        <is>
          <t>Tax</t>
        </is>
      </c>
      <c r="F240" t="inlineStr">
        <is>
          <t>NA</t>
        </is>
      </c>
      <c r="G240" t="inlineStr">
        <is>
          <t>0</t>
        </is>
      </c>
      <c r="H240" t="inlineStr">
        <is>
          <t>Tax</t>
        </is>
      </c>
      <c r="I240" t="inlineStr">
        <is>
          <t>Fees &amp; Charges</t>
        </is>
      </c>
      <c r="J240" s="2" t="n">
        <v>46278</v>
      </c>
      <c r="K240" s="1" t="n">
        <v>4.37</v>
      </c>
    </row>
    <row r="241" s="65">
      <c r="A241" s="1">
        <f>SUM(K241,M241,O241,Q241,S241,U241)</f>
        <v/>
      </c>
      <c r="C241" t="inlineStr">
        <is>
          <t>Walmart</t>
        </is>
      </c>
      <c r="D241" t="inlineStr">
        <is>
          <t>NA</t>
        </is>
      </c>
      <c r="E241" t="inlineStr">
        <is>
          <t>Driver Tip</t>
        </is>
      </c>
      <c r="F241" t="inlineStr">
        <is>
          <t>NA</t>
        </is>
      </c>
      <c r="G241" t="inlineStr">
        <is>
          <t>0</t>
        </is>
      </c>
      <c r="H241" t="inlineStr">
        <is>
          <t>Driver Tip</t>
        </is>
      </c>
      <c r="I241" t="inlineStr">
        <is>
          <t>Fees &amp; Charges</t>
        </is>
      </c>
      <c r="J241" s="2" t="n">
        <v>46278</v>
      </c>
      <c r="K241" s="1" t="n">
        <v>22.11</v>
      </c>
    </row>
    <row r="242" s="65">
      <c r="A242" s="1">
        <f>SUM(K242,M242,O242,Q242,S242,U242)</f>
        <v/>
      </c>
      <c r="C242" t="inlineStr">
        <is>
          <t>Walmart</t>
        </is>
      </c>
      <c r="D242" t="inlineStr">
        <is>
          <t>NA</t>
        </is>
      </c>
      <c r="E242" t="inlineStr">
        <is>
          <t>Contribution</t>
        </is>
      </c>
      <c r="F242" t="inlineStr">
        <is>
          <t>NA</t>
        </is>
      </c>
      <c r="G242" t="inlineStr">
        <is>
          <t>0</t>
        </is>
      </c>
      <c r="H242" t="inlineStr">
        <is>
          <t>Contribution</t>
        </is>
      </c>
      <c r="I242" t="inlineStr">
        <is>
          <t>Contribution Shared Payment</t>
        </is>
      </c>
      <c r="J242" s="2" t="n">
        <v>46278</v>
      </c>
      <c r="K242" s="1" t="n">
        <v>-144.14</v>
      </c>
    </row>
    <row r="243" s="65">
      <c r="A243" s="1">
        <f>SUM(K243,M243,O243,Q243,S243,U243)</f>
        <v/>
      </c>
      <c r="C243" t="inlineStr">
        <is>
          <t>L3HAtriumCafe</t>
        </is>
      </c>
      <c r="D243" t="inlineStr">
        <is>
          <t>NA</t>
        </is>
      </c>
      <c r="E243" t="inlineStr">
        <is>
          <t>Cage Free Scrambled Eggs</t>
        </is>
      </c>
      <c r="F243" t="inlineStr">
        <is>
          <t>NA</t>
        </is>
      </c>
      <c r="G243" t="inlineStr">
        <is>
          <t>0</t>
        </is>
      </c>
      <c r="H243" t="inlineStr">
        <is>
          <t>Cage-Free Scrambled Eggs</t>
        </is>
      </c>
      <c r="I243" t="inlineStr">
        <is>
          <t>Prepared Meals</t>
        </is>
      </c>
      <c r="J243" s="2" t="n">
        <v>46282</v>
      </c>
      <c r="K243" s="1" t="n">
        <v>2.59</v>
      </c>
    </row>
    <row r="244" s="65">
      <c r="A244" s="1">
        <f>SUM(K244,M244,O244,Q244,S244,U244)</f>
        <v/>
      </c>
      <c r="C244" t="inlineStr">
        <is>
          <t>Publix</t>
        </is>
      </c>
      <c r="D244" t="inlineStr">
        <is>
          <t>NA</t>
        </is>
      </c>
      <c r="E244" t="inlineStr">
        <is>
          <t>Mogen David B1 Blackberry</t>
        </is>
      </c>
      <c r="F244" t="inlineStr">
        <is>
          <t>T</t>
        </is>
      </c>
      <c r="G244" t="inlineStr">
        <is>
          <t>1058</t>
        </is>
      </c>
      <c r="H244" t="inlineStr">
        <is>
          <t>Mogen David Blackberry Wine</t>
        </is>
      </c>
      <c r="I244" t="inlineStr">
        <is>
          <t>Wine</t>
        </is>
      </c>
      <c r="J244" s="2" t="n">
        <v>46283</v>
      </c>
      <c r="K244" s="1" t="n">
        <v>7.19</v>
      </c>
    </row>
    <row r="245" s="65">
      <c r="A245" s="1">
        <f>SUM(K245,M245,O245,Q245,S245,U245)</f>
        <v/>
      </c>
      <c r="C245" t="inlineStr">
        <is>
          <t>Publix</t>
        </is>
      </c>
      <c r="D245" t="inlineStr">
        <is>
          <t>NA</t>
        </is>
      </c>
      <c r="E245" t="inlineStr">
        <is>
          <t>Bananas</t>
        </is>
      </c>
      <c r="F245" t="inlineStr">
        <is>
          <t>F</t>
        </is>
      </c>
      <c r="G245" t="inlineStr">
        <is>
          <t>1058</t>
        </is>
      </c>
      <c r="H245" t="inlineStr">
        <is>
          <t>Bananas</t>
        </is>
      </c>
      <c r="I245" t="inlineStr">
        <is>
          <t>Fresh Fruit</t>
        </is>
      </c>
      <c r="J245" s="2" t="n">
        <v>46283</v>
      </c>
      <c r="K245" s="1" t="n">
        <v>1.72</v>
      </c>
    </row>
    <row r="246" s="65">
      <c r="A246" s="1">
        <f>SUM(K246,M246,O246,Q246,S246,U246)</f>
        <v/>
      </c>
      <c r="C246" t="inlineStr">
        <is>
          <t>Publix</t>
        </is>
      </c>
      <c r="D246" t="inlineStr">
        <is>
          <t>NA</t>
        </is>
      </c>
      <c r="E246" t="inlineStr">
        <is>
          <t>Gw Flourless Choc Truffle</t>
        </is>
      </c>
      <c r="F246" t="inlineStr">
        <is>
          <t>F</t>
        </is>
      </c>
      <c r="G246" t="inlineStr">
        <is>
          <t>1058</t>
        </is>
      </c>
      <c r="H246" t="inlineStr">
        <is>
          <t>GreenWise Flourless Chocolate Truffle</t>
        </is>
      </c>
      <c r="I246" t="inlineStr">
        <is>
          <t>Cakes &amp; Pies</t>
        </is>
      </c>
      <c r="J246" s="2" t="n">
        <v>46283</v>
      </c>
      <c r="K246" s="1" t="n">
        <v>12.49</v>
      </c>
    </row>
    <row r="247" s="65">
      <c r="A247" s="1">
        <f>SUM(K247,M247,O247,Q247,S247,U247)</f>
        <v/>
      </c>
      <c r="C247" t="inlineStr">
        <is>
          <t>Publix</t>
        </is>
      </c>
      <c r="D247" t="inlineStr">
        <is>
          <t>NA</t>
        </is>
      </c>
      <c r="E247" t="inlineStr">
        <is>
          <t>Pamp Swaddler Sz5 Bag</t>
        </is>
      </c>
      <c r="F247" t="inlineStr">
        <is>
          <t>NA</t>
        </is>
      </c>
      <c r="G247" t="inlineStr">
        <is>
          <t>1058</t>
        </is>
      </c>
      <c r="H247" t="inlineStr">
        <is>
          <t>Pampers Swaddlers Size 5 Diapers</t>
        </is>
      </c>
      <c r="I247" t="inlineStr">
        <is>
          <t>Baby Care</t>
        </is>
      </c>
      <c r="J247" s="2" t="n">
        <v>46283</v>
      </c>
      <c r="K247" s="1" t="n">
        <v>12.99</v>
      </c>
    </row>
    <row r="248" s="65">
      <c r="A248" s="1">
        <f>SUM(K248,M248,O248,Q248,S248,U248)</f>
        <v/>
      </c>
      <c r="C248" t="inlineStr">
        <is>
          <t>Publix</t>
        </is>
      </c>
      <c r="D248" t="inlineStr">
        <is>
          <t>NA</t>
        </is>
      </c>
      <c r="E248" t="inlineStr">
        <is>
          <t>Chobani 20G Drk</t>
        </is>
      </c>
      <c r="F248" t="inlineStr">
        <is>
          <t>F</t>
        </is>
      </c>
      <c r="G248" t="inlineStr">
        <is>
          <t>1058</t>
        </is>
      </c>
      <c r="H248" t="inlineStr">
        <is>
          <t>Chobani Protein Greek Yogurt Drink</t>
        </is>
      </c>
      <c r="I248" t="inlineStr">
        <is>
          <t>Yogurt</t>
        </is>
      </c>
      <c r="J248" s="2" t="n">
        <v>46283</v>
      </c>
      <c r="K248" s="1" t="n">
        <v>10.99</v>
      </c>
    </row>
    <row r="249" s="65">
      <c r="A249" s="1">
        <f>SUM(K249,M249,O249,Q249,S249,U249)</f>
        <v/>
      </c>
      <c r="C249" t="inlineStr">
        <is>
          <t>Publix</t>
        </is>
      </c>
      <c r="D249" t="inlineStr">
        <is>
          <t>NA</t>
        </is>
      </c>
      <c r="E249" t="inlineStr">
        <is>
          <t>Mini Pumpkin Cc Pie</t>
        </is>
      </c>
      <c r="F249" t="inlineStr">
        <is>
          <t>F</t>
        </is>
      </c>
      <c r="G249" t="inlineStr">
        <is>
          <t>1058</t>
        </is>
      </c>
      <c r="H249" t="inlineStr">
        <is>
          <t>Mini Pumpkin Cream Cheese Pie</t>
        </is>
      </c>
      <c r="I249" t="inlineStr">
        <is>
          <t>Cakes &amp; Pies</t>
        </is>
      </c>
      <c r="J249" s="2" t="n">
        <v>46283</v>
      </c>
      <c r="K249" s="1" t="n">
        <v>6.99</v>
      </c>
    </row>
    <row r="250" s="65">
      <c r="A250" s="1">
        <f>SUM(K250,M250,O250,Q250,S250,U250)</f>
        <v/>
      </c>
      <c r="C250" t="inlineStr">
        <is>
          <t>Publix</t>
        </is>
      </c>
      <c r="D250" t="inlineStr">
        <is>
          <t>NA</t>
        </is>
      </c>
      <c r="E250" t="inlineStr">
        <is>
          <t>18 Mylar Balloon</t>
        </is>
      </c>
      <c r="F250" t="inlineStr">
        <is>
          <t>T</t>
        </is>
      </c>
      <c r="G250" t="inlineStr">
        <is>
          <t>1058</t>
        </is>
      </c>
      <c r="H250" t="inlineStr">
        <is>
          <t>18-Inch Mylar Balloon</t>
        </is>
      </c>
      <c r="I250" t="inlineStr">
        <is>
          <t>Balloons</t>
        </is>
      </c>
      <c r="J250" s="2" t="n">
        <v>46283</v>
      </c>
      <c r="K250" s="1" t="n">
        <v>3.99</v>
      </c>
    </row>
    <row r="251" s="65">
      <c r="A251" s="1">
        <f>SUM(K251,M251,O251,Q251,S251,U251)</f>
        <v/>
      </c>
      <c r="C251" t="inlineStr">
        <is>
          <t>Publix</t>
        </is>
      </c>
      <c r="D251" t="inlineStr">
        <is>
          <t>NA</t>
        </is>
      </c>
      <c r="E251" t="inlineStr">
        <is>
          <t>Tax</t>
        </is>
      </c>
      <c r="F251" t="inlineStr">
        <is>
          <t>T</t>
        </is>
      </c>
      <c r="G251" t="inlineStr">
        <is>
          <t>1058</t>
        </is>
      </c>
      <c r="H251" t="inlineStr">
        <is>
          <t>Tax</t>
        </is>
      </c>
      <c r="I251" t="inlineStr">
        <is>
          <t>Fees &amp; Charges</t>
        </is>
      </c>
      <c r="J251" s="2" t="n">
        <v>46283</v>
      </c>
      <c r="K251" s="1" t="n">
        <v>0.78</v>
      </c>
    </row>
    <row r="252" s="65">
      <c r="A252" s="1">
        <f>SUM(K252,M252,O252,Q252,S252,U252)</f>
        <v/>
      </c>
      <c r="C252" t="inlineStr">
        <is>
          <t>Publix</t>
        </is>
      </c>
      <c r="D252" t="inlineStr">
        <is>
          <t>NA</t>
        </is>
      </c>
      <c r="E252" t="inlineStr">
        <is>
          <t>SB OAT BROWN SUGAR</t>
        </is>
      </c>
      <c r="F252" t="inlineStr">
        <is>
          <t>F</t>
        </is>
      </c>
      <c r="G252" t="inlineStr">
        <is>
          <t>1688</t>
        </is>
      </c>
      <c r="H252" t="inlineStr">
        <is>
          <t>Starbucks Oatmilk Brown Sugar Creamer</t>
        </is>
      </c>
      <c r="I252" t="inlineStr">
        <is>
          <t>Coffee Creamer</t>
        </is>
      </c>
      <c r="J252" s="2" t="n">
        <v>46284</v>
      </c>
      <c r="K252" s="1" t="n">
        <v>6.69</v>
      </c>
    </row>
    <row r="253" s="65">
      <c r="A253" s="1">
        <f>SUM(K253,M253,O253,Q253,S253,U253)</f>
        <v/>
      </c>
      <c r="C253" t="inlineStr">
        <is>
          <t>Publix</t>
        </is>
      </c>
      <c r="D253" t="inlineStr">
        <is>
          <t>NA</t>
        </is>
      </c>
      <c r="E253" t="inlineStr">
        <is>
          <t>RANA CHEESE TORTEL</t>
        </is>
      </c>
      <c r="F253" t="inlineStr">
        <is>
          <t>F</t>
        </is>
      </c>
      <c r="G253" t="inlineStr">
        <is>
          <t>1688</t>
        </is>
      </c>
      <c r="H253" t="inlineStr">
        <is>
          <t>Giovanni Rana Cheese Tortellini</t>
        </is>
      </c>
      <c r="I253" t="inlineStr">
        <is>
          <t>Refrigerated Pasta</t>
        </is>
      </c>
      <c r="J253" s="2" t="n">
        <v>46284</v>
      </c>
      <c r="K253" s="1" t="n">
        <v>5</v>
      </c>
      <c r="L253" s="2" t="n">
        <v>46284</v>
      </c>
      <c r="M253" s="1" t="n">
        <v>5</v>
      </c>
    </row>
    <row r="254" s="65">
      <c r="A254" s="1">
        <f>SUM(K254,M254,O254,Q254,S254,U254)</f>
        <v/>
      </c>
      <c r="C254" t="inlineStr">
        <is>
          <t>Publix</t>
        </is>
      </c>
      <c r="D254" t="inlineStr">
        <is>
          <t>NA</t>
        </is>
      </c>
      <c r="E254" t="inlineStr">
        <is>
          <t>PROG VEG BROTH</t>
        </is>
      </c>
      <c r="F254" t="inlineStr">
        <is>
          <t>F</t>
        </is>
      </c>
      <c r="G254" t="inlineStr">
        <is>
          <t>1688</t>
        </is>
      </c>
      <c r="H254" t="inlineStr">
        <is>
          <t>Progresso Vegetable Broth</t>
        </is>
      </c>
      <c r="I254" t="inlineStr">
        <is>
          <t>Broth &amp; Stock</t>
        </is>
      </c>
      <c r="J254" s="2" t="n">
        <v>46284</v>
      </c>
      <c r="K254" s="1" t="n">
        <v>2.89</v>
      </c>
      <c r="L254" s="2" t="n">
        <v>46284</v>
      </c>
      <c r="M254" s="1" t="n">
        <v>2.89</v>
      </c>
    </row>
    <row r="255" s="65">
      <c r="A255" s="1">
        <f>SUM(K255,M255,O255,Q255,S255,U255)</f>
        <v/>
      </c>
      <c r="C255" t="inlineStr">
        <is>
          <t>Publix</t>
        </is>
      </c>
      <c r="D255" t="inlineStr">
        <is>
          <t>NA</t>
        </is>
      </c>
      <c r="E255" t="inlineStr">
        <is>
          <t>LSR EVL  SWT/SLT PN</t>
        </is>
      </c>
      <c r="F255" t="inlineStr">
        <is>
          <t>F</t>
        </is>
      </c>
      <c r="G255" t="inlineStr">
        <is>
          <t>1688</t>
        </is>
      </c>
      <c r="H255" t="inlineStr">
        <is>
          <t>LesserEvil Sweet &amp; Salty Popcorn</t>
        </is>
      </c>
      <c r="I255" t="inlineStr">
        <is>
          <t>Popcorn</t>
        </is>
      </c>
      <c r="J255" s="2" t="n">
        <v>46284</v>
      </c>
      <c r="K255" s="1" t="n">
        <v>4.25</v>
      </c>
    </row>
    <row r="256" s="65">
      <c r="A256" s="1">
        <f>SUM(K256,M256,O256,Q256,S256,U256)</f>
        <v/>
      </c>
      <c r="C256" t="inlineStr">
        <is>
          <t>Cosco</t>
        </is>
      </c>
      <c r="D256" t="inlineStr">
        <is>
          <t>NA</t>
        </is>
      </c>
      <c r="E256" t="inlineStr">
        <is>
          <t>Pampers Swaddlers Ultra Diapers Sizes</t>
        </is>
      </c>
      <c r="F256" t="inlineStr">
        <is>
          <t>NA</t>
        </is>
      </c>
      <c r="G256" t="inlineStr">
        <is>
          <t>0</t>
        </is>
      </c>
      <c r="H256" t="inlineStr">
        <is>
          <t>Pampers Swaddlers Diapers</t>
        </is>
      </c>
      <c r="I256" t="inlineStr">
        <is>
          <t>Baby Care</t>
        </is>
      </c>
      <c r="J256" s="2" t="n">
        <v>46285</v>
      </c>
      <c r="K256" t="n">
        <v>46.79</v>
      </c>
    </row>
    <row r="257" s="65">
      <c r="A257" s="1">
        <f>SUM(K257,M257,O257,Q257,S257,U257)</f>
        <v/>
      </c>
      <c r="C257" t="inlineStr">
        <is>
          <t>Aldi</t>
        </is>
      </c>
      <c r="D257" t="inlineStr">
        <is>
          <t>356591</t>
        </is>
      </c>
      <c r="E257" t="inlineStr">
        <is>
          <t>Pink Lady Apple</t>
        </is>
      </c>
      <c r="F257" t="inlineStr">
        <is>
          <t>NA</t>
        </is>
      </c>
      <c r="G257" t="inlineStr">
        <is>
          <t>238</t>
        </is>
      </c>
      <c r="H257" t="inlineStr">
        <is>
          <t>Pink Lady Apples</t>
        </is>
      </c>
      <c r="I257" t="inlineStr">
        <is>
          <t>Fresh Fruit</t>
        </is>
      </c>
      <c r="J257" s="2" t="n">
        <v>46271</v>
      </c>
      <c r="K257" t="n">
        <v>3.69</v>
      </c>
      <c r="L257" s="2" t="n">
        <v>46299</v>
      </c>
      <c r="M257" s="1" t="n">
        <v>3.69</v>
      </c>
      <c r="N257" s="2" t="n">
        <v>46299</v>
      </c>
      <c r="O257" s="1" t="n">
        <v>3.69</v>
      </c>
    </row>
    <row r="258" s="65">
      <c r="A258" s="1">
        <f>SUM(K258,M258,O258,Q258,S258,U258)</f>
        <v/>
      </c>
      <c r="C258" t="inlineStr">
        <is>
          <t>Aldi</t>
        </is>
      </c>
      <c r="D258" t="inlineStr">
        <is>
          <t>356417</t>
        </is>
      </c>
      <c r="E258" t="inlineStr">
        <is>
          <t>Mandarins</t>
        </is>
      </c>
      <c r="F258" t="inlineStr">
        <is>
          <t>NA</t>
        </is>
      </c>
      <c r="G258" t="inlineStr">
        <is>
          <t>238</t>
        </is>
      </c>
      <c r="H258" t="inlineStr">
        <is>
          <t>Mandarins</t>
        </is>
      </c>
      <c r="I258" t="inlineStr">
        <is>
          <t>Fresh Fruit</t>
        </is>
      </c>
      <c r="J258" s="2" t="n">
        <v>46271</v>
      </c>
      <c r="K258" t="n">
        <v>2.89</v>
      </c>
      <c r="L258" s="2" t="n">
        <v>46299</v>
      </c>
      <c r="M258" s="1" t="n">
        <v>3.99</v>
      </c>
    </row>
    <row r="259" s="65">
      <c r="A259" s="1">
        <f>SUM(K259,M259,O259,Q259,S259,U259)</f>
        <v/>
      </c>
      <c r="C259" t="inlineStr">
        <is>
          <t>Aldi</t>
        </is>
      </c>
      <c r="D259" t="inlineStr">
        <is>
          <t>383249</t>
        </is>
      </c>
      <c r="E259" t="inlineStr">
        <is>
          <t>Deli Sliced CoJack</t>
        </is>
      </c>
      <c r="F259" t="inlineStr">
        <is>
          <t>NA</t>
        </is>
      </c>
      <c r="G259" t="inlineStr">
        <is>
          <t>238</t>
        </is>
      </c>
      <c r="H259" t="inlineStr">
        <is>
          <t>Deli-Sliced Colby Jack Cheese</t>
        </is>
      </c>
      <c r="I259" t="inlineStr">
        <is>
          <t>Cheese</t>
        </is>
      </c>
      <c r="J259" s="2" t="n">
        <v>46271</v>
      </c>
      <c r="K259" s="1" t="n">
        <v>1.49</v>
      </c>
      <c r="L259" s="2" t="n">
        <v>46299</v>
      </c>
      <c r="M259" s="1" t="n">
        <v>1.49</v>
      </c>
    </row>
    <row r="260" s="65">
      <c r="A260" s="1">
        <f>SUM(K260,M260,O260,Q260,S260,U260)</f>
        <v/>
      </c>
      <c r="C260" t="inlineStr">
        <is>
          <t>Aldi</t>
        </is>
      </c>
      <c r="D260" t="inlineStr">
        <is>
          <t>344280</t>
        </is>
      </c>
      <c r="E260" t="inlineStr">
        <is>
          <t>Cauli Crust Pizza</t>
        </is>
      </c>
      <c r="F260" t="inlineStr">
        <is>
          <t>NA</t>
        </is>
      </c>
      <c r="G260" t="inlineStr">
        <is>
          <t>238</t>
        </is>
      </c>
      <c r="H260" t="inlineStr">
        <is>
          <t>Cauliflower Crust Pizza</t>
        </is>
      </c>
      <c r="I260" t="inlineStr">
        <is>
          <t>Frozen Pizza</t>
        </is>
      </c>
      <c r="J260" s="2" t="n">
        <v>46271</v>
      </c>
      <c r="K260" s="1" t="n">
        <v>8.289999999999999</v>
      </c>
      <c r="L260" s="2" t="n">
        <v>46299</v>
      </c>
      <c r="M260" s="1" t="n">
        <v>8.289999999999999</v>
      </c>
    </row>
    <row r="261" s="65">
      <c r="A261" s="1">
        <f>SUM(K261,M261,O261,Q261,S261,U261)</f>
        <v/>
      </c>
      <c r="C261" t="inlineStr">
        <is>
          <t>Aldi</t>
        </is>
      </c>
      <c r="D261" t="inlineStr">
        <is>
          <t>701574</t>
        </is>
      </c>
      <c r="E261" t="inlineStr">
        <is>
          <t>Frmhse Rnch Chd</t>
        </is>
      </c>
      <c r="F261" t="inlineStr">
        <is>
          <t>NA</t>
        </is>
      </c>
      <c r="G261" t="inlineStr">
        <is>
          <t>238</t>
        </is>
      </c>
      <c r="H261" t="inlineStr">
        <is>
          <t>Farmhouse Ranch Cheddar</t>
        </is>
      </c>
      <c r="I261" t="inlineStr">
        <is>
          <t>Cheese</t>
        </is>
      </c>
      <c r="J261" s="2" t="n">
        <v>46271</v>
      </c>
      <c r="K261" t="n">
        <v>3.29</v>
      </c>
      <c r="L261" s="2" t="n">
        <v>46299</v>
      </c>
      <c r="M261" s="1" t="n">
        <v>2.95</v>
      </c>
      <c r="N261" s="2" t="n">
        <v>46299</v>
      </c>
      <c r="O261" s="1" t="n">
        <v>2.95</v>
      </c>
    </row>
    <row r="262" s="65">
      <c r="A262" s="1">
        <f>SUM(K262,M262,O262,Q262,S262,U262)</f>
        <v/>
      </c>
      <c r="C262" t="inlineStr">
        <is>
          <t>Aldi</t>
        </is>
      </c>
      <c r="D262" t="inlineStr">
        <is>
          <t>356457</t>
        </is>
      </c>
      <c r="E262" t="inlineStr">
        <is>
          <t>Organic Kale</t>
        </is>
      </c>
      <c r="F262" t="inlineStr">
        <is>
          <t>NA</t>
        </is>
      </c>
      <c r="G262" t="inlineStr">
        <is>
          <t>238</t>
        </is>
      </c>
      <c r="H262" t="inlineStr">
        <is>
          <t>Organic Kale</t>
        </is>
      </c>
      <c r="I262" t="inlineStr">
        <is>
          <t>Fresh Vegetables</t>
        </is>
      </c>
      <c r="J262" s="2" t="n">
        <v>46271</v>
      </c>
      <c r="K262" t="n">
        <v>3.19</v>
      </c>
      <c r="L262" s="2" t="n">
        <v>46299</v>
      </c>
      <c r="M262" s="1" t="n">
        <v>3.19</v>
      </c>
    </row>
    <row r="263" s="65">
      <c r="A263" s="1">
        <f>SUM(K263,M263,O263,Q263,S263,U263)</f>
        <v/>
      </c>
      <c r="C263" t="inlineStr">
        <is>
          <t>Publix</t>
        </is>
      </c>
      <c r="D263" t="inlineStr">
        <is>
          <t>NA</t>
        </is>
      </c>
      <c r="E263" t="inlineStr">
        <is>
          <t>Vans Waffle Blueberry Gf</t>
        </is>
      </c>
      <c r="F263" t="inlineStr">
        <is>
          <t>F</t>
        </is>
      </c>
      <c r="G263" t="inlineStr">
        <is>
          <t>1058</t>
        </is>
      </c>
      <c r="H263" t="inlineStr">
        <is>
          <t>Van's Gluten Free Blueberry Waffles</t>
        </is>
      </c>
      <c r="I263" t="inlineStr">
        <is>
          <t>Frozen Breakfast</t>
        </is>
      </c>
      <c r="J263" s="2" t="n">
        <v>46259</v>
      </c>
      <c r="K263" s="1" t="n">
        <v>3.89</v>
      </c>
      <c r="L263" s="2" t="n">
        <v>46259</v>
      </c>
      <c r="M263" s="1" t="n">
        <v>3.89</v>
      </c>
      <c r="N263" s="2" t="n">
        <v>46299</v>
      </c>
      <c r="O263" s="1" t="n">
        <v>3.89</v>
      </c>
    </row>
    <row r="264" s="65">
      <c r="A264" s="1">
        <f>SUM(K264,M264,O264,Q264,S264,U264)</f>
        <v/>
      </c>
      <c r="C264" t="inlineStr">
        <is>
          <t>Publix</t>
        </is>
      </c>
      <c r="D264" t="inlineStr">
        <is>
          <t>NA</t>
        </is>
      </c>
      <c r="E264" t="inlineStr">
        <is>
          <t>Chobani 4Pk Hero Batch</t>
        </is>
      </c>
      <c r="F264" t="inlineStr">
        <is>
          <t>F</t>
        </is>
      </c>
      <c r="G264" t="inlineStr">
        <is>
          <t>1058</t>
        </is>
      </c>
      <c r="H264" t="inlineStr">
        <is>
          <t>Chobani Greek Yogurt 4-Pack, Hero Batch</t>
        </is>
      </c>
      <c r="I264" t="inlineStr">
        <is>
          <t>Yogurt</t>
        </is>
      </c>
      <c r="J264" s="2" t="n">
        <v>46259</v>
      </c>
      <c r="K264" s="1" t="n">
        <v>5.65</v>
      </c>
      <c r="L264" s="2" t="n">
        <v>46299</v>
      </c>
      <c r="M264" s="1" t="n">
        <v>5.65</v>
      </c>
    </row>
    <row r="265" s="65">
      <c r="A265" s="1">
        <f>SUM(K265,M265,O265,Q265,S265,U265)</f>
        <v/>
      </c>
      <c r="C265" t="inlineStr">
        <is>
          <t>Publix</t>
        </is>
      </c>
      <c r="D265" t="inlineStr">
        <is>
          <t>NA</t>
        </is>
      </c>
      <c r="E265" t="inlineStr">
        <is>
          <t>Silk Soy Organic Nsa Hg</t>
        </is>
      </c>
      <c r="F265" t="inlineStr">
        <is>
          <t>F</t>
        </is>
      </c>
      <c r="G265" t="inlineStr">
        <is>
          <t>1058</t>
        </is>
      </c>
      <c r="H265" t="inlineStr">
        <is>
          <t>Silk Organic Unsweet Soymilk, Half Gallon</t>
        </is>
      </c>
      <c r="I265" t="inlineStr">
        <is>
          <t>Plant-Based Milk</t>
        </is>
      </c>
      <c r="J265" s="2" t="n">
        <v>46259</v>
      </c>
      <c r="K265" s="1" t="n">
        <v>6.19</v>
      </c>
      <c r="L265" s="2" t="n">
        <v>46259</v>
      </c>
      <c r="M265" s="1" t="n">
        <v>6.19</v>
      </c>
      <c r="N265" s="2" t="n">
        <v>46259</v>
      </c>
      <c r="O265" s="1" t="n">
        <v>6.19</v>
      </c>
      <c r="P265" s="2" t="n">
        <v>46278</v>
      </c>
      <c r="Q265" s="1" t="n">
        <v>6.79</v>
      </c>
      <c r="R265" s="2" t="n">
        <v>46299</v>
      </c>
      <c r="S265" s="1" t="n">
        <v>6.79</v>
      </c>
      <c r="T265" s="2" t="n">
        <v>46299</v>
      </c>
      <c r="U265" s="1" t="n">
        <v>6.79</v>
      </c>
    </row>
    <row r="266" s="65">
      <c r="A266" s="1">
        <f>SUM(K266,M266,O266,Q266,S266,U266)</f>
        <v/>
      </c>
      <c r="C266" t="inlineStr">
        <is>
          <t>Publix</t>
        </is>
      </c>
      <c r="D266" t="inlineStr">
        <is>
          <t>NA</t>
        </is>
      </c>
      <c r="E266" t="inlineStr">
        <is>
          <t>Publix Half&amp;Half Hg</t>
        </is>
      </c>
      <c r="F266" t="inlineStr">
        <is>
          <t>F</t>
        </is>
      </c>
      <c r="G266" t="inlineStr">
        <is>
          <t>1058</t>
        </is>
      </c>
      <c r="H266" t="inlineStr">
        <is>
          <t>Publix Half &amp; Half, Half Gallon</t>
        </is>
      </c>
      <c r="I266" t="inlineStr">
        <is>
          <t>Cream &amp; Half-and-Half</t>
        </is>
      </c>
      <c r="J266" s="2" t="n">
        <v>46259</v>
      </c>
      <c r="K266" s="1" t="n">
        <v>5.89</v>
      </c>
      <c r="L266" s="2" t="n">
        <v>46278</v>
      </c>
      <c r="M266" s="1" t="n">
        <v>5.89</v>
      </c>
      <c r="N266" s="2" t="n">
        <v>46283</v>
      </c>
      <c r="O266" s="1" t="n">
        <v>5.89</v>
      </c>
      <c r="P266" s="2" t="n">
        <v>46299</v>
      </c>
      <c r="Q266" s="1" t="n">
        <v>5.89</v>
      </c>
    </row>
    <row r="267" s="65">
      <c r="A267" s="1">
        <f>SUM(K267,M267,O267,Q267,S267,U267)</f>
        <v/>
      </c>
      <c r="C267" t="inlineStr">
        <is>
          <t>Publix</t>
        </is>
      </c>
      <c r="D267" t="inlineStr">
        <is>
          <t>NA</t>
        </is>
      </c>
      <c r="E267" t="inlineStr">
        <is>
          <t>Vans Waffle Gf Originl</t>
        </is>
      </c>
      <c r="F267" t="inlineStr">
        <is>
          <t>F</t>
        </is>
      </c>
      <c r="G267" t="inlineStr">
        <is>
          <t>1058</t>
        </is>
      </c>
      <c r="H267" t="inlineStr">
        <is>
          <t>Waffle</t>
        </is>
      </c>
      <c r="I267" t="inlineStr">
        <is>
          <t>Bakery</t>
        </is>
      </c>
      <c r="J267" s="2" t="n">
        <v>46299</v>
      </c>
      <c r="K267" s="1" t="n">
        <v>3.89</v>
      </c>
    </row>
    <row r="268" s="65">
      <c r="A268" s="1">
        <f>SUM(K268,M268,O268,Q268,S268,U268)</f>
        <v/>
      </c>
      <c r="C268" t="inlineStr">
        <is>
          <t>Publix</t>
        </is>
      </c>
      <c r="D268" t="inlineStr">
        <is>
          <t>NA</t>
        </is>
      </c>
      <c r="E268" t="inlineStr">
        <is>
          <t>Ka Flour Bread Unbl</t>
        </is>
      </c>
      <c r="F268" t="inlineStr">
        <is>
          <t>F</t>
        </is>
      </c>
      <c r="G268" t="inlineStr">
        <is>
          <t>1058</t>
        </is>
      </c>
      <c r="H268" t="inlineStr">
        <is>
          <t>Flour Bread</t>
        </is>
      </c>
      <c r="I268" t="inlineStr">
        <is>
          <t>Baking Ingredients</t>
        </is>
      </c>
      <c r="J268" s="2" t="n">
        <v>46299</v>
      </c>
      <c r="K268" s="1" t="n">
        <v>11.99</v>
      </c>
    </row>
    <row r="269" s="65">
      <c r="A269" s="1">
        <f>SUM(K269,M269,O269,Q269,S269,U269)</f>
        <v/>
      </c>
      <c r="C269" t="inlineStr">
        <is>
          <t>Publix</t>
        </is>
      </c>
      <c r="D269" t="inlineStr">
        <is>
          <t>NA</t>
        </is>
      </c>
      <c r="E269" t="inlineStr">
        <is>
          <t>Ghir Gf Db1 Choc Brownie</t>
        </is>
      </c>
      <c r="F269" t="inlineStr">
        <is>
          <t>F</t>
        </is>
      </c>
      <c r="G269" t="inlineStr">
        <is>
          <t>1058</t>
        </is>
      </c>
      <c r="H269" t="inlineStr">
        <is>
          <t>Brownie</t>
        </is>
      </c>
      <c r="I269" t="inlineStr">
        <is>
          <t>Baking Mixes</t>
        </is>
      </c>
      <c r="J269" s="2" t="n">
        <v>46299</v>
      </c>
      <c r="K269" s="1" t="n">
        <v>6.29</v>
      </c>
    </row>
    <row r="270" s="65">
      <c r="A270" s="1">
        <f>SUM(K270,M270,O270,Q270,S270,U270)</f>
        <v/>
      </c>
      <c r="C270" t="inlineStr">
        <is>
          <t>Publix</t>
        </is>
      </c>
      <c r="D270" t="inlineStr">
        <is>
          <t>NA</t>
        </is>
      </c>
      <c r="E270" t="inlineStr">
        <is>
          <t>Badia Coriander Grnd</t>
        </is>
      </c>
      <c r="F270" t="inlineStr">
        <is>
          <t>F</t>
        </is>
      </c>
      <c r="G270" t="inlineStr">
        <is>
          <t>1058</t>
        </is>
      </c>
      <c r="H270" t="inlineStr">
        <is>
          <t>Coriander</t>
        </is>
      </c>
      <c r="I270" t="inlineStr">
        <is>
          <t>Seasonings &amp; Spices</t>
        </is>
      </c>
      <c r="J270" s="2" t="n">
        <v>46299</v>
      </c>
      <c r="K270" s="1" t="n">
        <v>2.49</v>
      </c>
    </row>
    <row r="271" s="65">
      <c r="A271" s="1">
        <f>SUM(K271,M271,O271,Q271,S271,U271)</f>
        <v/>
      </c>
      <c r="C271" t="inlineStr">
        <is>
          <t>Publix</t>
        </is>
      </c>
      <c r="D271" t="inlineStr">
        <is>
          <t>NA</t>
        </is>
      </c>
      <c r="E271" t="inlineStr">
        <is>
          <t>Bamba Peanut Puff Hz1 Lrg</t>
        </is>
      </c>
      <c r="F271" t="inlineStr">
        <is>
          <t>F</t>
        </is>
      </c>
      <c r="G271" t="inlineStr">
        <is>
          <t>1058</t>
        </is>
      </c>
      <c r="H271" t="inlineStr">
        <is>
          <t>Peanut Puffs</t>
        </is>
      </c>
      <c r="I271" t="inlineStr">
        <is>
          <t>Snack Bars</t>
        </is>
      </c>
      <c r="J271" s="2" t="n">
        <v>46299</v>
      </c>
      <c r="K271" s="1" t="n">
        <v>2.29</v>
      </c>
    </row>
    <row r="272" s="65">
      <c r="A272" s="1">
        <f>SUM(K272,M272,O272,Q272,S272,U272)</f>
        <v/>
      </c>
      <c r="C272" t="inlineStr">
        <is>
          <t>Publix</t>
        </is>
      </c>
      <c r="D272" t="inlineStr">
        <is>
          <t>NA</t>
        </is>
      </c>
      <c r="E272" t="inlineStr">
        <is>
          <t>Organic Basil</t>
        </is>
      </c>
      <c r="F272" t="inlineStr">
        <is>
          <t>F</t>
        </is>
      </c>
      <c r="G272" t="inlineStr">
        <is>
          <t>1058</t>
        </is>
      </c>
      <c r="H272" t="inlineStr">
        <is>
          <t>Basil</t>
        </is>
      </c>
      <c r="I272" t="inlineStr">
        <is>
          <t>Fresh Herbs</t>
        </is>
      </c>
      <c r="J272" s="2" t="n">
        <v>46299</v>
      </c>
      <c r="K272" s="1" t="n">
        <v>2.39</v>
      </c>
    </row>
    <row r="273" s="65">
      <c r="A273" s="1">
        <f>SUM(K273,M273,O273,Q273,S273,U273)</f>
        <v/>
      </c>
      <c r="C273" t="inlineStr">
        <is>
          <t>Aldi</t>
        </is>
      </c>
      <c r="D273" t="inlineStr">
        <is>
          <t>718032</t>
        </is>
      </c>
      <c r="E273" t="inlineStr">
        <is>
          <t>White Beans</t>
        </is>
      </c>
      <c r="F273" t="inlineStr">
        <is>
          <t>NA</t>
        </is>
      </c>
      <c r="G273" t="inlineStr">
        <is>
          <t>238</t>
        </is>
      </c>
      <c r="H273" t="inlineStr">
        <is>
          <t>White Beans</t>
        </is>
      </c>
      <c r="I273" t="inlineStr">
        <is>
          <t>Canned Beans &amp; Legumes</t>
        </is>
      </c>
      <c r="J273" s="2" t="n">
        <v>46299</v>
      </c>
      <c r="K273" s="1" t="n">
        <v>0.85</v>
      </c>
      <c r="L273" s="2" t="n">
        <v>46299</v>
      </c>
      <c r="M273" s="1" t="n">
        <v>0.85</v>
      </c>
    </row>
    <row r="274" s="65">
      <c r="A274" s="1">
        <f>SUM(K274,M274,O274,Q274,S274,U274)</f>
        <v/>
      </c>
      <c r="C274" t="inlineStr">
        <is>
          <t>Aldi</t>
        </is>
      </c>
      <c r="D274" t="inlineStr">
        <is>
          <t>356508</t>
        </is>
      </c>
      <c r="E274" t="inlineStr">
        <is>
          <t>Broccoli Crowns</t>
        </is>
      </c>
      <c r="F274" t="inlineStr">
        <is>
          <t>NA</t>
        </is>
      </c>
      <c r="G274" t="inlineStr">
        <is>
          <t>238</t>
        </is>
      </c>
      <c r="H274" t="inlineStr">
        <is>
          <t>Broccoli Crowns</t>
        </is>
      </c>
      <c r="I274" t="inlineStr">
        <is>
          <t>Fresh Vegetables</t>
        </is>
      </c>
      <c r="J274" s="2" t="n">
        <v>46299</v>
      </c>
      <c r="K274" s="1" t="n">
        <v>2.51</v>
      </c>
    </row>
    <row r="275" s="65">
      <c r="A275" s="1">
        <f>SUM(K275,M275,O275,Q275,S275,U275)</f>
        <v/>
      </c>
      <c r="C275" t="inlineStr">
        <is>
          <t>Aldi</t>
        </is>
      </c>
      <c r="D275" t="inlineStr">
        <is>
          <t>356509</t>
        </is>
      </c>
      <c r="E275" t="inlineStr">
        <is>
          <t>Brussels Sprouts</t>
        </is>
      </c>
      <c r="F275" t="inlineStr">
        <is>
          <t>NA</t>
        </is>
      </c>
      <c r="G275" t="inlineStr">
        <is>
          <t>238</t>
        </is>
      </c>
      <c r="H275" t="inlineStr">
        <is>
          <t>Brussels Sprouts</t>
        </is>
      </c>
      <c r="I275" t="inlineStr">
        <is>
          <t>Produce</t>
        </is>
      </c>
      <c r="J275" s="2" t="n">
        <v>46299</v>
      </c>
      <c r="K275" s="1" t="n">
        <v>2.79</v>
      </c>
    </row>
    <row r="276" s="65">
      <c r="A276" s="1">
        <f>SUM(K276,M276,O276,Q276,S276,U276)</f>
        <v/>
      </c>
      <c r="C276" t="inlineStr">
        <is>
          <t>Aldi</t>
        </is>
      </c>
      <c r="D276" t="inlineStr">
        <is>
          <t>657548</t>
        </is>
      </c>
      <c r="E276" t="inlineStr">
        <is>
          <t>Cut Green Beans</t>
        </is>
      </c>
      <c r="F276" t="inlineStr">
        <is>
          <t>NA</t>
        </is>
      </c>
      <c r="G276" t="inlineStr">
        <is>
          <t>238</t>
        </is>
      </c>
      <c r="H276" t="inlineStr">
        <is>
          <t>Green Beans</t>
        </is>
      </c>
      <c r="I276" t="inlineStr">
        <is>
          <t>Fresh Vegetables</t>
        </is>
      </c>
      <c r="J276" s="2" t="n">
        <v>46299</v>
      </c>
      <c r="K276" s="1" t="n">
        <v>2.39</v>
      </c>
    </row>
    <row r="277" s="65">
      <c r="A277" s="1">
        <f>SUM(K277,M277,O277,Q277,S277,U277)</f>
        <v/>
      </c>
      <c r="C277" t="inlineStr">
        <is>
          <t>Aldi</t>
        </is>
      </c>
      <c r="D277" t="inlineStr">
        <is>
          <t>356488</t>
        </is>
      </c>
      <c r="E277" t="inlineStr">
        <is>
          <t>Baby Carrots</t>
        </is>
      </c>
      <c r="F277" t="inlineStr">
        <is>
          <t>NA</t>
        </is>
      </c>
      <c r="G277" t="inlineStr">
        <is>
          <t>238</t>
        </is>
      </c>
      <c r="H277" t="inlineStr">
        <is>
          <t>Baby Carrots</t>
        </is>
      </c>
      <c r="I277" t="inlineStr">
        <is>
          <t>Fresh Vegetables</t>
        </is>
      </c>
      <c r="J277" s="2" t="n">
        <v>46299</v>
      </c>
      <c r="K277" s="1" t="n">
        <v>1.29</v>
      </c>
      <c r="L277" s="2" t="n">
        <v>46299</v>
      </c>
      <c r="M277" s="1" t="n">
        <v>1.29</v>
      </c>
    </row>
    <row r="278" s="65">
      <c r="A278" s="1">
        <f>SUM(K278,M278,O278,Q278,S278,U278)</f>
        <v/>
      </c>
      <c r="C278" t="inlineStr">
        <is>
          <t>Aldi</t>
        </is>
      </c>
      <c r="D278" t="inlineStr">
        <is>
          <t>485997</t>
        </is>
      </c>
      <c r="E278" t="inlineStr">
        <is>
          <t>Jasmine Rice</t>
        </is>
      </c>
      <c r="F278" t="inlineStr">
        <is>
          <t>NA</t>
        </is>
      </c>
      <c r="G278" t="inlineStr">
        <is>
          <t>238</t>
        </is>
      </c>
      <c r="H278" t="inlineStr">
        <is>
          <t>Jasmine Rice</t>
        </is>
      </c>
      <c r="I278" t="inlineStr">
        <is>
          <t>Rice &amp; Grains</t>
        </is>
      </c>
      <c r="J278" s="2" t="n">
        <v>46299</v>
      </c>
      <c r="K278" s="1" t="n">
        <v>6.35</v>
      </c>
    </row>
    <row r="279" s="65">
      <c r="A279" s="1">
        <f>SUM(K279,M279,O279,Q279,S279,U279)</f>
        <v/>
      </c>
      <c r="C279" t="inlineStr">
        <is>
          <t>Aldi</t>
        </is>
      </c>
      <c r="D279" t="inlineStr">
        <is>
          <t>356642</t>
        </is>
      </c>
      <c r="E279" t="inlineStr">
        <is>
          <t>Spaghetti Sqush LRW</t>
        </is>
      </c>
      <c r="F279" t="inlineStr">
        <is>
          <t>NA</t>
        </is>
      </c>
      <c r="G279" t="inlineStr">
        <is>
          <t>238</t>
        </is>
      </c>
      <c r="H279" t="inlineStr">
        <is>
          <t>Spaghetti Squash</t>
        </is>
      </c>
      <c r="I279" t="inlineStr">
        <is>
          <t>Produce</t>
        </is>
      </c>
      <c r="J279" s="2" t="n">
        <v>46299</v>
      </c>
      <c r="K279" s="1" t="n">
        <v>2.18</v>
      </c>
      <c r="L279" s="2" t="n">
        <v>46299</v>
      </c>
      <c r="M279" s="1" t="n">
        <v>2.39</v>
      </c>
    </row>
    <row r="280" s="65">
      <c r="A280" s="1">
        <f>SUM(K280,M280,O280,Q280,S280,U280)</f>
        <v/>
      </c>
      <c r="C280" t="inlineStr">
        <is>
          <t>Aldi</t>
        </is>
      </c>
      <c r="D280" t="inlineStr">
        <is>
          <t>356659</t>
        </is>
      </c>
      <c r="E280" t="inlineStr">
        <is>
          <t>Sweet Onion</t>
        </is>
      </c>
      <c r="F280" t="inlineStr">
        <is>
          <t>NA</t>
        </is>
      </c>
      <c r="G280" t="inlineStr">
        <is>
          <t>238</t>
        </is>
      </c>
      <c r="H280" t="inlineStr">
        <is>
          <t>Onion</t>
        </is>
      </c>
      <c r="I280" t="inlineStr">
        <is>
          <t>Produce</t>
        </is>
      </c>
      <c r="J280" s="2" t="n">
        <v>46299</v>
      </c>
      <c r="K280" s="1" t="n">
        <v>2.19</v>
      </c>
    </row>
    <row r="281" s="65">
      <c r="A281" s="1">
        <f>SUM(K281,M281,O281,Q281,S281,U281)</f>
        <v/>
      </c>
      <c r="C281" t="inlineStr">
        <is>
          <t>Aldi</t>
        </is>
      </c>
      <c r="D281" t="inlineStr">
        <is>
          <t>356504</t>
        </is>
      </c>
      <c r="E281" t="inlineStr">
        <is>
          <t>Blueberries</t>
        </is>
      </c>
      <c r="F281" t="inlineStr">
        <is>
          <t>NA</t>
        </is>
      </c>
      <c r="G281" t="inlineStr">
        <is>
          <t>238</t>
        </is>
      </c>
      <c r="H281" t="inlineStr">
        <is>
          <t>Blueberries</t>
        </is>
      </c>
      <c r="I281" t="inlineStr">
        <is>
          <t>Fresh Fruit</t>
        </is>
      </c>
      <c r="J281" s="2" t="n">
        <v>46299</v>
      </c>
      <c r="K281" s="1" t="n">
        <v>3.99</v>
      </c>
    </row>
    <row r="282" s="65">
      <c r="A282" s="1">
        <f>SUM(K282,M282,O282,Q282,S282,U282)</f>
        <v/>
      </c>
      <c r="C282" t="inlineStr">
        <is>
          <t>Aldi</t>
        </is>
      </c>
      <c r="D282" t="inlineStr">
        <is>
          <t>356585</t>
        </is>
      </c>
      <c r="E282" t="inlineStr">
        <is>
          <t>Peeled Garlic</t>
        </is>
      </c>
      <c r="F282" t="inlineStr">
        <is>
          <t>NA</t>
        </is>
      </c>
      <c r="G282" t="inlineStr">
        <is>
          <t>238</t>
        </is>
      </c>
      <c r="H282" t="inlineStr">
        <is>
          <t>Garlic</t>
        </is>
      </c>
      <c r="I282" t="inlineStr">
        <is>
          <t>Produce</t>
        </is>
      </c>
      <c r="J282" s="2" t="n">
        <v>46299</v>
      </c>
      <c r="K282" s="1" t="n">
        <v>2.99</v>
      </c>
    </row>
    <row r="283" s="65">
      <c r="A283" s="1">
        <f>SUM(K283,M283,O283,Q283,S283,U283)</f>
        <v/>
      </c>
      <c r="C283" t="inlineStr">
        <is>
          <t>Aldi</t>
        </is>
      </c>
      <c r="D283" t="inlineStr">
        <is>
          <t>542567</t>
        </is>
      </c>
      <c r="E283" t="inlineStr">
        <is>
          <t>Chickpea M&amp;C</t>
        </is>
      </c>
      <c r="F283" t="inlineStr">
        <is>
          <t>NA</t>
        </is>
      </c>
      <c r="G283" t="inlineStr">
        <is>
          <t>238</t>
        </is>
      </c>
      <c r="H283" t="inlineStr">
        <is>
          <t>Chickpeas</t>
        </is>
      </c>
      <c r="I283" t="inlineStr">
        <is>
          <t>Produce</t>
        </is>
      </c>
      <c r="J283" s="2" t="n">
        <v>46299</v>
      </c>
      <c r="K283" s="1" t="n">
        <v>2.69</v>
      </c>
      <c r="L283" s="2" t="n">
        <v>46299</v>
      </c>
      <c r="M283" s="1" t="n">
        <v>2.69</v>
      </c>
    </row>
    <row r="284" s="65">
      <c r="A284" s="1">
        <f>SUM(K284,M284,O284,Q284,S284,U284)</f>
        <v/>
      </c>
      <c r="C284" t="inlineStr">
        <is>
          <t>Aldi</t>
        </is>
      </c>
      <c r="D284" t="inlineStr">
        <is>
          <t>270089</t>
        </is>
      </c>
      <c r="E284" t="inlineStr">
        <is>
          <t>Hash Brown Patties</t>
        </is>
      </c>
      <c r="F284" t="inlineStr">
        <is>
          <t>NA</t>
        </is>
      </c>
      <c r="G284" t="inlineStr">
        <is>
          <t>238</t>
        </is>
      </c>
      <c r="H284" t="inlineStr">
        <is>
          <t>Hash Brown Patties</t>
        </is>
      </c>
      <c r="I284" t="inlineStr">
        <is>
          <t>Produce</t>
        </is>
      </c>
      <c r="J284" s="2" t="n">
        <v>46299</v>
      </c>
      <c r="K284" s="1" t="n">
        <v>4.99</v>
      </c>
    </row>
    <row r="285" s="65">
      <c r="A285" s="1">
        <f>SUM(K285,M285,O285,Q285,S285,U285)</f>
        <v/>
      </c>
      <c r="C285" t="inlineStr">
        <is>
          <t>Aldi</t>
        </is>
      </c>
      <c r="D285" t="inlineStr">
        <is>
          <t>471735</t>
        </is>
      </c>
      <c r="E285" t="inlineStr">
        <is>
          <t>Seedless Lemon</t>
        </is>
      </c>
      <c r="F285" t="inlineStr">
        <is>
          <t>NA</t>
        </is>
      </c>
      <c r="G285" t="inlineStr">
        <is>
          <t>238</t>
        </is>
      </c>
      <c r="H285" t="inlineStr">
        <is>
          <t>Lemon</t>
        </is>
      </c>
      <c r="I285" t="inlineStr">
        <is>
          <t>Produce</t>
        </is>
      </c>
      <c r="J285" s="2" t="n">
        <v>46299</v>
      </c>
      <c r="K285" s="1" t="n">
        <v>2.89</v>
      </c>
    </row>
    <row r="286" s="65">
      <c r="A286" s="1">
        <f>SUM(K286,M286,O286,Q286,S286,U286)</f>
        <v/>
      </c>
      <c r="C286" t="inlineStr">
        <is>
          <t>Aldi</t>
        </is>
      </c>
      <c r="D286" t="inlineStr">
        <is>
          <t>356646</t>
        </is>
      </c>
      <c r="E286" t="inlineStr">
        <is>
          <t>Strawberries</t>
        </is>
      </c>
      <c r="F286" t="inlineStr">
        <is>
          <t>NA</t>
        </is>
      </c>
      <c r="G286" t="inlineStr">
        <is>
          <t>238</t>
        </is>
      </c>
      <c r="H286" t="inlineStr">
        <is>
          <t>Strawberries</t>
        </is>
      </c>
      <c r="I286" t="inlineStr">
        <is>
          <t>Fresh Fruit</t>
        </is>
      </c>
      <c r="J286" s="2" t="n">
        <v>46299</v>
      </c>
      <c r="K286" s="1" t="n">
        <v>2.89</v>
      </c>
    </row>
    <row r="287" s="65">
      <c r="A287" s="1">
        <f>SUM(K287,M287,O287,Q287,S287,U287)</f>
        <v/>
      </c>
      <c r="C287" t="inlineStr">
        <is>
          <t>Aldi</t>
        </is>
      </c>
      <c r="D287" t="inlineStr">
        <is>
          <t>399526</t>
        </is>
      </c>
      <c r="E287" t="inlineStr">
        <is>
          <t>Blue Bell Pint</t>
        </is>
      </c>
      <c r="F287" t="inlineStr">
        <is>
          <t>NA</t>
        </is>
      </c>
      <c r="G287" t="inlineStr">
        <is>
          <t>238</t>
        </is>
      </c>
      <c r="H287" t="inlineStr">
        <is>
          <t>Pint</t>
        </is>
      </c>
      <c r="I287" t="inlineStr">
        <is>
          <t>Produce</t>
        </is>
      </c>
      <c r="J287" s="2" t="n">
        <v>46299</v>
      </c>
      <c r="K287" s="1" t="n">
        <v>3.49</v>
      </c>
      <c r="L287" s="2" t="n">
        <v>46299</v>
      </c>
      <c r="M287" s="1" t="n">
        <v>3.49</v>
      </c>
    </row>
    <row r="288" s="65">
      <c r="A288" s="1">
        <f>SUM(K288,M288,O288,Q288,S288,U288)</f>
        <v/>
      </c>
      <c r="C288" t="inlineStr">
        <is>
          <t>Aldi</t>
        </is>
      </c>
      <c r="D288" t="inlineStr">
        <is>
          <t>356449</t>
        </is>
      </c>
      <c r="E288" t="inlineStr">
        <is>
          <t>Org Cherub Tomato</t>
        </is>
      </c>
      <c r="F288" t="inlineStr">
        <is>
          <t>NA</t>
        </is>
      </c>
      <c r="G288" t="inlineStr">
        <is>
          <t>238</t>
        </is>
      </c>
      <c r="H288" t="inlineStr">
        <is>
          <t>Tomato</t>
        </is>
      </c>
      <c r="I288" t="inlineStr">
        <is>
          <t>Produce</t>
        </is>
      </c>
      <c r="J288" s="2" t="n">
        <v>46299</v>
      </c>
      <c r="K288" s="1" t="n">
        <v>3.49</v>
      </c>
    </row>
    <row r="289" s="65">
      <c r="A289" s="1">
        <f>SUM(K289,M289,O289,Q289,S289,U289)</f>
        <v/>
      </c>
      <c r="C289" t="inlineStr">
        <is>
          <t>Aldi</t>
        </is>
      </c>
      <c r="D289" t="inlineStr">
        <is>
          <t>720921</t>
        </is>
      </c>
      <c r="E289" t="inlineStr">
        <is>
          <t>PB Toast Crackers</t>
        </is>
      </c>
      <c r="F289" t="inlineStr">
        <is>
          <t>NA</t>
        </is>
      </c>
      <c r="G289" t="inlineStr">
        <is>
          <t>238</t>
        </is>
      </c>
      <c r="H289" t="inlineStr">
        <is>
          <t>PB Toast Crackers</t>
        </is>
      </c>
      <c r="I289" t="inlineStr">
        <is>
          <t>Baking Ingredients</t>
        </is>
      </c>
      <c r="J289" s="2" t="n">
        <v>46299</v>
      </c>
      <c r="K289" s="1" t="n">
        <v>2.79</v>
      </c>
      <c r="L289" s="2" t="n">
        <v>46299</v>
      </c>
      <c r="M289" s="1" t="n">
        <v>2.79</v>
      </c>
    </row>
    <row r="290" s="65">
      <c r="A290" s="1">
        <f>SUM(K290,M290,O290,Q290,S290,U290)</f>
        <v/>
      </c>
      <c r="C290" t="inlineStr">
        <is>
          <t>Aldi</t>
        </is>
      </c>
      <c r="D290" t="inlineStr">
        <is>
          <t>371471</t>
        </is>
      </c>
      <c r="E290" t="inlineStr">
        <is>
          <t>Pure Maple Syrup</t>
        </is>
      </c>
      <c r="F290" t="inlineStr">
        <is>
          <t>NA</t>
        </is>
      </c>
      <c r="G290" t="inlineStr">
        <is>
          <t>238</t>
        </is>
      </c>
      <c r="H290" t="inlineStr">
        <is>
          <t>Pure Maple Syrup</t>
        </is>
      </c>
      <c r="I290" t="inlineStr">
        <is>
          <t>Baking Ingredients</t>
        </is>
      </c>
      <c r="J290" s="2" t="n">
        <v>46299</v>
      </c>
      <c r="K290" s="1" t="n">
        <v>5.29</v>
      </c>
    </row>
    <row r="291" s="65">
      <c r="A291" s="1">
        <f>SUM(K291,M291,O291,Q291,S291,U291)</f>
        <v/>
      </c>
      <c r="C291" t="inlineStr">
        <is>
          <t>Aldi</t>
        </is>
      </c>
      <c r="D291" t="inlineStr">
        <is>
          <t>382773</t>
        </is>
      </c>
      <c r="E291" t="inlineStr">
        <is>
          <t>Cosmic Brownies</t>
        </is>
      </c>
      <c r="F291" t="inlineStr">
        <is>
          <t>NA</t>
        </is>
      </c>
      <c r="G291" t="inlineStr">
        <is>
          <t>238</t>
        </is>
      </c>
      <c r="H291" t="inlineStr">
        <is>
          <t>Cosmic Brownies</t>
        </is>
      </c>
      <c r="I291" t="inlineStr">
        <is>
          <t>Bakery</t>
        </is>
      </c>
      <c r="J291" s="2" t="n">
        <v>46299</v>
      </c>
      <c r="K291" s="1" t="n">
        <v>3.12</v>
      </c>
    </row>
    <row r="292" s="65">
      <c r="A292" s="1">
        <f>SUM(K292,M292,O292,Q292,S292,U292)</f>
        <v/>
      </c>
      <c r="C292" t="inlineStr">
        <is>
          <t>Aldi</t>
        </is>
      </c>
      <c r="D292" t="inlineStr">
        <is>
          <t>335344</t>
        </is>
      </c>
      <c r="E292" t="inlineStr">
        <is>
          <t>Small Eco-Bags</t>
        </is>
      </c>
      <c r="F292" t="inlineStr">
        <is>
          <t>NA</t>
        </is>
      </c>
      <c r="G292" t="inlineStr">
        <is>
          <t>238</t>
        </is>
      </c>
      <c r="H292" t="inlineStr">
        <is>
          <t>Eco-Bags</t>
        </is>
      </c>
      <c r="I292" t="inlineStr">
        <is>
          <t>Baking Ingredients</t>
        </is>
      </c>
      <c r="J292" s="2" t="n">
        <v>46299</v>
      </c>
      <c r="K292" s="1" t="n">
        <v>0.49</v>
      </c>
      <c r="L292" s="2" t="n">
        <v>46299</v>
      </c>
      <c r="M292" s="1" t="n">
        <v>0.49</v>
      </c>
    </row>
    <row r="293" s="65">
      <c r="A293" s="1">
        <f>SUM(K293,M293,O293,Q293,S293,U293)</f>
        <v/>
      </c>
      <c r="C293" t="inlineStr">
        <is>
          <t>Aldi</t>
        </is>
      </c>
      <c r="D293" t="inlineStr">
        <is>
          <t>366511</t>
        </is>
      </c>
      <c r="E293" t="inlineStr">
        <is>
          <t>Coffees of Fall</t>
        </is>
      </c>
      <c r="F293" t="inlineStr">
        <is>
          <t>NA</t>
        </is>
      </c>
      <c r="G293" t="inlineStr">
        <is>
          <t>238</t>
        </is>
      </c>
      <c r="H293" t="inlineStr">
        <is>
          <t>Coffee</t>
        </is>
      </c>
      <c r="I293" t="inlineStr">
        <is>
          <t>Baking Ingredients</t>
        </is>
      </c>
      <c r="J293" s="2" t="n">
        <v>46299</v>
      </c>
      <c r="K293" s="1" t="n">
        <v>6.99</v>
      </c>
    </row>
    <row r="294" s="65">
      <c r="A294" s="1">
        <f>SUM(K294,M294,O294,Q294,S294,U294)</f>
        <v/>
      </c>
      <c r="C294" t="inlineStr">
        <is>
          <t>Aldi</t>
        </is>
      </c>
      <c r="D294" t="inlineStr">
        <is>
          <t>383231</t>
        </is>
      </c>
      <c r="E294" t="inlineStr">
        <is>
          <t>Wht Corn Tortillas</t>
        </is>
      </c>
      <c r="F294" t="inlineStr">
        <is>
          <t>NA</t>
        </is>
      </c>
      <c r="G294" t="inlineStr">
        <is>
          <t>238</t>
        </is>
      </c>
      <c r="H294" t="inlineStr">
        <is>
          <t>Wheat Tortillas</t>
        </is>
      </c>
      <c r="I294" t="inlineStr">
        <is>
          <t>Baking Ingredients</t>
        </is>
      </c>
      <c r="J294" s="2" t="n">
        <v>46299</v>
      </c>
      <c r="K294" s="1" t="n">
        <v>2.44</v>
      </c>
    </row>
    <row r="295" s="65">
      <c r="A295" s="1">
        <f>SUM(K295,M295,O295,Q295,S295,U295)</f>
        <v/>
      </c>
      <c r="C295" t="inlineStr">
        <is>
          <t>Aldi</t>
        </is>
      </c>
      <c r="D295" t="inlineStr">
        <is>
          <t>385492</t>
        </is>
      </c>
      <c r="E295" t="inlineStr">
        <is>
          <t>Feta Block</t>
        </is>
      </c>
      <c r="F295" t="inlineStr">
        <is>
          <t>NA</t>
        </is>
      </c>
      <c r="G295" t="inlineStr">
        <is>
          <t>238</t>
        </is>
      </c>
      <c r="H295" t="inlineStr">
        <is>
          <t>Feta Cheese</t>
        </is>
      </c>
      <c r="I295" t="inlineStr">
        <is>
          <t>Dairy</t>
        </is>
      </c>
      <c r="J295" s="2" t="n">
        <v>46299</v>
      </c>
      <c r="K295" s="1" t="n">
        <v>3.59</v>
      </c>
      <c r="L295" s="2" t="n">
        <v>46299</v>
      </c>
      <c r="M295" s="1" t="n">
        <v>3.59</v>
      </c>
    </row>
    <row r="296" s="65">
      <c r="A296" s="1">
        <f>SUM(K296,M296,O296,Q296,S296,U296)</f>
        <v/>
      </c>
      <c r="C296" t="inlineStr">
        <is>
          <t>Aldi</t>
        </is>
      </c>
      <c r="D296" t="inlineStr">
        <is>
          <t>458197</t>
        </is>
      </c>
      <c r="E296" t="inlineStr">
        <is>
          <t>Sliced Sharp Ched</t>
        </is>
      </c>
      <c r="F296" t="inlineStr">
        <is>
          <t>NA</t>
        </is>
      </c>
      <c r="G296" t="inlineStr">
        <is>
          <t>238</t>
        </is>
      </c>
      <c r="H296" t="inlineStr">
        <is>
          <t>Sharp Cheddar Cheese</t>
        </is>
      </c>
      <c r="I296" t="inlineStr">
        <is>
          <t>Dairy</t>
        </is>
      </c>
      <c r="J296" s="2" t="n">
        <v>46299</v>
      </c>
      <c r="K296" s="1" t="n">
        <v>1.49</v>
      </c>
    </row>
    <row r="297" s="65">
      <c r="A297" s="1">
        <f>SUM(K297,M297,O297,Q297,S297,U297)</f>
        <v/>
      </c>
      <c r="C297" t="inlineStr">
        <is>
          <t>Aldi</t>
        </is>
      </c>
      <c r="D297" t="inlineStr">
        <is>
          <t>588438</t>
        </is>
      </c>
      <c r="E297" t="inlineStr">
        <is>
          <t>Cracker Cuts</t>
        </is>
      </c>
      <c r="F297" t="inlineStr">
        <is>
          <t>NA</t>
        </is>
      </c>
      <c r="G297" t="inlineStr">
        <is>
          <t>238</t>
        </is>
      </c>
      <c r="H297" t="inlineStr">
        <is>
          <t>Cracker Cuts</t>
        </is>
      </c>
      <c r="I297" t="inlineStr">
        <is>
          <t>Baking Ingredients</t>
        </is>
      </c>
      <c r="J297" s="2" t="n">
        <v>46299</v>
      </c>
      <c r="K297" s="1" t="n">
        <v>2.79</v>
      </c>
    </row>
    <row r="298" s="65">
      <c r="A298" s="1">
        <f>SUM(K298,M298,O298,Q298,S298,U298)</f>
        <v/>
      </c>
      <c r="C298" t="inlineStr">
        <is>
          <t>Aldi</t>
        </is>
      </c>
      <c r="D298" t="inlineStr">
        <is>
          <t>382193</t>
        </is>
      </c>
      <c r="E298" t="inlineStr">
        <is>
          <t>AssortStringCheese</t>
        </is>
      </c>
      <c r="F298" t="inlineStr">
        <is>
          <t>NA</t>
        </is>
      </c>
      <c r="G298" t="inlineStr">
        <is>
          <t>238</t>
        </is>
      </c>
      <c r="H298" t="inlineStr">
        <is>
          <t>String Cheese</t>
        </is>
      </c>
      <c r="I298" t="inlineStr">
        <is>
          <t>Dairy</t>
        </is>
      </c>
      <c r="J298" s="2" t="n">
        <v>46299</v>
      </c>
      <c r="K298" s="1" t="n">
        <v>3.09</v>
      </c>
    </row>
    <row r="299" s="65">
      <c r="A299" s="1">
        <f>SUM(K299,M299,O299,Q299,S299,U299)</f>
        <v/>
      </c>
      <c r="C299" t="inlineStr">
        <is>
          <t>Aldi</t>
        </is>
      </c>
      <c r="D299" t="inlineStr">
        <is>
          <t>382967</t>
        </is>
      </c>
      <c r="E299" t="inlineStr">
        <is>
          <t>Hellmanns Squeeze</t>
        </is>
      </c>
      <c r="F299" t="inlineStr">
        <is>
          <t>NA</t>
        </is>
      </c>
      <c r="G299" t="inlineStr">
        <is>
          <t>238</t>
        </is>
      </c>
      <c r="H299" t="inlineStr">
        <is>
          <t>Mayonnaise</t>
        </is>
      </c>
      <c r="I299" t="inlineStr">
        <is>
          <t>Dairy</t>
        </is>
      </c>
      <c r="J299" s="2" t="n">
        <v>46299</v>
      </c>
      <c r="K299" s="1" t="n">
        <v>6.52</v>
      </c>
    </row>
    <row r="300" s="65">
      <c r="A300" s="1">
        <f>SUM(K300,M300,O300,Q300,S300,U300)</f>
        <v/>
      </c>
      <c r="C300" t="inlineStr">
        <is>
          <t>Aldi</t>
        </is>
      </c>
      <c r="D300" t="inlineStr">
        <is>
          <t>262770</t>
        </is>
      </c>
      <c r="E300" t="inlineStr">
        <is>
          <t>Banana Organic LRW</t>
        </is>
      </c>
      <c r="F300" t="inlineStr">
        <is>
          <t>NA</t>
        </is>
      </c>
      <c r="G300" t="inlineStr">
        <is>
          <t>238</t>
        </is>
      </c>
      <c r="H300" t="inlineStr">
        <is>
          <t>Bananas</t>
        </is>
      </c>
      <c r="I300" t="inlineStr">
        <is>
          <t>Fresh Fruit</t>
        </is>
      </c>
      <c r="J300" s="2" t="n">
        <v>46299</v>
      </c>
      <c r="K300" s="1" t="n">
        <v>1.37</v>
      </c>
    </row>
    <row r="301" s="65">
      <c r="A301" s="1">
        <f>SUM(K301,M301,O301,Q301,S301,U301)</f>
        <v/>
      </c>
      <c r="C301" t="inlineStr">
        <is>
          <t>Aldi</t>
        </is>
      </c>
      <c r="D301" t="inlineStr">
        <is>
          <t>594711</t>
        </is>
      </c>
      <c r="E301" t="inlineStr">
        <is>
          <t>Cracker Cuts</t>
        </is>
      </c>
      <c r="F301" t="inlineStr">
        <is>
          <t>NA</t>
        </is>
      </c>
      <c r="G301" t="inlineStr">
        <is>
          <t>238</t>
        </is>
      </c>
      <c r="H301" t="inlineStr">
        <is>
          <t>Cracker Cuts</t>
        </is>
      </c>
      <c r="I301" t="inlineStr">
        <is>
          <t>Baking Ingredients</t>
        </is>
      </c>
      <c r="J301" s="2" t="n">
        <v>46299</v>
      </c>
      <c r="K301" s="1" t="n">
        <v>2.79</v>
      </c>
    </row>
    <row r="302" s="65">
      <c r="A302" s="1">
        <f>SUM(K302,M302,O302,Q302,S302,U302)</f>
        <v/>
      </c>
      <c r="C302" t="inlineStr">
        <is>
          <t>Aldi</t>
        </is>
      </c>
      <c r="D302" t="inlineStr">
        <is>
          <t>382475</t>
        </is>
      </c>
      <c r="E302" t="inlineStr">
        <is>
          <t>Mild Cheddar Shred</t>
        </is>
      </c>
      <c r="F302" t="inlineStr">
        <is>
          <t>NA</t>
        </is>
      </c>
      <c r="G302" t="inlineStr">
        <is>
          <t>238</t>
        </is>
      </c>
      <c r="H302" t="inlineStr">
        <is>
          <t>Cheddar Cheese</t>
        </is>
      </c>
      <c r="I302" t="inlineStr">
        <is>
          <t>Dairy</t>
        </is>
      </c>
      <c r="J302" s="2" t="n">
        <v>46299</v>
      </c>
      <c r="K302" s="1" t="n">
        <v>3.29</v>
      </c>
    </row>
    <row r="303" s="65">
      <c r="A303" s="1">
        <f>SUM(K303,M303,O303,Q303,S303,U303)</f>
        <v/>
      </c>
      <c r="C303" t="inlineStr">
        <is>
          <t>Aldi</t>
        </is>
      </c>
      <c r="D303" t="inlineStr">
        <is>
          <t>382728</t>
        </is>
      </c>
      <c r="E303" t="inlineStr">
        <is>
          <t>Canned Pumpkin</t>
        </is>
      </c>
      <c r="F303" t="inlineStr">
        <is>
          <t>NA</t>
        </is>
      </c>
      <c r="G303" t="inlineStr">
        <is>
          <t>238</t>
        </is>
      </c>
      <c r="H303" t="inlineStr">
        <is>
          <t>Pumpkin</t>
        </is>
      </c>
      <c r="I303" t="inlineStr">
        <is>
          <t>Produce</t>
        </is>
      </c>
      <c r="J303" s="2" t="n">
        <v>46299</v>
      </c>
      <c r="K303" s="1" t="n">
        <v>1.59</v>
      </c>
    </row>
    <row r="304" s="65">
      <c r="A304" s="1">
        <f>SUM(K304,M304,O304,Q304,S304,U304)</f>
        <v/>
      </c>
      <c r="C304" t="inlineStr">
        <is>
          <t>Aldi</t>
        </is>
      </c>
      <c r="D304" t="inlineStr">
        <is>
          <t>711313</t>
        </is>
      </c>
      <c r="E304" t="inlineStr">
        <is>
          <t>Crushed Chilies</t>
        </is>
      </c>
      <c r="F304" t="inlineStr">
        <is>
          <t>NA</t>
        </is>
      </c>
      <c r="G304" t="inlineStr">
        <is>
          <t>238</t>
        </is>
      </c>
      <c r="H304" t="inlineStr">
        <is>
          <t>Chilies</t>
        </is>
      </c>
      <c r="I304" t="inlineStr">
        <is>
          <t>Produce</t>
        </is>
      </c>
      <c r="J304" s="2" t="n">
        <v>46299</v>
      </c>
      <c r="K304" s="1" t="n">
        <v>0.99</v>
      </c>
    </row>
    <row r="305" s="65">
      <c r="A305" s="1">
        <f>SUM(K305,M305,O305,Q305,S305,U305)</f>
        <v/>
      </c>
      <c r="C305" t="inlineStr">
        <is>
          <t>Aldi</t>
        </is>
      </c>
      <c r="D305" t="inlineStr">
        <is>
          <t>383168</t>
        </is>
      </c>
      <c r="E305" t="inlineStr">
        <is>
          <t>White Corn Meal</t>
        </is>
      </c>
      <c r="F305" t="inlineStr">
        <is>
          <t>NA</t>
        </is>
      </c>
      <c r="G305" t="inlineStr">
        <is>
          <t>238</t>
        </is>
      </c>
      <c r="H305" t="inlineStr">
        <is>
          <t>Corn Meal</t>
        </is>
      </c>
      <c r="I305" t="inlineStr">
        <is>
          <t>Produce</t>
        </is>
      </c>
      <c r="J305" s="2" t="n">
        <v>46299</v>
      </c>
      <c r="K305" s="1" t="n">
        <v>2.85</v>
      </c>
    </row>
    <row r="306" s="65">
      <c r="A306" s="1">
        <f>SUM(K306,M306,O306,Q306,S306,U306)</f>
        <v/>
      </c>
      <c r="C306" t="inlineStr">
        <is>
          <t>Aldi</t>
        </is>
      </c>
      <c r="D306" t="inlineStr">
        <is>
          <t>399567</t>
        </is>
      </c>
      <c r="E306" t="inlineStr">
        <is>
          <t>1lb Turkey Tub</t>
        </is>
      </c>
      <c r="F306" t="inlineStr">
        <is>
          <t>NA</t>
        </is>
      </c>
      <c r="G306" t="inlineStr">
        <is>
          <t>238</t>
        </is>
      </c>
      <c r="H306" t="inlineStr">
        <is>
          <t>Turkey</t>
        </is>
      </c>
      <c r="I306" t="inlineStr">
        <is>
          <t>Meat</t>
        </is>
      </c>
      <c r="J306" s="2" t="n">
        <v>46299</v>
      </c>
      <c r="K306" s="1" t="n">
        <v>5.89</v>
      </c>
    </row>
  </sheetData>
  <autoFilter ref="A1:U3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65" min="1" max="1"/>
    <col width="28" customWidth="1" style="65" min="2" max="2"/>
    <col width="34" customWidth="1" style="65" min="3" max="3"/>
    <col width="34" customWidth="1" style="65" min="4" max="4"/>
    <col width="34" customWidth="1" style="65" min="5" max="5"/>
    <col width="34" customWidth="1" style="65" min="6" max="6"/>
    <col width="34" customWidth="1" style="65" min="7" max="7"/>
    <col width="34" customWidth="1" style="65" min="8" max="8"/>
    <col width="34" customWidth="1" style="65" min="9" max="9"/>
    <col width="34" customWidth="1" style="65" min="10" max="10"/>
    <col width="34" customWidth="1" style="65" min="11" max="11"/>
    <col width="34" customWidth="1" style="65" min="12" max="12"/>
    <col width="34" customWidth="1" style="65" min="13" max="13"/>
    <col width="34" customWidth="1" style="65" min="14" max="14"/>
    <col width="34" customWidth="1" style="65" min="15" max="15"/>
    <col width="34" customWidth="1" style="65" min="16" max="16"/>
    <col width="34" customWidth="1" style="65" min="17" max="17"/>
    <col width="34" customWidth="1" style="65" min="18" max="18"/>
    <col width="34" customWidth="1" style="65" min="19" max="19"/>
    <col width="34" customWidth="1" style="65" min="20" max="20"/>
    <col width="34" customWidth="1" style="65" min="21" max="21"/>
    <col width="34" customWidth="1" style="65" min="22" max="22"/>
    <col width="34" customWidth="1" style="65" min="23" max="23"/>
    <col width="34" customWidth="1" style="65" min="24" max="24"/>
    <col width="34" customWidth="1" style="65" min="25" max="25"/>
    <col width="34" customWidth="1" style="65" min="26" max="26"/>
    <col width="34" customWidth="1" style="65" min="27" max="27"/>
  </cols>
  <sheetData>
    <row r="1" ht="24" customHeight="1" s="65">
      <c r="A1" s="71" t="inlineStr">
        <is>
          <t>Category</t>
        </is>
      </c>
      <c r="B1" s="71" t="inlineStr">
        <is>
          <t>Sub-Category</t>
        </is>
      </c>
      <c r="C1" s="71" t="inlineStr">
        <is>
          <t>Product 1</t>
        </is>
      </c>
      <c r="D1" s="71" t="inlineStr">
        <is>
          <t>Product 2</t>
        </is>
      </c>
      <c r="E1" s="71" t="inlineStr">
        <is>
          <t>Product 3</t>
        </is>
      </c>
      <c r="F1" s="71" t="inlineStr">
        <is>
          <t>Product 4</t>
        </is>
      </c>
      <c r="G1" s="71" t="inlineStr">
        <is>
          <t>Product 5</t>
        </is>
      </c>
      <c r="H1" s="71" t="inlineStr">
        <is>
          <t>Product 6</t>
        </is>
      </c>
      <c r="I1" s="71" t="inlineStr">
        <is>
          <t>Product 7</t>
        </is>
      </c>
      <c r="J1" s="71" t="inlineStr">
        <is>
          <t>Product 8</t>
        </is>
      </c>
      <c r="K1" s="71" t="inlineStr">
        <is>
          <t>Product 9</t>
        </is>
      </c>
      <c r="L1" s="71" t="inlineStr">
        <is>
          <t>Product 10</t>
        </is>
      </c>
      <c r="M1" s="71" t="inlineStr">
        <is>
          <t>Product 11</t>
        </is>
      </c>
      <c r="N1" s="71" t="inlineStr">
        <is>
          <t>Product 12</t>
        </is>
      </c>
      <c r="O1" s="71" t="inlineStr">
        <is>
          <t>Product 13</t>
        </is>
      </c>
      <c r="P1" s="71" t="inlineStr">
        <is>
          <t>Product 14</t>
        </is>
      </c>
      <c r="Q1" s="71" t="inlineStr">
        <is>
          <t>Product 15</t>
        </is>
      </c>
      <c r="R1" s="71" t="inlineStr">
        <is>
          <t>Product 16</t>
        </is>
      </c>
      <c r="S1" s="71" t="inlineStr">
        <is>
          <t>Product 17</t>
        </is>
      </c>
      <c r="T1" s="71" t="inlineStr">
        <is>
          <t>Product 18</t>
        </is>
      </c>
      <c r="U1" s="71" t="inlineStr">
        <is>
          <t>Product 19</t>
        </is>
      </c>
      <c r="V1" s="71" t="inlineStr">
        <is>
          <t>Product 20</t>
        </is>
      </c>
      <c r="W1" s="71" t="inlineStr">
        <is>
          <t>Product 21</t>
        </is>
      </c>
      <c r="X1" s="71" t="inlineStr">
        <is>
          <t>Product 22</t>
        </is>
      </c>
      <c r="Y1" s="71" t="inlineStr">
        <is>
          <t>Product 23</t>
        </is>
      </c>
      <c r="Z1" s="71" t="inlineStr">
        <is>
          <t>Product 24</t>
        </is>
      </c>
      <c r="AA1" s="71" t="inlineStr">
        <is>
          <t>Product 25</t>
        </is>
      </c>
    </row>
    <row r="2" ht="36" customHeight="1" s="65">
      <c r="A2" s="72" t="inlineStr">
        <is>
          <t>Self Care</t>
        </is>
      </c>
      <c r="B2" s="72" t="inlineStr">
        <is>
          <t>Antacids</t>
        </is>
      </c>
      <c r="C2" s="73" t="inlineStr">
        <is>
          <t>Tums Chewy Bites Berry, 60 Count</t>
        </is>
      </c>
      <c r="D2" s="73" t="inlineStr">
        <is>
          <t>Tums Chewy Bites Ultra Strength Heartburn Relief Chews</t>
        </is>
      </c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</row>
    <row r="3" ht="36" customHeight="1" s="65">
      <c r="A3" s="74" t="inlineStr">
        <is>
          <t>Pantry</t>
        </is>
      </c>
      <c r="B3" s="74" t="inlineStr">
        <is>
          <t>Applesauce</t>
        </is>
      </c>
      <c r="C3" s="75" t="inlineStr">
        <is>
          <t>Mott's No Sugar Added Applesauce</t>
        </is>
      </c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  <c r="AA3" s="75" t="n"/>
    </row>
    <row r="4" ht="36" customHeight="1" s="65">
      <c r="A4" s="76" t="inlineStr">
        <is>
          <t>Baby Care</t>
        </is>
      </c>
      <c r="B4" s="76" t="inlineStr">
        <is>
          <t>Baby &amp; Toddler Food</t>
        </is>
      </c>
      <c r="C4" s="77" t="inlineStr">
        <is>
          <t>Once Upon a Farm Tractor Wheels Toddler Bars</t>
        </is>
      </c>
      <c r="D4" s="77" t="n"/>
      <c r="E4" s="77" t="n"/>
      <c r="F4" s="77" t="n"/>
      <c r="G4" s="77" t="n"/>
      <c r="H4" s="77" t="n"/>
      <c r="I4" s="77" t="n"/>
      <c r="J4" s="77" t="n"/>
      <c r="K4" s="77" t="n"/>
      <c r="L4" s="77" t="n"/>
      <c r="M4" s="77" t="n"/>
      <c r="N4" s="77" t="n"/>
      <c r="O4" s="77" t="n"/>
      <c r="P4" s="77" t="n"/>
      <c r="Q4" s="77" t="n"/>
      <c r="R4" s="77" t="n"/>
      <c r="S4" s="77" t="n"/>
      <c r="T4" s="77" t="n"/>
      <c r="U4" s="77" t="n"/>
      <c r="V4" s="77" t="n"/>
      <c r="W4" s="77" t="n"/>
      <c r="X4" s="77" t="n"/>
      <c r="Y4" s="77" t="n"/>
      <c r="Z4" s="77" t="n"/>
      <c r="AA4" s="77" t="n"/>
    </row>
    <row r="5" ht="36" customHeight="1" s="65">
      <c r="A5" s="78" t="inlineStr">
        <is>
          <t>Baby Care</t>
        </is>
      </c>
      <c r="B5" s="78" t="inlineStr">
        <is>
          <t>Baby Care</t>
        </is>
      </c>
      <c r="C5" s="79" t="inlineStr">
        <is>
          <t>CeraVe Baby Healing Ointment</t>
        </is>
      </c>
      <c r="D5" s="79" t="inlineStr">
        <is>
          <t>Desitin Maximum Strength Diaper Rash Cream</t>
        </is>
      </c>
      <c r="E5" s="79" t="inlineStr">
        <is>
          <t>Huggies Natural Care Baby Wipes</t>
        </is>
      </c>
      <c r="F5" s="79" t="inlineStr">
        <is>
          <t>Pampers Swaddlers Diapers</t>
        </is>
      </c>
      <c r="G5" s="79" t="inlineStr">
        <is>
          <t>Pampers Swaddlers Size 5 Diapers</t>
        </is>
      </c>
      <c r="H5" s="79" t="inlineStr">
        <is>
          <t>Safety 1st Soft Grip Brush &amp; Comb</t>
        </is>
      </c>
      <c r="I5" s="79" t="n"/>
      <c r="J5" s="79" t="n"/>
      <c r="K5" s="79" t="n"/>
      <c r="L5" s="79" t="n"/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  <c r="AA5" s="79" t="n"/>
    </row>
    <row r="6" ht="36" customHeight="1" s="65">
      <c r="A6" s="80" t="inlineStr">
        <is>
          <t>Bakery</t>
        </is>
      </c>
      <c r="B6" s="80" t="inlineStr">
        <is>
          <t>Bakery</t>
        </is>
      </c>
      <c r="C6" s="81" t="inlineStr">
        <is>
          <t>Cosmic Brownies</t>
        </is>
      </c>
      <c r="D6" s="81" t="inlineStr">
        <is>
          <t>Waffle</t>
        </is>
      </c>
      <c r="E6" s="81" t="n"/>
      <c r="F6" s="81" t="n"/>
      <c r="G6" s="81" t="n"/>
      <c r="H6" s="81" t="n"/>
      <c r="I6" s="81" t="n"/>
      <c r="J6" s="81" t="n"/>
      <c r="K6" s="81" t="n"/>
      <c r="L6" s="81" t="n"/>
      <c r="M6" s="81" t="n"/>
      <c r="N6" s="81" t="n"/>
      <c r="O6" s="81" t="n"/>
      <c r="P6" s="81" t="n"/>
      <c r="Q6" s="81" t="n"/>
      <c r="R6" s="81" t="n"/>
      <c r="S6" s="81" t="n"/>
      <c r="T6" s="81" t="n"/>
      <c r="U6" s="81" t="n"/>
      <c r="V6" s="81" t="n"/>
      <c r="W6" s="81" t="n"/>
      <c r="X6" s="81" t="n"/>
      <c r="Y6" s="81" t="n"/>
      <c r="Z6" s="81" t="n"/>
      <c r="AA6" s="81" t="n"/>
    </row>
    <row r="7" ht="36" customHeight="1" s="65">
      <c r="A7" s="82" t="inlineStr">
        <is>
          <t>Pantry</t>
        </is>
      </c>
      <c r="B7" s="82" t="inlineStr">
        <is>
          <t>Baking Ingredients</t>
        </is>
      </c>
      <c r="C7" s="83" t="inlineStr">
        <is>
          <t>Coffee</t>
        </is>
      </c>
      <c r="D7" s="83" t="inlineStr">
        <is>
          <t>Cracker Cuts</t>
        </is>
      </c>
      <c r="E7" s="83" t="inlineStr">
        <is>
          <t>Eco-Bags</t>
        </is>
      </c>
      <c r="F7" s="83" t="inlineStr">
        <is>
          <t>Flour Bread</t>
        </is>
      </c>
      <c r="G7" s="83" t="inlineStr">
        <is>
          <t>King Arthur Unbleached Bread Flour, 10 lb</t>
        </is>
      </c>
      <c r="H7" s="83" t="inlineStr">
        <is>
          <t>Nestle Toll House Allergen-Free Dark Chocolate Baking Chips</t>
        </is>
      </c>
      <c r="I7" s="83" t="inlineStr">
        <is>
          <t>Nestle Toll House Dark Chocolate Baking Chips</t>
        </is>
      </c>
      <c r="J7" s="83" t="inlineStr">
        <is>
          <t>PB Toast Crackers</t>
        </is>
      </c>
      <c r="K7" s="83" t="inlineStr">
        <is>
          <t>Pure Maple Syrup</t>
        </is>
      </c>
      <c r="L7" s="83" t="inlineStr">
        <is>
          <t>Wheat Tortillas</t>
        </is>
      </c>
      <c r="M7" s="83" t="n"/>
      <c r="N7" s="83" t="n"/>
      <c r="O7" s="83" t="n"/>
      <c r="P7" s="83" t="n"/>
      <c r="Q7" s="83" t="n"/>
      <c r="R7" s="83" t="n"/>
      <c r="S7" s="83" t="n"/>
      <c r="T7" s="83" t="n"/>
      <c r="U7" s="83" t="n"/>
      <c r="V7" s="83" t="n"/>
      <c r="W7" s="83" t="n"/>
      <c r="X7" s="83" t="n"/>
      <c r="Y7" s="83" t="n"/>
      <c r="Z7" s="83" t="n"/>
      <c r="AA7" s="83" t="n"/>
    </row>
    <row r="8" ht="36" customHeight="1" s="65">
      <c r="A8" s="72" t="inlineStr">
        <is>
          <t>Dessert</t>
        </is>
      </c>
      <c r="B8" s="72" t="inlineStr">
        <is>
          <t>Baking Mixes</t>
        </is>
      </c>
      <c r="C8" s="73" t="inlineStr">
        <is>
          <t>Brownie</t>
        </is>
      </c>
      <c r="D8" s="73" t="inlineStr">
        <is>
          <t>Ghirardelli Gluten-Free Double Chocolate Brownie Mix</t>
        </is>
      </c>
      <c r="E8" s="73" t="inlineStr">
        <is>
          <t>King Arthur Gluten-Free Pancake Mix</t>
        </is>
      </c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</row>
    <row r="9" ht="36" customHeight="1" s="65">
      <c r="A9" s="74" t="inlineStr">
        <is>
          <t>Balloons</t>
        </is>
      </c>
      <c r="B9" s="74" t="inlineStr">
        <is>
          <t>Balloons</t>
        </is>
      </c>
      <c r="C9" s="75" t="inlineStr">
        <is>
          <t>18-Inch Mylar Balloon</t>
        </is>
      </c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</row>
    <row r="10" ht="36" customHeight="1" s="65">
      <c r="A10" s="76" t="inlineStr">
        <is>
          <t>Alcohol</t>
        </is>
      </c>
      <c r="B10" s="76" t="inlineStr">
        <is>
          <t>Beer</t>
        </is>
      </c>
      <c r="C10" s="77" t="inlineStr">
        <is>
          <t>Busch American Lager Beer</t>
        </is>
      </c>
      <c r="D10" s="77" t="n"/>
      <c r="E10" s="77" t="n"/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</row>
    <row r="11" ht="36" customHeight="1" s="65">
      <c r="A11" s="78" t="inlineStr">
        <is>
          <t>Toiletries, Cleaning and Disposables</t>
        </is>
      </c>
      <c r="B11" s="78" t="inlineStr">
        <is>
          <t>Body Wash</t>
        </is>
      </c>
      <c r="C11" s="79" t="inlineStr">
        <is>
          <t>Dove Sensitive Skin Body Wash</t>
        </is>
      </c>
      <c r="D11" s="79" t="n"/>
      <c r="E11" s="79" t="n"/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  <c r="O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</row>
    <row r="12" ht="36" customHeight="1" s="65">
      <c r="A12" s="80" t="inlineStr">
        <is>
          <t>Bakery</t>
        </is>
      </c>
      <c r="B12" s="80" t="inlineStr">
        <is>
          <t>Bread</t>
        </is>
      </c>
      <c r="C12" s="81" t="inlineStr">
        <is>
          <t>Artisanal Buns</t>
        </is>
      </c>
      <c r="D12" s="81" t="inlineStr">
        <is>
          <t>Ball Park White Hot Dog Buns</t>
        </is>
      </c>
      <c r="E12" s="81" t="inlineStr">
        <is>
          <t>Dave's Killer Bread Oats &amp; Blues</t>
        </is>
      </c>
      <c r="F12" s="81" t="inlineStr">
        <is>
          <t>Dave's Killer Bread Organic Oats &amp; Blues</t>
        </is>
      </c>
      <c r="G12" s="81" t="inlineStr">
        <is>
          <t>Gluten-Free Wide Pan Bread</t>
        </is>
      </c>
      <c r="H12" s="81" t="inlineStr">
        <is>
          <t>No [or possibly Nature's Own] Honey Wheat Bread</t>
        </is>
      </c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  <c r="AA12" s="81" t="n"/>
    </row>
    <row r="13" ht="36" customHeight="1" s="65">
      <c r="A13" s="82" t="inlineStr">
        <is>
          <t>Pantry</t>
        </is>
      </c>
      <c r="B13" s="82" t="inlineStr">
        <is>
          <t>Broth &amp; Stock</t>
        </is>
      </c>
      <c r="C13" s="83" t="inlineStr">
        <is>
          <t>Progresso Vegetable Broth</t>
        </is>
      </c>
      <c r="D13" s="83" t="inlineStr">
        <is>
          <t>Tabatchnick Classic Chicken Broth</t>
        </is>
      </c>
      <c r="E13" s="83" t="n"/>
      <c r="F13" s="83" t="n"/>
      <c r="G13" s="83" t="n"/>
      <c r="H13" s="83" t="n"/>
      <c r="I13" s="83" t="n"/>
      <c r="J13" s="83" t="n"/>
      <c r="K13" s="83" t="n"/>
      <c r="L13" s="83" t="n"/>
      <c r="M13" s="83" t="n"/>
      <c r="N13" s="83" t="n"/>
      <c r="O13" s="83" t="n"/>
      <c r="P13" s="83" t="n"/>
      <c r="Q13" s="83" t="n"/>
      <c r="R13" s="83" t="n"/>
      <c r="S13" s="83" t="n"/>
      <c r="T13" s="83" t="n"/>
      <c r="U13" s="83" t="n"/>
      <c r="V13" s="83" t="n"/>
      <c r="W13" s="83" t="n"/>
      <c r="X13" s="83" t="n"/>
      <c r="Y13" s="83" t="n"/>
      <c r="Z13" s="83" t="n"/>
      <c r="AA13" s="83" t="n"/>
    </row>
    <row r="14" ht="36" customHeight="1" s="65">
      <c r="A14" s="72" t="inlineStr">
        <is>
          <t>Cakes &amp; Pies</t>
        </is>
      </c>
      <c r="B14" s="72" t="inlineStr">
        <is>
          <t>Cakes &amp; Pies</t>
        </is>
      </c>
      <c r="C14" s="73" t="inlineStr">
        <is>
          <t>GreenWise Flourless Chocolate Truffle</t>
        </is>
      </c>
      <c r="D14" s="73" t="inlineStr">
        <is>
          <t>Mini Pumpkin Cream Cheese Pie</t>
        </is>
      </c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</row>
    <row r="15" ht="36" customHeight="1" s="65">
      <c r="A15" s="74" t="inlineStr">
        <is>
          <t>Pantry</t>
        </is>
      </c>
      <c r="B15" s="74" t="inlineStr">
        <is>
          <t>Canned Beans &amp; Legumes</t>
        </is>
      </c>
      <c r="C15" s="75" t="inlineStr">
        <is>
          <t>Dark Red Kidney Beans</t>
        </is>
      </c>
      <c r="D15" s="75" t="inlineStr">
        <is>
          <t>Organic Chickpeas</t>
        </is>
      </c>
      <c r="E15" s="75" t="inlineStr">
        <is>
          <t>White Beans</t>
        </is>
      </c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  <c r="AA15" s="75" t="n"/>
    </row>
    <row r="16" ht="36" customHeight="1" s="65">
      <c r="A16" s="76" t="inlineStr">
        <is>
          <t>Pantry</t>
        </is>
      </c>
      <c r="B16" s="76" t="inlineStr">
        <is>
          <t>Canned Tomatoes</t>
        </is>
      </c>
      <c r="C16" s="77" t="inlineStr">
        <is>
          <t>Hunt's Crushed Tomatoes</t>
        </is>
      </c>
      <c r="D16" s="77" t="inlineStr">
        <is>
          <t>Hunt's Tomato Paste</t>
        </is>
      </c>
      <c r="E16" s="77" t="n"/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</row>
    <row r="17" ht="36" customHeight="1" s="65">
      <c r="A17" s="78" t="inlineStr">
        <is>
          <t>Pets</t>
        </is>
      </c>
      <c r="B17" s="78" t="inlineStr">
        <is>
          <t>Cat Litter</t>
        </is>
      </c>
      <c r="C17" s="79" t="inlineStr">
        <is>
          <t>Purina Tidy Cats Clumping Cat Litter</t>
        </is>
      </c>
      <c r="D17" s="79" t="inlineStr">
        <is>
          <t>Purina Tidy Cats Free &amp; Clean Clumping Cat Litter</t>
        </is>
      </c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</row>
    <row r="18" ht="36" customHeight="1" s="65">
      <c r="A18" s="80" t="inlineStr">
        <is>
          <t>Dairy</t>
        </is>
      </c>
      <c r="B18" s="80" t="inlineStr">
        <is>
          <t>Cheese</t>
        </is>
      </c>
      <c r="C18" s="81" t="inlineStr">
        <is>
          <t>Cabot Mexican Shredded Cheese</t>
        </is>
      </c>
      <c r="D18" s="81" t="inlineStr">
        <is>
          <t>Cracker Barrel Cracker Cuts Variety Pack</t>
        </is>
      </c>
      <c r="E18" s="81" t="inlineStr">
        <is>
          <t>Deli-Sliced Cheese</t>
        </is>
      </c>
      <c r="F18" s="81" t="inlineStr">
        <is>
          <t>Deli-Sliced Colby Jack Cheese</t>
        </is>
      </c>
      <c r="G18" s="81" t="inlineStr">
        <is>
          <t>Farmhouse Ranch Cheddar</t>
        </is>
      </c>
      <c r="H18" s="81" t="inlineStr">
        <is>
          <t>Shredded Mozzarella Cheese</t>
        </is>
      </c>
      <c r="I18" s="81" t="n"/>
      <c r="J18" s="81" t="n"/>
      <c r="K18" s="81" t="n"/>
      <c r="L18" s="81" t="n"/>
      <c r="M18" s="81" t="n"/>
      <c r="N18" s="81" t="n"/>
      <c r="O18" s="81" t="n"/>
      <c r="P18" s="81" t="n"/>
      <c r="Q18" s="81" t="n"/>
      <c r="R18" s="81" t="n"/>
      <c r="S18" s="81" t="n"/>
      <c r="T18" s="81" t="n"/>
      <c r="U18" s="81" t="n"/>
      <c r="V18" s="81" t="n"/>
      <c r="W18" s="81" t="n"/>
      <c r="X18" s="81" t="n"/>
      <c r="Y18" s="81" t="n"/>
      <c r="Z18" s="81" t="n"/>
      <c r="AA18" s="81" t="n"/>
    </row>
    <row r="19" ht="36" customHeight="1" s="65">
      <c r="A19" s="82" t="inlineStr">
        <is>
          <t>Dairy</t>
        </is>
      </c>
      <c r="B19" s="82" t="inlineStr">
        <is>
          <t>Coffee Creamer</t>
        </is>
      </c>
      <c r="C19" s="83" t="inlineStr">
        <is>
          <t>Starbucks Oatmilk Brown Sugar Creamer</t>
        </is>
      </c>
      <c r="D19" s="83" t="n"/>
      <c r="E19" s="83" t="n"/>
      <c r="F19" s="83" t="n"/>
      <c r="G19" s="83" t="n"/>
      <c r="H19" s="83" t="n"/>
      <c r="I19" s="83" t="n"/>
      <c r="J19" s="83" t="n"/>
      <c r="K19" s="83" t="n"/>
      <c r="L19" s="83" t="n"/>
      <c r="M19" s="83" t="n"/>
      <c r="N19" s="83" t="n"/>
      <c r="O19" s="83" t="n"/>
      <c r="P19" s="83" t="n"/>
      <c r="Q19" s="83" t="n"/>
      <c r="R19" s="83" t="n"/>
      <c r="S19" s="83" t="n"/>
      <c r="T19" s="83" t="n"/>
      <c r="U19" s="83" t="n"/>
      <c r="V19" s="83" t="n"/>
      <c r="W19" s="83" t="n"/>
      <c r="X19" s="83" t="n"/>
      <c r="Y19" s="83" t="n"/>
      <c r="Z19" s="83" t="n"/>
      <c r="AA19" s="83" t="n"/>
    </row>
    <row r="20" ht="36" customHeight="1" s="65">
      <c r="A20" s="72" t="inlineStr">
        <is>
          <t>Contribution</t>
        </is>
      </c>
      <c r="B20" s="72" t="inlineStr">
        <is>
          <t>Contribution Shared Payment</t>
        </is>
      </c>
      <c r="C20" s="73" t="inlineStr">
        <is>
          <t>Contribution</t>
        </is>
      </c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</row>
    <row r="21" ht="36" customHeight="1" s="65">
      <c r="A21" s="74" t="inlineStr">
        <is>
          <t>Dessert</t>
        </is>
      </c>
      <c r="B21" s="74" t="inlineStr">
        <is>
          <t>Cookies</t>
        </is>
      </c>
      <c r="C21" s="75" t="inlineStr">
        <is>
          <t>Half Moon Cookies</t>
        </is>
      </c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</row>
    <row r="22" ht="36" customHeight="1" s="65">
      <c r="A22" s="76" t="inlineStr">
        <is>
          <t>Pantry</t>
        </is>
      </c>
      <c r="B22" s="76" t="inlineStr">
        <is>
          <t>Crackers</t>
        </is>
      </c>
      <c r="C22" s="77" t="inlineStr">
        <is>
          <t>Peanut Butter Toast Crackers</t>
        </is>
      </c>
      <c r="D22" s="77" t="n"/>
      <c r="E22" s="77" t="n"/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</row>
    <row r="23" ht="36" customHeight="1" s="65">
      <c r="A23" s="78" t="inlineStr">
        <is>
          <t>Dairy</t>
        </is>
      </c>
      <c r="B23" s="78" t="inlineStr">
        <is>
          <t>Cream &amp; Half-and-Half</t>
        </is>
      </c>
      <c r="C23" s="79" t="inlineStr">
        <is>
          <t>Great Value Half &amp; Half</t>
        </is>
      </c>
      <c r="D23" s="79" t="inlineStr">
        <is>
          <t>Great Value Heavy Whipping Cream</t>
        </is>
      </c>
      <c r="E23" s="79" t="inlineStr">
        <is>
          <t>Publix Half &amp; Half, Half Gallon</t>
        </is>
      </c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</row>
    <row r="24" ht="36" customHeight="1" s="65">
      <c r="A24" s="80" t="inlineStr">
        <is>
          <t>Dairy</t>
        </is>
      </c>
      <c r="B24" s="80" t="inlineStr">
        <is>
          <t>Cream Cheese</t>
        </is>
      </c>
      <c r="C24" s="81" t="inlineStr">
        <is>
          <t>Pumpkin Cream Cheese</t>
        </is>
      </c>
      <c r="D24" s="81" t="n"/>
      <c r="E24" s="81" t="n"/>
      <c r="F24" s="81" t="n"/>
      <c r="G24" s="81" t="n"/>
      <c r="H24" s="81" t="n"/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81" t="n"/>
      <c r="V24" s="81" t="n"/>
      <c r="W24" s="81" t="n"/>
      <c r="X24" s="81" t="n"/>
      <c r="Y24" s="81" t="n"/>
      <c r="Z24" s="81" t="n"/>
      <c r="AA24" s="81" t="n"/>
    </row>
    <row r="25" ht="36" customHeight="1" s="65">
      <c r="A25" s="82" t="inlineStr">
        <is>
          <t>Pantry</t>
        </is>
      </c>
      <c r="B25" s="82" t="inlineStr">
        <is>
          <t>Croutons</t>
        </is>
      </c>
      <c r="C25" s="83" t="inlineStr">
        <is>
          <t>Organic Croutons</t>
        </is>
      </c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83" t="n"/>
      <c r="O25" s="83" t="n"/>
      <c r="P25" s="83" t="n"/>
      <c r="Q25" s="83" t="n"/>
      <c r="R25" s="83" t="n"/>
      <c r="S25" s="83" t="n"/>
      <c r="T25" s="83" t="n"/>
      <c r="U25" s="83" t="n"/>
      <c r="V25" s="83" t="n"/>
      <c r="W25" s="83" t="n"/>
      <c r="X25" s="83" t="n"/>
      <c r="Y25" s="83" t="n"/>
      <c r="Z25" s="83" t="n"/>
      <c r="AA25" s="83" t="n"/>
    </row>
    <row r="26" ht="36" customHeight="1" s="65">
      <c r="A26" s="72" t="inlineStr">
        <is>
          <t>Dairy</t>
        </is>
      </c>
      <c r="B26" s="72" t="inlineStr">
        <is>
          <t>Dairy</t>
        </is>
      </c>
      <c r="C26" s="73" t="inlineStr">
        <is>
          <t>Cheddar Cheese</t>
        </is>
      </c>
      <c r="D26" s="73" t="inlineStr">
        <is>
          <t>Feta Cheese</t>
        </is>
      </c>
      <c r="E26" s="73" t="inlineStr">
        <is>
          <t>Mayonnaise</t>
        </is>
      </c>
      <c r="F26" s="73" t="inlineStr">
        <is>
          <t>Sharp Cheddar Cheese</t>
        </is>
      </c>
      <c r="G26" s="73" t="inlineStr">
        <is>
          <t>String Cheese</t>
        </is>
      </c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  <c r="AA26" s="73" t="n"/>
    </row>
    <row r="27" ht="36" customHeight="1" s="65">
      <c r="A27" s="74" t="inlineStr">
        <is>
          <t>Meat</t>
        </is>
      </c>
      <c r="B27" s="74" t="inlineStr">
        <is>
          <t>Deli Meat</t>
        </is>
      </c>
      <c r="C27" s="75" t="inlineStr">
        <is>
          <t>Hillshire Farm Oven Roasted Turkey Breast</t>
        </is>
      </c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</row>
    <row r="28" ht="36" customHeight="1" s="65">
      <c r="A28" s="76" t="inlineStr">
        <is>
          <t>Toiletries, Cleaning and Disposables</t>
        </is>
      </c>
      <c r="B28" s="76" t="inlineStr">
        <is>
          <t>Deodorant</t>
        </is>
      </c>
      <c r="C28" s="77" t="inlineStr">
        <is>
          <t>Dove Men+Care Antiperspirant</t>
        </is>
      </c>
      <c r="D28" s="77" t="n"/>
      <c r="E28" s="77" t="n"/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</row>
    <row r="29" ht="36" customHeight="1" s="65">
      <c r="A29" s="78" t="inlineStr">
        <is>
          <t>Condiments &amp; Seasonings</t>
        </is>
      </c>
      <c r="B29" s="78" t="inlineStr">
        <is>
          <t>Dips &amp; Spreads</t>
        </is>
      </c>
      <c r="C29" s="79" t="inlineStr">
        <is>
          <t>Hummus Mini Cups</t>
        </is>
      </c>
      <c r="D29" s="79" t="inlineStr">
        <is>
          <t>Mighty Sesame Organic Tahini</t>
        </is>
      </c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</row>
    <row r="30" ht="36" customHeight="1" s="65">
      <c r="A30" s="80" t="inlineStr">
        <is>
          <t>Toiletries, Cleaning and Disposables</t>
        </is>
      </c>
      <c r="B30" s="80" t="inlineStr">
        <is>
          <t>Dishwashing Supplies</t>
        </is>
      </c>
      <c r="C30" s="81" t="inlineStr">
        <is>
          <t>Dawn Dish Cleaning Brush Wand</t>
        </is>
      </c>
      <c r="D30" s="81" t="inlineStr">
        <is>
          <t>Mainstays Kitchen Scrubber Dishcloth Set, 4-Pack</t>
        </is>
      </c>
      <c r="E30" s="81" t="n"/>
      <c r="F30" s="81" t="n"/>
      <c r="G30" s="81" t="n"/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</row>
    <row r="31" ht="36" customHeight="1" s="65">
      <c r="A31" s="82" t="inlineStr">
        <is>
          <t>Toiletries, Cleaning and Disposables</t>
        </is>
      </c>
      <c r="B31" s="82" t="inlineStr">
        <is>
          <t>Disposable Tableware</t>
        </is>
      </c>
      <c r="C31" s="83" t="inlineStr">
        <is>
          <t>Everyday Paper Plates, 8.5 Inch</t>
        </is>
      </c>
      <c r="D31" s="83" t="inlineStr">
        <is>
          <t>Great Value Paper Plates, 8.5 Inch</t>
        </is>
      </c>
      <c r="E31" s="83" t="n"/>
      <c r="F31" s="83" t="n"/>
      <c r="G31" s="83" t="n"/>
      <c r="H31" s="83" t="n"/>
      <c r="I31" s="83" t="n"/>
      <c r="J31" s="83" t="n"/>
      <c r="K31" s="83" t="n"/>
      <c r="L31" s="83" t="n"/>
      <c r="M31" s="83" t="n"/>
      <c r="N31" s="83" t="n"/>
      <c r="O31" s="83" t="n"/>
      <c r="P31" s="83" t="n"/>
      <c r="Q31" s="83" t="n"/>
      <c r="R31" s="83" t="n"/>
      <c r="S31" s="83" t="n"/>
      <c r="T31" s="83" t="n"/>
      <c r="U31" s="83" t="n"/>
      <c r="V31" s="83" t="n"/>
      <c r="W31" s="83" t="n"/>
      <c r="X31" s="83" t="n"/>
      <c r="Y31" s="83" t="n"/>
      <c r="Z31" s="83" t="n"/>
      <c r="AA31" s="83" t="n"/>
    </row>
    <row r="32" ht="36" customHeight="1" s="65">
      <c r="A32" s="72" t="inlineStr">
        <is>
          <t>Produce</t>
        </is>
      </c>
      <c r="B32" s="72" t="inlineStr">
        <is>
          <t>Dried Fruit</t>
        </is>
      </c>
      <c r="C32" s="73" t="inlineStr">
        <is>
          <t>Ocean Spray Craisins</t>
        </is>
      </c>
      <c r="D32" s="73" t="inlineStr">
        <is>
          <t>Sun-Maid Golden Raisins</t>
        </is>
      </c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  <c r="AA32" s="73" t="n"/>
    </row>
    <row r="33" ht="36" customHeight="1" s="65">
      <c r="A33" s="74" t="inlineStr">
        <is>
          <t>Eggs</t>
        </is>
      </c>
      <c r="B33" s="74" t="inlineStr">
        <is>
          <t>Eggs</t>
        </is>
      </c>
      <c r="C33" s="75" t="inlineStr">
        <is>
          <t>Great Value Large White Eggs</t>
        </is>
      </c>
      <c r="D33" s="75" t="inlineStr">
        <is>
          <t>Large Eggs</t>
        </is>
      </c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</row>
    <row r="34" ht="36" customHeight="1" s="65">
      <c r="A34" s="76" t="inlineStr">
        <is>
          <t>Fees</t>
        </is>
      </c>
      <c r="B34" s="76" t="inlineStr">
        <is>
          <t>Fees &amp; Charges</t>
        </is>
      </c>
      <c r="C34" s="77" t="inlineStr">
        <is>
          <t>Driver Tip</t>
        </is>
      </c>
      <c r="D34" s="77" t="inlineStr">
        <is>
          <t>Express Delivery Fee</t>
        </is>
      </c>
      <c r="E34" s="77" t="inlineStr">
        <is>
          <t>Price Adjustment</t>
        </is>
      </c>
      <c r="F34" s="77" t="inlineStr">
        <is>
          <t>Sales Tax</t>
        </is>
      </c>
      <c r="G34" s="77" t="inlineStr">
        <is>
          <t>Tax</t>
        </is>
      </c>
      <c r="H34" s="77" t="inlineStr">
        <is>
          <t>Tip</t>
        </is>
      </c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</row>
    <row r="35" ht="36" customHeight="1" s="65">
      <c r="A35" s="78" t="inlineStr">
        <is>
          <t>Toiletries, Cleaning and Disposables</t>
        </is>
      </c>
      <c r="B35" s="78" t="inlineStr">
        <is>
          <t>Food Storage</t>
        </is>
      </c>
      <c r="C35" s="79" t="inlineStr">
        <is>
          <t>Ziploc Gallon Freezer Bags</t>
        </is>
      </c>
      <c r="D35" s="79" t="inlineStr">
        <is>
          <t>Ziploc Quart Freezer Bags</t>
        </is>
      </c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  <c r="AA35" s="79" t="n"/>
    </row>
    <row r="36" ht="36" customHeight="1" s="65">
      <c r="A36" s="80" t="inlineStr">
        <is>
          <t>Meat</t>
        </is>
      </c>
      <c r="B36" s="80" t="inlineStr">
        <is>
          <t>Fresh Beef</t>
        </is>
      </c>
      <c r="C36" s="81" t="inlineStr">
        <is>
          <t>Kosher Ground Beef 85/15</t>
        </is>
      </c>
      <c r="D36" s="81" t="n"/>
      <c r="E36" s="81" t="n"/>
      <c r="F36" s="81" t="n"/>
      <c r="G36" s="81" t="n"/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</row>
    <row r="37" ht="36" customHeight="1" s="65">
      <c r="A37" s="82" t="inlineStr">
        <is>
          <t>Produce</t>
        </is>
      </c>
      <c r="B37" s="82" t="inlineStr">
        <is>
          <t>Fresh Fruit</t>
        </is>
      </c>
      <c r="C37" s="83" t="inlineStr">
        <is>
          <t>Bananas</t>
        </is>
      </c>
      <c r="D37" s="83" t="inlineStr">
        <is>
          <t>Bartlett Pears</t>
        </is>
      </c>
      <c r="E37" s="83" t="inlineStr">
        <is>
          <t>Blueberries</t>
        </is>
      </c>
      <c r="F37" s="83" t="inlineStr">
        <is>
          <t>Golden Kiwi</t>
        </is>
      </c>
      <c r="G37" s="83" t="inlineStr">
        <is>
          <t>Green Grapes</t>
        </is>
      </c>
      <c r="H37" s="83" t="inlineStr">
        <is>
          <t>Mandarin Oranges</t>
        </is>
      </c>
      <c r="I37" s="83" t="inlineStr">
        <is>
          <t>Mandarins</t>
        </is>
      </c>
      <c r="J37" s="83" t="inlineStr">
        <is>
          <t>Mango</t>
        </is>
      </c>
      <c r="K37" s="83" t="inlineStr">
        <is>
          <t>Mini Seedless Watermelon</t>
        </is>
      </c>
      <c r="L37" s="83" t="inlineStr">
        <is>
          <t>Persian Limes</t>
        </is>
      </c>
      <c r="M37" s="83" t="inlineStr">
        <is>
          <t>Pink Lady Apples</t>
        </is>
      </c>
      <c r="N37" s="83" t="inlineStr">
        <is>
          <t>Raspberries</t>
        </is>
      </c>
      <c r="O37" s="83" t="inlineStr">
        <is>
          <t>Strawberries</t>
        </is>
      </c>
      <c r="P37" s="83" t="inlineStr">
        <is>
          <t>Strawberries, 1 lb</t>
        </is>
      </c>
      <c r="Q37" s="83" t="n"/>
      <c r="R37" s="83" t="n"/>
      <c r="S37" s="83" t="n"/>
      <c r="T37" s="83" t="n"/>
      <c r="U37" s="83" t="n"/>
      <c r="V37" s="83" t="n"/>
      <c r="W37" s="83" t="n"/>
      <c r="X37" s="83" t="n"/>
      <c r="Y37" s="83" t="n"/>
      <c r="Z37" s="83" t="n"/>
      <c r="AA37" s="83" t="n"/>
    </row>
    <row r="38" ht="36" customHeight="1" s="65">
      <c r="A38" s="72" t="inlineStr">
        <is>
          <t>Produce</t>
        </is>
      </c>
      <c r="B38" s="72" t="inlineStr">
        <is>
          <t>Fresh Herbs</t>
        </is>
      </c>
      <c r="C38" s="73" t="inlineStr">
        <is>
          <t>Basil</t>
        </is>
      </c>
      <c r="D38" s="73" t="inlineStr">
        <is>
          <t>Cilantro</t>
        </is>
      </c>
      <c r="E38" s="73" t="inlineStr">
        <is>
          <t>Parsley</t>
        </is>
      </c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</row>
    <row r="39" ht="36" customHeight="1" s="65">
      <c r="A39" s="74" t="inlineStr">
        <is>
          <t>Meat</t>
        </is>
      </c>
      <c r="B39" s="74" t="inlineStr">
        <is>
          <t>Fresh Poultry</t>
        </is>
      </c>
      <c r="C39" s="75" t="inlineStr">
        <is>
          <t>Empire Kosher Boneless Skinless Chicken Breast</t>
        </is>
      </c>
      <c r="D39" s="75" t="inlineStr">
        <is>
          <t>Empire Kosher Ground Turkey</t>
        </is>
      </c>
      <c r="E39" s="75" t="inlineStr">
        <is>
          <t>Empire Kosher Turkey Half</t>
        </is>
      </c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</row>
    <row r="40" ht="36" customHeight="1" s="65">
      <c r="A40" s="76" t="inlineStr">
        <is>
          <t>Fish</t>
        </is>
      </c>
      <c r="B40" s="76" t="inlineStr">
        <is>
          <t>Fresh Seafood</t>
        </is>
      </c>
      <c r="C40" s="77" t="inlineStr">
        <is>
          <t>GreenWise Keta Salmon Fillet</t>
        </is>
      </c>
      <c r="D40" s="77" t="inlineStr">
        <is>
          <t>Salmon Fillet</t>
        </is>
      </c>
      <c r="E40" s="77" t="inlineStr">
        <is>
          <t>Salmon Portions</t>
        </is>
      </c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</row>
    <row r="41" ht="36" customHeight="1" s="65">
      <c r="A41" s="78" t="inlineStr">
        <is>
          <t>Produce</t>
        </is>
      </c>
      <c r="B41" s="78" t="inlineStr">
        <is>
          <t>Fresh Vegetables</t>
        </is>
      </c>
      <c r="C41" s="79" t="inlineStr">
        <is>
          <t>Baby Carrots</t>
        </is>
      </c>
      <c r="D41" s="79" t="inlineStr">
        <is>
          <t>Beefsteak Tomatoes</t>
        </is>
      </c>
      <c r="E41" s="79" t="inlineStr">
        <is>
          <t>Bell Peppers</t>
        </is>
      </c>
      <c r="F41" s="79" t="inlineStr">
        <is>
          <t>Broccoli Crowns</t>
        </is>
      </c>
      <c r="G41" s="79" t="inlineStr">
        <is>
          <t>Fresh Trimmed Green Beans</t>
        </is>
      </c>
      <c r="H41" s="79" t="inlineStr">
        <is>
          <t>Green Beans</t>
        </is>
      </c>
      <c r="I41" s="79" t="inlineStr">
        <is>
          <t>Green Onions</t>
        </is>
      </c>
      <c r="J41" s="79" t="inlineStr">
        <is>
          <t>Little Yellow Potatoes</t>
        </is>
      </c>
      <c r="K41" s="79" t="inlineStr">
        <is>
          <t>Marketside Baby Spinach</t>
        </is>
      </c>
      <c r="L41" s="79" t="inlineStr">
        <is>
          <t>Marketside Broccoli Florets</t>
        </is>
      </c>
      <c r="M41" s="79" t="inlineStr">
        <is>
          <t>Marketside Organic Baby Carrots</t>
        </is>
      </c>
      <c r="N41" s="79" t="inlineStr">
        <is>
          <t>Medley Potatoes</t>
        </is>
      </c>
      <c r="O41" s="79" t="inlineStr">
        <is>
          <t>Mini Cucumbers</t>
        </is>
      </c>
      <c r="P41" s="79" t="inlineStr">
        <is>
          <t>Multi-Color Peppers, 3-Pack</t>
        </is>
      </c>
      <c r="Q41" s="79" t="inlineStr">
        <is>
          <t>Organic Celery Hearts</t>
        </is>
      </c>
      <c r="R41" s="79" t="inlineStr">
        <is>
          <t>Organic Kale</t>
        </is>
      </c>
      <c r="S41" s="79" t="inlineStr">
        <is>
          <t>Red Onion</t>
        </is>
      </c>
      <c r="T41" s="79" t="inlineStr">
        <is>
          <t>Red Onions</t>
        </is>
      </c>
      <c r="U41" s="79" t="inlineStr">
        <is>
          <t>Red Potatoes</t>
        </is>
      </c>
      <c r="V41" s="79" t="inlineStr">
        <is>
          <t>Ruby Sensation Potato Nibbles</t>
        </is>
      </c>
      <c r="W41" s="79" t="inlineStr">
        <is>
          <t>Spice World Fresh Peeled Garlic</t>
        </is>
      </c>
      <c r="X41" s="79" t="inlineStr">
        <is>
          <t>Sweet Onion</t>
        </is>
      </c>
      <c r="Y41" s="79" t="inlineStr">
        <is>
          <t>Tomatoes on the Vine</t>
        </is>
      </c>
      <c r="Z41" s="79" t="inlineStr">
        <is>
          <t>Yellow Squash</t>
        </is>
      </c>
      <c r="AA41" s="79" t="inlineStr">
        <is>
          <t>Zucchini</t>
        </is>
      </c>
    </row>
    <row r="42" ht="36" customHeight="1" s="65">
      <c r="A42" s="80" t="inlineStr">
        <is>
          <t>Produce</t>
        </is>
      </c>
      <c r="B42" s="80" t="inlineStr">
        <is>
          <t>Fresh-Cut Fruit</t>
        </is>
      </c>
      <c r="C42" s="81" t="inlineStr">
        <is>
          <t>Pineapple &amp; Watermelon Spears</t>
        </is>
      </c>
      <c r="D42" s="81" t="inlineStr">
        <is>
          <t>Seedless Watermelon Wedge</t>
        </is>
      </c>
      <c r="E42" s="81" t="n"/>
      <c r="F42" s="81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1" t="n"/>
      <c r="W42" s="81" t="n"/>
      <c r="X42" s="81" t="n"/>
      <c r="Y42" s="81" t="n"/>
      <c r="Z42" s="81" t="n"/>
      <c r="AA42" s="81" t="n"/>
    </row>
    <row r="43" ht="36" customHeight="1" s="65">
      <c r="A43" s="82" t="inlineStr">
        <is>
          <t>Frozen Food</t>
        </is>
      </c>
      <c r="B43" s="82" t="inlineStr">
        <is>
          <t>Frozen Appetizers</t>
        </is>
      </c>
      <c r="C43" s="83" t="inlineStr">
        <is>
          <t>Black Bean &amp; Cheese Taquitos</t>
        </is>
      </c>
      <c r="D43" s="83" t="n"/>
      <c r="E43" s="83" t="n"/>
      <c r="F43" s="83" t="n"/>
      <c r="G43" s="83" t="n"/>
      <c r="H43" s="83" t="n"/>
      <c r="I43" s="83" t="n"/>
      <c r="J43" s="83" t="n"/>
      <c r="K43" s="83" t="n"/>
      <c r="L43" s="83" t="n"/>
      <c r="M43" s="83" t="n"/>
      <c r="N43" s="83" t="n"/>
      <c r="O43" s="83" t="n"/>
      <c r="P43" s="83" t="n"/>
      <c r="Q43" s="83" t="n"/>
      <c r="R43" s="83" t="n"/>
      <c r="S43" s="83" t="n"/>
      <c r="T43" s="83" t="n"/>
      <c r="U43" s="83" t="n"/>
      <c r="V43" s="83" t="n"/>
      <c r="W43" s="83" t="n"/>
      <c r="X43" s="83" t="n"/>
      <c r="Y43" s="83" t="n"/>
      <c r="Z43" s="83" t="n"/>
      <c r="AA43" s="83" t="n"/>
    </row>
    <row r="44" ht="36" customHeight="1" s="65">
      <c r="A44" s="72" t="inlineStr">
        <is>
          <t>Frozen</t>
        </is>
      </c>
      <c r="B44" s="72" t="inlineStr">
        <is>
          <t>Frozen Breakfast</t>
        </is>
      </c>
      <c r="C44" s="73" t="inlineStr">
        <is>
          <t>Van's Gluten Free Blueberry Waffles</t>
        </is>
      </c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</row>
    <row r="45" ht="36" customHeight="1" s="65">
      <c r="A45" s="74" t="inlineStr">
        <is>
          <t>Dessert</t>
        </is>
      </c>
      <c r="B45" s="74" t="inlineStr">
        <is>
          <t>Frozen Desserts</t>
        </is>
      </c>
      <c r="C45" s="75" t="inlineStr">
        <is>
          <t>Klondike Double Chocolate Bar</t>
        </is>
      </c>
      <c r="D45" s="75" t="inlineStr">
        <is>
          <t>Yasso Greek Yogurt Bars, Coffee Chocolate Chip</t>
        </is>
      </c>
      <c r="E45" s="75" t="inlineStr">
        <is>
          <t>Yasso Greek Yogurt Bars, Mint Chocolate Chip</t>
        </is>
      </c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</row>
    <row r="46" ht="36" customHeight="1" s="65">
      <c r="A46" s="76" t="inlineStr">
        <is>
          <t>Meat</t>
        </is>
      </c>
      <c r="B46" s="76" t="inlineStr">
        <is>
          <t>Frozen Meat</t>
        </is>
      </c>
      <c r="C46" s="77" t="inlineStr">
        <is>
          <t>Applegate Chicken &amp; Maple Breakfast Sausage</t>
        </is>
      </c>
      <c r="D46" s="77" t="n"/>
      <c r="E46" s="77" t="n"/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</row>
    <row r="47" ht="36" customHeight="1" s="65">
      <c r="A47" s="78" t="inlineStr">
        <is>
          <t>Frozen Food</t>
        </is>
      </c>
      <c r="B47" s="78" t="inlineStr">
        <is>
          <t>Frozen Pizza</t>
        </is>
      </c>
      <c r="C47" s="79" t="inlineStr">
        <is>
          <t>Cauliflower Crust Pizza</t>
        </is>
      </c>
      <c r="D47" s="79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</row>
    <row r="48" ht="36" customHeight="1" s="65">
      <c r="A48" s="80" t="inlineStr">
        <is>
          <t>Frozen Food</t>
        </is>
      </c>
      <c r="B48" s="80" t="inlineStr">
        <is>
          <t>Frozen Vegetables</t>
        </is>
      </c>
      <c r="C48" s="81" t="inlineStr">
        <is>
          <t>Birds Eye Steamfresh Sweet Peas</t>
        </is>
      </c>
      <c r="D48" s="81" t="n"/>
      <c r="E48" s="81" t="n"/>
      <c r="F48" s="81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1" t="n"/>
      <c r="V48" s="81" t="n"/>
      <c r="W48" s="81" t="n"/>
      <c r="X48" s="81" t="n"/>
      <c r="Y48" s="81" t="n"/>
      <c r="Z48" s="81" t="n"/>
      <c r="AA48" s="81" t="n"/>
    </row>
    <row r="49" ht="36" customHeight="1" s="65">
      <c r="A49" s="82" t="inlineStr">
        <is>
          <t>Self Care</t>
        </is>
      </c>
      <c r="B49" s="82" t="inlineStr">
        <is>
          <t>Hair Care</t>
        </is>
      </c>
      <c r="C49" s="83" t="inlineStr">
        <is>
          <t>Head &amp; Shoulders</t>
        </is>
      </c>
      <c r="D49" s="83" t="inlineStr">
        <is>
          <t>Honest Company Conditioning Detangler</t>
        </is>
      </c>
      <c r="E49" s="83" t="n"/>
      <c r="F49" s="83" t="n"/>
      <c r="G49" s="83" t="n"/>
      <c r="H49" s="83" t="n"/>
      <c r="I49" s="83" t="n"/>
      <c r="J49" s="83" t="n"/>
      <c r="K49" s="83" t="n"/>
      <c r="L49" s="83" t="n"/>
      <c r="M49" s="83" t="n"/>
      <c r="N49" s="83" t="n"/>
      <c r="O49" s="83" t="n"/>
      <c r="P49" s="83" t="n"/>
      <c r="Q49" s="83" t="n"/>
      <c r="R49" s="83" t="n"/>
      <c r="S49" s="83" t="n"/>
      <c r="T49" s="83" t="n"/>
      <c r="U49" s="83" t="n"/>
      <c r="V49" s="83" t="n"/>
      <c r="W49" s="83" t="n"/>
      <c r="X49" s="83" t="n"/>
      <c r="Y49" s="83" t="n"/>
      <c r="Z49" s="83" t="n"/>
      <c r="AA49" s="83" t="n"/>
    </row>
    <row r="50" ht="36" customHeight="1" s="65">
      <c r="A50" s="72" t="inlineStr">
        <is>
          <t>Toiletries, Cleaning and Disposables</t>
        </is>
      </c>
      <c r="B50" s="72" t="inlineStr">
        <is>
          <t>Hand Soap</t>
        </is>
      </c>
      <c r="C50" s="73" t="inlineStr">
        <is>
          <t>Mrs. Meyer's Lemon Verbena Hand Soap</t>
        </is>
      </c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</row>
    <row r="51" ht="36" customHeight="1" s="65">
      <c r="A51" s="74" t="inlineStr">
        <is>
          <t>Home Improvement</t>
        </is>
      </c>
      <c r="B51" s="74" t="inlineStr">
        <is>
          <t>Home Improvement</t>
        </is>
      </c>
      <c r="C51" s="75" t="inlineStr">
        <is>
          <t>Command Heavy Duty Picture Hangers</t>
        </is>
      </c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  <c r="AA51" s="75" t="n"/>
    </row>
    <row r="52" ht="36" customHeight="1" s="65">
      <c r="A52" s="76" t="inlineStr">
        <is>
          <t>Meat</t>
        </is>
      </c>
      <c r="B52" s="76" t="inlineStr">
        <is>
          <t>Hot Dogs &amp; Sausages</t>
        </is>
      </c>
      <c r="C52" s="77" t="inlineStr">
        <is>
          <t>Hebrew National Beef Franks</t>
        </is>
      </c>
      <c r="D52" s="77" t="inlineStr">
        <is>
          <t>Hebrew National Bun Length Beef Franks</t>
        </is>
      </c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</row>
    <row r="53" ht="36" customHeight="1" s="65">
      <c r="A53" s="78" t="inlineStr">
        <is>
          <t>Toiletries, Cleaning and Disposables</t>
        </is>
      </c>
      <c r="B53" s="78" t="inlineStr">
        <is>
          <t>Household Cleaners</t>
        </is>
      </c>
      <c r="C53" s="79" t="inlineStr">
        <is>
          <t>Swiffer Sweep + Mop Dry Pads Refill</t>
        </is>
      </c>
      <c r="D53" s="79" t="inlineStr">
        <is>
          <t>Weiman Granite &amp; Stone Cleaner &amp; Polish</t>
        </is>
      </c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</row>
    <row r="54" ht="36" customHeight="1" s="65">
      <c r="A54" s="80" t="inlineStr">
        <is>
          <t>Pantry</t>
        </is>
      </c>
      <c r="B54" s="80" t="inlineStr">
        <is>
          <t>Jarred Vegetables</t>
        </is>
      </c>
      <c r="C54" s="81" t="inlineStr">
        <is>
          <t>Fire Roasted Red Peppers</t>
        </is>
      </c>
      <c r="D54" s="81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</row>
    <row r="55" ht="36" customHeight="1" s="65">
      <c r="A55" s="82" t="inlineStr">
        <is>
          <t>Torah</t>
        </is>
      </c>
      <c r="B55" s="82" t="inlineStr">
        <is>
          <t>Judaica</t>
        </is>
      </c>
      <c r="C55" s="83" t="inlineStr">
        <is>
          <t>Yehuda Sabbath Candles</t>
        </is>
      </c>
      <c r="D55" s="83" t="n"/>
      <c r="E55" s="83" t="n"/>
      <c r="F55" s="83" t="n"/>
      <c r="G55" s="83" t="n"/>
      <c r="H55" s="83" t="n"/>
      <c r="I55" s="83" t="n"/>
      <c r="J55" s="83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3" t="n"/>
      <c r="U55" s="83" t="n"/>
      <c r="V55" s="83" t="n"/>
      <c r="W55" s="83" t="n"/>
      <c r="X55" s="83" t="n"/>
      <c r="Y55" s="83" t="n"/>
      <c r="Z55" s="83" t="n"/>
      <c r="AA55" s="83" t="n"/>
    </row>
    <row r="56" ht="36" customHeight="1" s="65">
      <c r="A56" s="72" t="inlineStr">
        <is>
          <t>Pantry</t>
        </is>
      </c>
      <c r="B56" s="72" t="inlineStr">
        <is>
          <t>Macaroni &amp; Cheese</t>
        </is>
      </c>
      <c r="C56" s="73" t="inlineStr">
        <is>
          <t>Annie's Gluten-Free Deluxe Shells &amp; Cheddar</t>
        </is>
      </c>
      <c r="D56" s="73" t="inlineStr">
        <is>
          <t>Banza White Cheddar Shells</t>
        </is>
      </c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</row>
    <row r="57" ht="36" customHeight="1" s="65">
      <c r="A57" s="74" t="inlineStr">
        <is>
          <t>Meat</t>
        </is>
      </c>
      <c r="B57" s="74" t="inlineStr">
        <is>
          <t>Meat</t>
        </is>
      </c>
      <c r="C57" s="75" t="inlineStr">
        <is>
          <t>Turkey</t>
        </is>
      </c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  <c r="AA57" s="75" t="n"/>
    </row>
    <row r="58" ht="36" customHeight="1" s="65">
      <c r="A58" s="76" t="inlineStr">
        <is>
          <t>Dairy</t>
        </is>
      </c>
      <c r="B58" s="76" t="inlineStr">
        <is>
          <t>Milk</t>
        </is>
      </c>
      <c r="C58" s="77" t="inlineStr">
        <is>
          <t>Fairlife Chocolate Milk</t>
        </is>
      </c>
      <c r="D58" s="77" t="n"/>
      <c r="E58" s="77" t="n"/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</row>
    <row r="59" ht="36" customHeight="1" s="65">
      <c r="A59" s="78" t="inlineStr">
        <is>
          <t>Bakery</t>
        </is>
      </c>
      <c r="B59" s="78" t="inlineStr">
        <is>
          <t>Muffins &amp; Pastries</t>
        </is>
      </c>
      <c r="C59" s="79" t="inlineStr">
        <is>
          <t>Chocolate Babka</t>
        </is>
      </c>
      <c r="D59" s="79" t="inlineStr">
        <is>
          <t>Gluten-Free Blueberry Muffins</t>
        </is>
      </c>
      <c r="E59" s="79" t="n"/>
      <c r="F59" s="79" t="n"/>
      <c r="G59" s="79" t="n"/>
      <c r="H59" s="79" t="n"/>
      <c r="I59" s="79" t="n"/>
      <c r="J59" s="79" t="n"/>
      <c r="K59" s="79" t="n"/>
      <c r="L59" s="79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  <c r="AA59" s="79" t="n"/>
    </row>
    <row r="60" ht="36" customHeight="1" s="65">
      <c r="A60" s="80" t="inlineStr">
        <is>
          <t>Toiletries, Cleaning and Disposables</t>
        </is>
      </c>
      <c r="B60" s="80" t="inlineStr">
        <is>
          <t>Paper Towels</t>
        </is>
      </c>
      <c r="C60" s="81" t="inlineStr">
        <is>
          <t>Paper Towels, 2-Roll</t>
        </is>
      </c>
      <c r="D60" s="81" t="n"/>
      <c r="E60" s="81" t="n"/>
      <c r="F60" s="81" t="n"/>
      <c r="G60" s="81" t="n"/>
      <c r="H60" s="81" t="n"/>
      <c r="I60" s="81" t="n"/>
      <c r="J60" s="81" t="n"/>
      <c r="K60" s="81" t="n"/>
      <c r="L60" s="81" t="n"/>
      <c r="M60" s="81" t="n"/>
      <c r="N60" s="81" t="n"/>
      <c r="O60" s="81" t="n"/>
      <c r="P60" s="81" t="n"/>
      <c r="Q60" s="81" t="n"/>
      <c r="R60" s="81" t="n"/>
      <c r="S60" s="81" t="n"/>
      <c r="T60" s="81" t="n"/>
      <c r="U60" s="81" t="n"/>
      <c r="V60" s="81" t="n"/>
      <c r="W60" s="81" t="n"/>
      <c r="X60" s="81" t="n"/>
      <c r="Y60" s="81" t="n"/>
      <c r="Z60" s="81" t="n"/>
      <c r="AA60" s="81" t="n"/>
    </row>
    <row r="61" ht="36" customHeight="1" s="65">
      <c r="A61" s="82" t="inlineStr">
        <is>
          <t>Pantry</t>
        </is>
      </c>
      <c r="B61" s="82" t="inlineStr">
        <is>
          <t>Pasta</t>
        </is>
      </c>
      <c r="C61" s="83" t="inlineStr">
        <is>
          <t>Barilla Gluten-Free Spaghetti</t>
        </is>
      </c>
      <c r="D61" s="83" t="inlineStr">
        <is>
          <t>Chickpea Fusilli Pasta</t>
        </is>
      </c>
      <c r="E61" s="83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83" t="n"/>
      <c r="P61" s="83" t="n"/>
      <c r="Q61" s="83" t="n"/>
      <c r="R61" s="83" t="n"/>
      <c r="S61" s="83" t="n"/>
      <c r="T61" s="83" t="n"/>
      <c r="U61" s="83" t="n"/>
      <c r="V61" s="83" t="n"/>
      <c r="W61" s="83" t="n"/>
      <c r="X61" s="83" t="n"/>
      <c r="Y61" s="83" t="n"/>
      <c r="Z61" s="83" t="n"/>
      <c r="AA61" s="83" t="n"/>
    </row>
    <row r="62" ht="36" customHeight="1" s="65">
      <c r="A62" s="72" t="inlineStr">
        <is>
          <t>Pantry</t>
        </is>
      </c>
      <c r="B62" s="72" t="inlineStr">
        <is>
          <t>Peanut Butter</t>
        </is>
      </c>
      <c r="C62" s="73" t="inlineStr">
        <is>
          <t>Jif No Sugar Added Creamy Peanut Butter</t>
        </is>
      </c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</row>
    <row r="63" ht="36" customHeight="1" s="65">
      <c r="A63" s="74" t="inlineStr">
        <is>
          <t>Dairy</t>
        </is>
      </c>
      <c r="B63" s="74" t="inlineStr">
        <is>
          <t>Plant-Based Cheese</t>
        </is>
      </c>
      <c r="C63" s="75" t="inlineStr">
        <is>
          <t>Daiya Mexican Blend Shreds</t>
        </is>
      </c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</row>
    <row r="64" ht="36" customHeight="1" s="65">
      <c r="A64" s="76" t="inlineStr">
        <is>
          <t>Dairy</t>
        </is>
      </c>
      <c r="B64" s="76" t="inlineStr">
        <is>
          <t>Plant-Based Milk</t>
        </is>
      </c>
      <c r="C64" s="77" t="inlineStr">
        <is>
          <t>Chobani Extra Creamy Oatmilk</t>
        </is>
      </c>
      <c r="D64" s="77" t="inlineStr">
        <is>
          <t>Silk Organic Unsweet Soymilk, Half Gallon</t>
        </is>
      </c>
      <c r="E64" s="77" t="n"/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</row>
    <row r="65" ht="36" customHeight="1" s="65">
      <c r="A65" s="78" t="inlineStr">
        <is>
          <t>Pantry</t>
        </is>
      </c>
      <c r="B65" s="78" t="inlineStr">
        <is>
          <t>Popcorn</t>
        </is>
      </c>
      <c r="C65" s="79" t="inlineStr">
        <is>
          <t>LesserEvil Popcorn</t>
        </is>
      </c>
      <c r="D65" s="79" t="inlineStr">
        <is>
          <t>LesserEvil Sweet &amp; Salty Popcorn</t>
        </is>
      </c>
      <c r="E65" s="79" t="n"/>
      <c r="F65" s="79" t="n"/>
      <c r="G65" s="79" t="n"/>
      <c r="H65" s="79" t="n"/>
      <c r="I65" s="79" t="n"/>
      <c r="J65" s="79" t="n"/>
      <c r="K65" s="79" t="n"/>
      <c r="L65" s="79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  <c r="AA65" s="79" t="n"/>
    </row>
    <row r="66" ht="36" customHeight="1" s="65">
      <c r="A66" s="80" t="inlineStr">
        <is>
          <t>Prepared Eating</t>
        </is>
      </c>
      <c r="B66" s="80" t="inlineStr">
        <is>
          <t>Prepared Coffee</t>
        </is>
      </c>
      <c r="C66" s="81" t="inlineStr">
        <is>
          <t>1 Caramel Macchiato</t>
        </is>
      </c>
      <c r="D66" s="81" t="inlineStr">
        <is>
          <t>1 Iced Caramel Macchiato</t>
        </is>
      </c>
      <c r="E66" s="81" t="n"/>
      <c r="F66" s="81" t="n"/>
      <c r="G66" s="81" t="n"/>
      <c r="H66" s="81" t="n"/>
      <c r="I66" s="81" t="n"/>
      <c r="J66" s="81" t="n"/>
      <c r="K66" s="81" t="n"/>
      <c r="L66" s="81" t="n"/>
      <c r="M66" s="81" t="n"/>
      <c r="N66" s="81" t="n"/>
      <c r="O66" s="81" t="n"/>
      <c r="P66" s="81" t="n"/>
      <c r="Q66" s="81" t="n"/>
      <c r="R66" s="81" t="n"/>
      <c r="S66" s="81" t="n"/>
      <c r="T66" s="81" t="n"/>
      <c r="U66" s="81" t="n"/>
      <c r="V66" s="81" t="n"/>
      <c r="W66" s="81" t="n"/>
      <c r="X66" s="81" t="n"/>
      <c r="Y66" s="81" t="n"/>
      <c r="Z66" s="81" t="n"/>
      <c r="AA66" s="81" t="n"/>
    </row>
    <row r="67" ht="36" customHeight="1" s="65">
      <c r="A67" s="82" t="inlineStr">
        <is>
          <t>Prepared Eating</t>
        </is>
      </c>
      <c r="B67" s="82" t="inlineStr">
        <is>
          <t>Prepared Meals</t>
        </is>
      </c>
      <c r="C67" s="83" t="inlineStr">
        <is>
          <t>1 Chicken N French Toast</t>
        </is>
      </c>
      <c r="D67" s="83" t="inlineStr">
        <is>
          <t>1 Frenchy Plate</t>
        </is>
      </c>
      <c r="E67" s="83" t="inlineStr">
        <is>
          <t>Arctic Cyclone</t>
        </is>
      </c>
      <c r="F67" s="83" t="inlineStr">
        <is>
          <t>Cage-Free Scrambled Eggs</t>
        </is>
      </c>
      <c r="G67" s="83" t="inlineStr">
        <is>
          <t>Hot Fudge</t>
        </is>
      </c>
      <c r="H67" s="83" t="inlineStr">
        <is>
          <t>Papa John's Large NY Style 1-Topping Pizza</t>
        </is>
      </c>
      <c r="I67" s="83" t="inlineStr">
        <is>
          <t>Papa John's Pizza, Wings &amp; Cheesesticks</t>
        </is>
      </c>
      <c r="J67" s="83" t="inlineStr">
        <is>
          <t>Pineapple Dole Whip Cup</t>
        </is>
      </c>
      <c r="K67" s="83" t="n"/>
      <c r="L67" s="83" t="n"/>
      <c r="M67" s="83" t="n"/>
      <c r="N67" s="83" t="n"/>
      <c r="O67" s="83" t="n"/>
      <c r="P67" s="83" t="n"/>
      <c r="Q67" s="83" t="n"/>
      <c r="R67" s="83" t="n"/>
      <c r="S67" s="83" t="n"/>
      <c r="T67" s="83" t="n"/>
      <c r="U67" s="83" t="n"/>
      <c r="V67" s="83" t="n"/>
      <c r="W67" s="83" t="n"/>
      <c r="X67" s="83" t="n"/>
      <c r="Y67" s="83" t="n"/>
      <c r="Z67" s="83" t="n"/>
      <c r="AA67" s="83" t="n"/>
    </row>
    <row r="68" ht="36" customHeight="1" s="65">
      <c r="A68" s="72" t="inlineStr">
        <is>
          <t>Produce</t>
        </is>
      </c>
      <c r="B68" s="72" t="inlineStr">
        <is>
          <t>Produce</t>
        </is>
      </c>
      <c r="C68" s="73" t="inlineStr">
        <is>
          <t>Brussels Sprouts</t>
        </is>
      </c>
      <c r="D68" s="73" t="inlineStr">
        <is>
          <t>Chickpeas</t>
        </is>
      </c>
      <c r="E68" s="73" t="inlineStr">
        <is>
          <t>Chilies</t>
        </is>
      </c>
      <c r="F68" s="73" t="inlineStr">
        <is>
          <t>Corn Meal</t>
        </is>
      </c>
      <c r="G68" s="73" t="inlineStr">
        <is>
          <t>Garlic</t>
        </is>
      </c>
      <c r="H68" s="73" t="inlineStr">
        <is>
          <t>Hash Brown Patties</t>
        </is>
      </c>
      <c r="I68" s="73" t="inlineStr">
        <is>
          <t>Lemon</t>
        </is>
      </c>
      <c r="J68" s="73" t="inlineStr">
        <is>
          <t>Onion</t>
        </is>
      </c>
      <c r="K68" s="73" t="inlineStr">
        <is>
          <t>Pint</t>
        </is>
      </c>
      <c r="L68" s="73" t="inlineStr">
        <is>
          <t>Pumpkin</t>
        </is>
      </c>
      <c r="M68" s="73" t="inlineStr">
        <is>
          <t>Spaghetti Squash</t>
        </is>
      </c>
      <c r="N68" s="73" t="inlineStr">
        <is>
          <t>Tomato</t>
        </is>
      </c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</row>
    <row r="69" ht="36" customHeight="1" s="65">
      <c r="A69" s="74" t="inlineStr">
        <is>
          <t>Dessert</t>
        </is>
      </c>
      <c r="B69" s="74" t="inlineStr">
        <is>
          <t>Refrigerated Dough</t>
        </is>
      </c>
      <c r="C69" s="75" t="inlineStr">
        <is>
          <t>Pillsbury Flaky Biscuits</t>
        </is>
      </c>
      <c r="D69" s="75" t="inlineStr">
        <is>
          <t>Sweet Loren's Gluten Free Brownie Cookie Dough</t>
        </is>
      </c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</row>
    <row r="70" ht="36" customHeight="1" s="65">
      <c r="A70" s="76" t="inlineStr">
        <is>
          <t>Pantry</t>
        </is>
      </c>
      <c r="B70" s="76" t="inlineStr">
        <is>
          <t>Refrigerated Pasta</t>
        </is>
      </c>
      <c r="C70" s="77" t="inlineStr">
        <is>
          <t>Giovanni Rana Cheese Tortellini</t>
        </is>
      </c>
      <c r="D70" s="77" t="inlineStr">
        <is>
          <t>Giovanni Rana Tortellini</t>
        </is>
      </c>
      <c r="E70" s="77" t="n"/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</row>
    <row r="71" ht="36" customHeight="1" s="65">
      <c r="A71" s="78" t="inlineStr">
        <is>
          <t>Pantry</t>
        </is>
      </c>
      <c r="B71" s="78" t="inlineStr">
        <is>
          <t>Rice &amp; Grains</t>
        </is>
      </c>
      <c r="C71" s="79" t="inlineStr">
        <is>
          <t>Jasmine Rice</t>
        </is>
      </c>
      <c r="D71" s="79" t="inlineStr">
        <is>
          <t>Mahatma Jasmine Rice</t>
        </is>
      </c>
      <c r="E71" s="79" t="n"/>
      <c r="F71" s="79" t="n"/>
      <c r="G71" s="79" t="n"/>
      <c r="H71" s="79" t="n"/>
      <c r="I71" s="79" t="n"/>
      <c r="J71" s="79" t="n"/>
      <c r="K71" s="79" t="n"/>
      <c r="L71" s="79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  <c r="AA71" s="79" t="n"/>
    </row>
    <row r="72" ht="36" customHeight="1" s="65">
      <c r="A72" s="80" t="inlineStr">
        <is>
          <t>Pantry</t>
        </is>
      </c>
      <c r="B72" s="80" t="inlineStr">
        <is>
          <t>Rice Cakes &amp; Crisps</t>
        </is>
      </c>
      <c r="C72" s="81" t="inlineStr">
        <is>
          <t>Quaker Rice Crisps Apple Cinnamon</t>
        </is>
      </c>
      <c r="D72" s="81" t="inlineStr">
        <is>
          <t>Quaker Rice Crisps Chocolate</t>
        </is>
      </c>
      <c r="E72" s="81" t="n"/>
      <c r="F72" s="81" t="n"/>
      <c r="G72" s="81" t="n"/>
      <c r="H72" s="81" t="n"/>
      <c r="I72" s="81" t="n"/>
      <c r="J72" s="81" t="n"/>
      <c r="K72" s="81" t="n"/>
      <c r="L72" s="81" t="n"/>
      <c r="M72" s="81" t="n"/>
      <c r="N72" s="81" t="n"/>
      <c r="O72" s="81" t="n"/>
      <c r="P72" s="81" t="n"/>
      <c r="Q72" s="81" t="n"/>
      <c r="R72" s="81" t="n"/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</row>
    <row r="73" ht="36" customHeight="1" s="65">
      <c r="A73" s="82" t="inlineStr">
        <is>
          <t>Pantry</t>
        </is>
      </c>
      <c r="B73" s="82" t="inlineStr">
        <is>
          <t>Salad Dressing</t>
        </is>
      </c>
      <c r="C73" s="83" t="inlineStr">
        <is>
          <t>Vinaigrette Dressing</t>
        </is>
      </c>
      <c r="D73" s="83" t="n"/>
      <c r="E73" s="83" t="n"/>
      <c r="F73" s="83" t="n"/>
      <c r="G73" s="83" t="n"/>
      <c r="H73" s="83" t="n"/>
      <c r="I73" s="83" t="n"/>
      <c r="J73" s="83" t="n"/>
      <c r="K73" s="83" t="n"/>
      <c r="L73" s="83" t="n"/>
      <c r="M73" s="83" t="n"/>
      <c r="N73" s="83" t="n"/>
      <c r="O73" s="83" t="n"/>
      <c r="P73" s="83" t="n"/>
      <c r="Q73" s="83" t="n"/>
      <c r="R73" s="83" t="n"/>
      <c r="S73" s="83" t="n"/>
      <c r="T73" s="83" t="n"/>
      <c r="U73" s="83" t="n"/>
      <c r="V73" s="83" t="n"/>
      <c r="W73" s="83" t="n"/>
      <c r="X73" s="83" t="n"/>
      <c r="Y73" s="83" t="n"/>
      <c r="Z73" s="83" t="n"/>
      <c r="AA73" s="83" t="n"/>
    </row>
    <row r="74" ht="36" customHeight="1" s="65">
      <c r="A74" s="72" t="inlineStr">
        <is>
          <t>Produce</t>
        </is>
      </c>
      <c r="B74" s="72" t="inlineStr">
        <is>
          <t>Salad Kits</t>
        </is>
      </c>
      <c r="C74" s="73" t="inlineStr">
        <is>
          <t>Complete Sweet Kale Salad Kit</t>
        </is>
      </c>
      <c r="D74" s="73" t="inlineStr">
        <is>
          <t>Fresh Express Avocado Twisted Caesar Chopped Salad Kit</t>
        </is>
      </c>
      <c r="E74" s="73" t="inlineStr">
        <is>
          <t>Marketside Classic Italian Salad Kit</t>
        </is>
      </c>
      <c r="F74" s="73" t="inlineStr">
        <is>
          <t>Publix Makoto Ginger Salad</t>
        </is>
      </c>
      <c r="G74" s="73" t="inlineStr">
        <is>
          <t>Publix True Bleu Salad Kit</t>
        </is>
      </c>
      <c r="H74" s="73" t="inlineStr">
        <is>
          <t>Taylor Farms Chopped Caesar Salad Kit</t>
        </is>
      </c>
      <c r="I74" s="73" t="inlineStr">
        <is>
          <t>Taylor Farms Everything Chopped Salad Kit</t>
        </is>
      </c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</row>
    <row r="75" ht="36" customHeight="1" s="65">
      <c r="A75" s="74" t="inlineStr">
        <is>
          <t>Condiments &amp; Seasonings</t>
        </is>
      </c>
      <c r="B75" s="74" t="inlineStr">
        <is>
          <t>Sauces &amp; Condiments</t>
        </is>
      </c>
      <c r="C75" s="75" t="inlineStr">
        <is>
          <t>Cholula Cremosa Cilantro Lime Sauce</t>
        </is>
      </c>
      <c r="D75" s="75" t="inlineStr">
        <is>
          <t>Kikkoman Teriyaki Marinade &amp; Sauce</t>
        </is>
      </c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  <c r="AA75" s="75" t="n"/>
    </row>
    <row r="76" ht="36" customHeight="1" s="65">
      <c r="A76" s="76" t="inlineStr">
        <is>
          <t>Condiments &amp; Seasonings</t>
        </is>
      </c>
      <c r="B76" s="76" t="inlineStr">
        <is>
          <t>Seasonings &amp; Spices</t>
        </is>
      </c>
      <c r="C76" s="77" t="inlineStr">
        <is>
          <t>Coriander</t>
        </is>
      </c>
      <c r="D76" s="77" t="inlineStr">
        <is>
          <t>Great Value Organic Smoked Paprika</t>
        </is>
      </c>
      <c r="E76" s="77" t="inlineStr">
        <is>
          <t>Lawry's Garlic Salt</t>
        </is>
      </c>
      <c r="F76" s="77" t="inlineStr">
        <is>
          <t>McCormick Everything Bagel Seasoning</t>
        </is>
      </c>
      <c r="G76" s="77" t="inlineStr">
        <is>
          <t>McCormick Ground Cinnamon</t>
        </is>
      </c>
      <c r="H76" s="77" t="inlineStr">
        <is>
          <t>McCormick Sea Salt Grinder</t>
        </is>
      </c>
      <c r="I76" s="77" t="inlineStr">
        <is>
          <t>Peppercorn Grinder</t>
        </is>
      </c>
      <c r="J76" s="77" t="inlineStr">
        <is>
          <t>Salt Grinder</t>
        </is>
      </c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</row>
    <row r="77" ht="36" customHeight="1" s="65">
      <c r="A77" s="78" t="inlineStr">
        <is>
          <t>Fish</t>
        </is>
      </c>
      <c r="B77" s="78" t="inlineStr">
        <is>
          <t>Smoked Seafood</t>
        </is>
      </c>
      <c r="C77" s="79" t="inlineStr">
        <is>
          <t>Smoked Salmon with Pepper</t>
        </is>
      </c>
      <c r="D77" s="79" t="n"/>
      <c r="E77" s="79" t="n"/>
      <c r="F77" s="79" t="n"/>
      <c r="G77" s="79" t="n"/>
      <c r="H77" s="79" t="n"/>
      <c r="I77" s="79" t="n"/>
      <c r="J77" s="79" t="n"/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</row>
    <row r="78" ht="36" customHeight="1" s="65">
      <c r="A78" s="80" t="inlineStr">
        <is>
          <t>Pantry</t>
        </is>
      </c>
      <c r="B78" s="80" t="inlineStr">
        <is>
          <t>Snack Bars</t>
        </is>
      </c>
      <c r="C78" s="81" t="inlineStr">
        <is>
          <t>Fruit &amp; Grain Bars</t>
        </is>
      </c>
      <c r="D78" s="81" t="inlineStr">
        <is>
          <t>Nature's Bakery Gluten-Free Raspberry Fig Bars</t>
        </is>
      </c>
      <c r="E78" s="81" t="inlineStr">
        <is>
          <t>Peanut Puffs</t>
        </is>
      </c>
      <c r="F78" s="81" t="n"/>
      <c r="G78" s="81" t="n"/>
      <c r="H78" s="81" t="n"/>
      <c r="I78" s="81" t="n"/>
      <c r="J78" s="81" t="n"/>
      <c r="K78" s="81" t="n"/>
      <c r="L78" s="81" t="n"/>
      <c r="M78" s="81" t="n"/>
      <c r="N78" s="81" t="n"/>
      <c r="O78" s="81" t="n"/>
      <c r="P78" s="81" t="n"/>
      <c r="Q78" s="81" t="n"/>
      <c r="R78" s="81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</row>
    <row r="79" ht="36" customHeight="1" s="65">
      <c r="A79" s="82" t="inlineStr">
        <is>
          <t>Dessert</t>
        </is>
      </c>
      <c r="B79" s="82" t="inlineStr">
        <is>
          <t>Snack Cakes</t>
        </is>
      </c>
      <c r="C79" s="83" t="inlineStr">
        <is>
          <t>Little Debbie Cosmic Brownies</t>
        </is>
      </c>
      <c r="D79" s="83" t="n"/>
      <c r="E79" s="83" t="n"/>
      <c r="F79" s="83" t="n"/>
      <c r="G79" s="83" t="n"/>
      <c r="H79" s="83" t="n"/>
      <c r="I79" s="83" t="n"/>
      <c r="J79" s="83" t="n"/>
      <c r="K79" s="83" t="n"/>
      <c r="L79" s="83" t="n"/>
      <c r="M79" s="83" t="n"/>
      <c r="N79" s="83" t="n"/>
      <c r="O79" s="83" t="n"/>
      <c r="P79" s="83" t="n"/>
      <c r="Q79" s="83" t="n"/>
      <c r="R79" s="83" t="n"/>
      <c r="S79" s="83" t="n"/>
      <c r="T79" s="83" t="n"/>
      <c r="U79" s="83" t="n"/>
      <c r="V79" s="83" t="n"/>
      <c r="W79" s="83" t="n"/>
      <c r="X79" s="83" t="n"/>
      <c r="Y79" s="83" t="n"/>
      <c r="Z79" s="83" t="n"/>
      <c r="AA79" s="83" t="n"/>
    </row>
    <row r="80" ht="36" customHeight="1" s="65">
      <c r="A80" s="72" t="inlineStr">
        <is>
          <t>Dairy</t>
        </is>
      </c>
      <c r="B80" s="72" t="inlineStr">
        <is>
          <t>Specialty Cheese</t>
        </is>
      </c>
      <c r="C80" s="73" t="inlineStr">
        <is>
          <t>Feta Cheese Crumbles</t>
        </is>
      </c>
      <c r="D80" s="73" t="inlineStr">
        <is>
          <t>Goat Cheese Logs</t>
        </is>
      </c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</row>
    <row r="81" ht="36" customHeight="1" s="65">
      <c r="A81" s="74" t="inlineStr">
        <is>
          <t>Toiletries, Cleaning and Disposables</t>
        </is>
      </c>
      <c r="B81" s="74" t="inlineStr">
        <is>
          <t>Storage &amp; Organization</t>
        </is>
      </c>
      <c r="C81" s="75" t="inlineStr">
        <is>
          <t>Collapsible Storage Container/Bin</t>
        </is>
      </c>
      <c r="D81" s="75" t="inlineStr">
        <is>
          <t>Sterilite 6-Quart Storage Bin</t>
        </is>
      </c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  <c r="AA81" s="75" t="n"/>
    </row>
    <row r="82" ht="36" customHeight="1" s="65">
      <c r="A82" s="76" t="inlineStr">
        <is>
          <t>Wine</t>
        </is>
      </c>
      <c r="B82" s="76" t="inlineStr">
        <is>
          <t>Wine</t>
        </is>
      </c>
      <c r="C82" s="77" t="inlineStr">
        <is>
          <t>Häagen-Dazs Blackberry Ice Cream</t>
        </is>
      </c>
      <c r="D82" s="77" t="inlineStr">
        <is>
          <t>Magen David Blackberry Wine</t>
        </is>
      </c>
      <c r="E82" s="77" t="inlineStr">
        <is>
          <t>Mogen David Blackberry Wine</t>
        </is>
      </c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</row>
    <row r="83" ht="36" customHeight="1" s="65">
      <c r="A83" s="78" t="inlineStr">
        <is>
          <t>Office Supplies</t>
        </is>
      </c>
      <c r="B83" s="78" t="inlineStr">
        <is>
          <t>Writing Supplies</t>
        </is>
      </c>
      <c r="C83" s="79" t="inlineStr">
        <is>
          <t>Gel Pens, 3-Pack</t>
        </is>
      </c>
      <c r="D83" s="79" t="n"/>
      <c r="E83" s="79" t="n"/>
      <c r="F83" s="79" t="n"/>
      <c r="G83" s="79" t="n"/>
      <c r="H83" s="79" t="n"/>
      <c r="I83" s="79" t="n"/>
      <c r="J83" s="79" t="n"/>
      <c r="K83" s="79" t="n"/>
      <c r="L83" s="79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  <c r="AA83" s="79" t="n"/>
    </row>
    <row r="84" ht="36" customHeight="1" s="65">
      <c r="A84" s="80" t="inlineStr">
        <is>
          <t>Dairy</t>
        </is>
      </c>
      <c r="B84" s="80" t="inlineStr">
        <is>
          <t>Yogurt</t>
        </is>
      </c>
      <c r="C84" s="81" t="inlineStr">
        <is>
          <t>Chobani Black Cherry Greek Yogurt</t>
        </is>
      </c>
      <c r="D84" s="81" t="inlineStr">
        <is>
          <t>Chobani Flip 4-Pack</t>
        </is>
      </c>
      <c r="E84" s="81" t="inlineStr">
        <is>
          <t>Chobani Greek Yogurt 4-Pack, Hero Batch</t>
        </is>
      </c>
      <c r="F84" s="81" t="inlineStr">
        <is>
          <t>Chobani Hero Batch Greek Yogurt</t>
        </is>
      </c>
      <c r="G84" s="81" t="inlineStr">
        <is>
          <t>Chobani Key Lime Greek Yogurt</t>
        </is>
      </c>
      <c r="H84" s="81" t="inlineStr">
        <is>
          <t>Chobani Pineapple Greek Yogurt</t>
        </is>
      </c>
      <c r="I84" s="81" t="inlineStr">
        <is>
          <t>Chobani Protein Greek Yogurt Drink</t>
        </is>
      </c>
      <c r="J84" s="81" t="inlineStr">
        <is>
          <t>Chobani Protein Greek Yogurt Drink, Strawberries &amp; Cream</t>
        </is>
      </c>
      <c r="K84" s="81" t="inlineStr">
        <is>
          <t>Chobani Strawberry Banana Greek Yogurt</t>
        </is>
      </c>
      <c r="L84" s="81" t="inlineStr">
        <is>
          <t>Chobani Vanilla Mixed Berry Greek Yogurt</t>
        </is>
      </c>
      <c r="M84" s="81" t="inlineStr">
        <is>
          <t>Stonyfield Organic YoBaby Yogurt Pouch, Banana</t>
        </is>
      </c>
      <c r="N84" s="81" t="inlineStr">
        <is>
          <t>Stonyfield Organic YoBaby Yogurt Pouch, Peach</t>
        </is>
      </c>
      <c r="O84" s="81" t="n"/>
      <c r="P84" s="81" t="n"/>
      <c r="Q84" s="81" t="n"/>
      <c r="R84" s="81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</row>
  </sheetData>
  <autoFilter ref="A1:AA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5"/>
  <sheetViews>
    <sheetView showGridLines="0" workbookViewId="0">
      <pane ySplit="6" topLeftCell="A7" activePane="bottomLeft" state="frozen"/>
      <selection pane="bottomLeft" activeCell="A1" sqref="A1:AG2"/>
    </sheetView>
  </sheetViews>
  <sheetFormatPr baseColWidth="10" defaultColWidth="8.83203125" defaultRowHeight="15"/>
  <cols>
    <col width="10" customWidth="1" style="65" min="1" max="15"/>
    <col width="2" customWidth="1" style="65" min="16" max="16"/>
    <col width="4" customWidth="1" style="65" min="17" max="17"/>
    <col width="5" customWidth="1" style="65" min="18" max="18"/>
    <col width="15" customWidth="1" style="65" min="19" max="22"/>
    <col width="14" customWidth="1" style="65" min="23" max="23"/>
    <col width="2" customWidth="1" style="65" min="24" max="24"/>
    <col width="13" customWidth="1" style="65" min="25" max="33"/>
  </cols>
  <sheetData>
    <row r="1" ht="28" customHeight="1" s="65">
      <c r="A1" s="70" t="inlineStr">
        <is>
          <t>ShopGraph Spending Analytics</t>
        </is>
      </c>
    </row>
    <row r="2" ht="28" customHeight="1" s="65"/>
    <row r="4">
      <c r="A4" s="9" t="inlineStr">
        <is>
          <t>Total Spending</t>
        </is>
      </c>
      <c r="G4" s="9" t="inlineStr">
        <is>
          <t>Purchase Observations</t>
        </is>
      </c>
      <c r="M4" s="9" t="inlineStr">
        <is>
          <t>Date Range</t>
        </is>
      </c>
      <c r="T4" s="9" t="inlineStr">
        <is>
          <t>Stores</t>
        </is>
      </c>
      <c r="Z4" s="9" t="inlineStr">
        <is>
          <t>Categories</t>
        </is>
      </c>
    </row>
    <row r="5" ht="16" customHeight="1" s="65">
      <c r="A5" s="10" t="n">
        <v>929.62</v>
      </c>
      <c r="G5" s="11" t="n">
        <v>153</v>
      </c>
      <c r="M5" s="11" t="inlineStr">
        <is>
          <t>09/03/2026 - 09/20/2026</t>
        </is>
      </c>
      <c r="T5" s="11" t="n">
        <v>8</v>
      </c>
      <c r="Z5" s="11" t="n">
        <v>20</v>
      </c>
    </row>
    <row r="8" ht="16" customHeight="1" s="65">
      <c r="Q8" s="69" t="inlineStr">
        <is>
          <t>Number / Month</t>
        </is>
      </c>
      <c r="Y8" s="69" t="inlineStr">
        <is>
          <t>How to Read This Graph</t>
        </is>
      </c>
    </row>
    <row r="9">
      <c r="Q9" s="12" t="n"/>
      <c r="R9" s="12" t="inlineStr">
        <is>
          <t>#</t>
        </is>
      </c>
      <c r="S9" s="12" t="inlineStr">
        <is>
          <t>Description</t>
        </is>
      </c>
      <c r="W9" s="12" t="inlineStr">
        <is>
          <t>Value</t>
        </is>
      </c>
    </row>
    <row r="10" ht="22" customHeight="1" s="65">
      <c r="Q10" s="13" t="n"/>
      <c r="R10" s="14" t="n">
        <v>1</v>
      </c>
      <c r="S10" s="66" t="inlineStr">
        <is>
          <t>September 2026</t>
        </is>
      </c>
      <c r="W10" s="6" t="inlineStr">
        <is>
          <t>$929.62</t>
        </is>
      </c>
      <c r="Y10" s="68" t="inlineStr">
        <is>
          <t>What it represents</t>
        </is>
      </c>
    </row>
    <row r="11">
      <c r="Y11" s="66" t="inlineStr">
        <is>
          <t>Shows total household spending for each calendar month. Every valid Date N / Price N purchase observation is added to its month.</t>
        </is>
      </c>
    </row>
    <row r="12"/>
    <row r="13"/>
    <row r="14"/>
    <row r="16">
      <c r="Y16" s="68" t="inlineStr">
        <is>
          <t>How to read it</t>
        </is>
      </c>
    </row>
    <row r="17">
      <c r="Y17" s="66" t="inlineStr">
        <is>
          <t>The x-axis uses month numbers instead of month names to keep the graph clear. Match each number to the month and dollar total in the key. A rising line means monthly spending increased; a falling line means it decreased.</t>
        </is>
      </c>
    </row>
    <row r="18"/>
    <row r="19"/>
    <row r="20"/>
    <row r="22">
      <c r="Y22" s="68" t="inlineStr">
        <is>
          <t>What it is useful for</t>
        </is>
      </c>
    </row>
    <row r="23">
      <c r="Y23" s="66" t="inlineStr">
        <is>
          <t>Use this to identify overall spending trends, unusually expensive months, and whether spending is gradually moving up or down over time.</t>
        </is>
      </c>
    </row>
    <row r="24"/>
    <row r="25"/>
    <row r="26"/>
    <row r="28">
      <c r="Y28" s="68" t="inlineStr">
        <is>
          <t>Notes</t>
        </is>
      </c>
    </row>
    <row r="29">
      <c r="Y29" s="66" t="inlineStr">
        <is>
          <t>Months with no spending between the earliest and latest purchase dates are included as zero-spend months.</t>
        </is>
      </c>
    </row>
    <row r="30"/>
    <row r="31"/>
    <row r="32"/>
    <row r="44" ht="16" customHeight="1" s="65">
      <c r="Q44" s="69" t="inlineStr">
        <is>
          <t>Number / Category</t>
        </is>
      </c>
      <c r="Y44" s="69" t="inlineStr">
        <is>
          <t>How to Read This Graph</t>
        </is>
      </c>
    </row>
    <row r="45">
      <c r="Q45" s="12" t="n"/>
      <c r="R45" s="12" t="inlineStr">
        <is>
          <t>#</t>
        </is>
      </c>
      <c r="S45" s="12" t="inlineStr">
        <is>
          <t>Description</t>
        </is>
      </c>
      <c r="W45" s="12" t="inlineStr">
        <is>
          <t>Value</t>
        </is>
      </c>
    </row>
    <row r="46" ht="22" customHeight="1" s="65">
      <c r="Q46" s="13" t="n"/>
      <c r="R46" s="14" t="n">
        <v>1</v>
      </c>
      <c r="S46" s="66" t="inlineStr">
        <is>
          <t>Dairy</t>
        </is>
      </c>
      <c r="W46" s="6" t="inlineStr">
        <is>
          <t>$137.88</t>
        </is>
      </c>
      <c r="Y46" s="68" t="inlineStr">
        <is>
          <t>What it represents</t>
        </is>
      </c>
    </row>
    <row r="47" ht="22" customHeight="1" s="65">
      <c r="Q47" s="15" t="n"/>
      <c r="R47" s="14" t="n">
        <v>2</v>
      </c>
      <c r="S47" s="66" t="inlineStr">
        <is>
          <t>Produce</t>
        </is>
      </c>
      <c r="W47" s="6" t="inlineStr">
        <is>
          <t>$127.81</t>
        </is>
      </c>
      <c r="Y47" s="66" t="inlineStr">
        <is>
          <t>Compares total spending across every category in Purchase History. No categories are collapsed into an 'Other' group.</t>
        </is>
      </c>
    </row>
    <row r="48" ht="22" customHeight="1" s="65">
      <c r="Q48" s="16" t="n"/>
      <c r="R48" s="14" t="n">
        <v>3</v>
      </c>
      <c r="S48" s="66" t="inlineStr">
        <is>
          <t>Meat</t>
        </is>
      </c>
      <c r="W48" s="6" t="inlineStr">
        <is>
          <t>$110.57</t>
        </is>
      </c>
    </row>
    <row r="49" ht="22" customHeight="1" s="65">
      <c r="Q49" s="17" t="n"/>
      <c r="R49" s="14" t="n">
        <v>4</v>
      </c>
      <c r="S49" s="66" t="inlineStr">
        <is>
          <t>Pantry</t>
        </is>
      </c>
      <c r="W49" s="6" t="inlineStr">
        <is>
          <t>$76.93</t>
        </is>
      </c>
    </row>
    <row r="50" ht="22" customHeight="1" s="65">
      <c r="Q50" s="18" t="n"/>
      <c r="R50" s="14" t="n">
        <v>5</v>
      </c>
      <c r="S50" s="66" t="inlineStr">
        <is>
          <t>Prepared Eating</t>
        </is>
      </c>
      <c r="W50" s="6" t="inlineStr">
        <is>
          <t>$71.79</t>
        </is>
      </c>
    </row>
    <row r="51" ht="22" customHeight="1" s="65">
      <c r="Q51" s="19" t="n"/>
      <c r="R51" s="14" t="n">
        <v>6</v>
      </c>
      <c r="S51" s="66" t="inlineStr">
        <is>
          <t>Fish</t>
        </is>
      </c>
      <c r="W51" s="6" t="inlineStr">
        <is>
          <t>$60.90</t>
        </is>
      </c>
    </row>
    <row r="52" ht="22" customHeight="1" s="65">
      <c r="Q52" s="20" t="n"/>
      <c r="R52" s="14" t="n">
        <v>7</v>
      </c>
      <c r="S52" s="66" t="inlineStr">
        <is>
          <t>Baby Care</t>
        </is>
      </c>
      <c r="W52" s="6" t="inlineStr">
        <is>
          <t>$59.78</t>
        </is>
      </c>
      <c r="Y52" s="68" t="inlineStr">
        <is>
          <t>How to read it</t>
        </is>
      </c>
    </row>
    <row r="53" ht="22" customHeight="1" s="65">
      <c r="Q53" s="21" t="n"/>
      <c r="R53" s="14" t="n">
        <v>8</v>
      </c>
      <c r="S53" s="66" t="inlineStr">
        <is>
          <t>Dessert</t>
        </is>
      </c>
      <c r="W53" s="6" t="inlineStr">
        <is>
          <t>$36.71</t>
        </is>
      </c>
      <c r="Y53" s="66" t="inlineStr">
        <is>
          <t>Each horizontal bar is identified by a number and color. Use the key to map that number/color to the category name and exact spending amount. Longer bars mean more money was spent in that category.</t>
        </is>
      </c>
    </row>
    <row r="54" ht="22" customHeight="1" s="65">
      <c r="Q54" s="22" t="n"/>
      <c r="R54" s="14" t="n">
        <v>9</v>
      </c>
      <c r="S54" s="66" t="inlineStr">
        <is>
          <t>Bakery</t>
        </is>
      </c>
      <c r="W54" s="6" t="inlineStr">
        <is>
          <t>$31.81</t>
        </is>
      </c>
    </row>
    <row r="55" ht="22" customHeight="1" s="65">
      <c r="Q55" s="23" t="n"/>
      <c r="R55" s="14" t="n">
        <v>10</v>
      </c>
      <c r="S55" s="66" t="inlineStr">
        <is>
          <t>Fees</t>
        </is>
      </c>
      <c r="W55" s="6" t="inlineStr">
        <is>
          <t>$30.69</t>
        </is>
      </c>
    </row>
    <row r="56" ht="22" customHeight="1" s="65">
      <c r="Q56" s="24" t="n"/>
      <c r="R56" s="14" t="n">
        <v>11</v>
      </c>
      <c r="S56" s="66" t="inlineStr">
        <is>
          <t>Toiletries, Cleaning and Disposables</t>
        </is>
      </c>
      <c r="W56" s="6" t="inlineStr">
        <is>
          <t>$30.54</t>
        </is>
      </c>
    </row>
    <row r="57" ht="22" customHeight="1" s="65">
      <c r="Q57" s="25" t="n"/>
      <c r="R57" s="14" t="n">
        <v>12</v>
      </c>
      <c r="S57" s="66" t="inlineStr">
        <is>
          <t>Self Care</t>
        </is>
      </c>
      <c r="W57" s="6" t="inlineStr">
        <is>
          <t>$29.22</t>
        </is>
      </c>
    </row>
    <row r="58" ht="22" customHeight="1" s="65">
      <c r="Q58" s="13" t="n"/>
      <c r="R58" s="14" t="n">
        <v>13</v>
      </c>
      <c r="S58" s="66" t="inlineStr">
        <is>
          <t>Pets</t>
        </is>
      </c>
      <c r="W58" s="6" t="inlineStr">
        <is>
          <t>$25.94</t>
        </is>
      </c>
      <c r="Y58" s="68" t="inlineStr">
        <is>
          <t>What it is useful for</t>
        </is>
      </c>
    </row>
    <row r="59" ht="22" customHeight="1" s="65">
      <c r="Q59" s="15" t="n"/>
      <c r="R59" s="14" t="n">
        <v>14</v>
      </c>
      <c r="S59" s="66" t="inlineStr">
        <is>
          <t>Condiments &amp; Seasonings</t>
        </is>
      </c>
      <c r="W59" s="6" t="inlineStr">
        <is>
          <t>$21.08</t>
        </is>
      </c>
      <c r="Y59" s="66" t="inlineStr">
        <is>
          <t>Use this to see which types of goods are the biggest drivers of household spending.</t>
        </is>
      </c>
    </row>
    <row r="60" ht="22" customHeight="1" s="65">
      <c r="Q60" s="16" t="n"/>
      <c r="R60" s="14" t="n">
        <v>15</v>
      </c>
      <c r="S60" s="66" t="inlineStr">
        <is>
          <t>Cakes &amp; Pies</t>
        </is>
      </c>
      <c r="W60" s="6" t="inlineStr">
        <is>
          <t>$19.48</t>
        </is>
      </c>
    </row>
    <row r="61" ht="22" customHeight="1" s="65">
      <c r="Q61" s="17" t="n"/>
      <c r="R61" s="14" t="n">
        <v>16</v>
      </c>
      <c r="S61" s="66" t="inlineStr">
        <is>
          <t>Alcohol</t>
        </is>
      </c>
      <c r="W61" s="6" t="inlineStr">
        <is>
          <t>$17.87</t>
        </is>
      </c>
    </row>
    <row r="62" ht="22" customHeight="1" s="65">
      <c r="Q62" s="18" t="n"/>
      <c r="R62" s="14" t="n">
        <v>17</v>
      </c>
      <c r="S62" s="66" t="inlineStr">
        <is>
          <t>Wine</t>
        </is>
      </c>
      <c r="W62" s="6" t="inlineStr">
        <is>
          <t>$14.38</t>
        </is>
      </c>
    </row>
    <row r="63" ht="22" customHeight="1" s="65">
      <c r="Q63" s="19" t="n"/>
      <c r="R63" s="14" t="n">
        <v>18</v>
      </c>
      <c r="S63" s="66" t="inlineStr">
        <is>
          <t>Frozen Food</t>
        </is>
      </c>
      <c r="W63" s="6" t="inlineStr">
        <is>
          <t>$14.05</t>
        </is>
      </c>
    </row>
    <row r="64" ht="22" customHeight="1" s="65">
      <c r="Q64" s="20" t="n"/>
      <c r="R64" s="14" t="n">
        <v>19</v>
      </c>
      <c r="S64" s="66" t="inlineStr">
        <is>
          <t>Eggs</t>
        </is>
      </c>
      <c r="W64" s="6" t="inlineStr">
        <is>
          <t>$8.20</t>
        </is>
      </c>
    </row>
    <row r="65" ht="22" customHeight="1" s="65">
      <c r="Q65" s="21" t="n"/>
      <c r="R65" s="14" t="n">
        <v>20</v>
      </c>
      <c r="S65" s="66" t="inlineStr">
        <is>
          <t>Balloons</t>
        </is>
      </c>
      <c r="W65" s="6" t="inlineStr">
        <is>
          <t>$3.99</t>
        </is>
      </c>
    </row>
    <row r="80" ht="16" customHeight="1" s="65">
      <c r="Q80" s="69" t="inlineStr">
        <is>
          <t>Number / Store</t>
        </is>
      </c>
      <c r="Y80" s="69" t="inlineStr">
        <is>
          <t>How to Read This Graph</t>
        </is>
      </c>
    </row>
    <row r="81">
      <c r="Q81" s="12" t="n"/>
      <c r="R81" s="12" t="inlineStr">
        <is>
          <t>#</t>
        </is>
      </c>
      <c r="S81" s="12" t="inlineStr">
        <is>
          <t>Description</t>
        </is>
      </c>
      <c r="W81" s="12" t="inlineStr">
        <is>
          <t>Value</t>
        </is>
      </c>
    </row>
    <row r="82" ht="22" customHeight="1" s="65">
      <c r="Q82" s="13" t="n"/>
      <c r="R82" s="14" t="n">
        <v>1</v>
      </c>
      <c r="S82" s="66" t="inlineStr">
        <is>
          <t>Publix</t>
        </is>
      </c>
      <c r="W82" s="6" t="inlineStr">
        <is>
          <t>$324.61</t>
        </is>
      </c>
      <c r="Y82" s="68" t="inlineStr">
        <is>
          <t>What it represents</t>
        </is>
      </c>
    </row>
    <row r="83" ht="22" customHeight="1" s="65">
      <c r="Q83" s="15" t="n"/>
      <c r="R83" s="14" t="n">
        <v>2</v>
      </c>
      <c r="S83" s="66" t="inlineStr">
        <is>
          <t>Walmart</t>
        </is>
      </c>
      <c r="W83" s="6" t="inlineStr">
        <is>
          <t>$262.92</t>
        </is>
      </c>
      <c r="Y83" s="66" t="inlineStr">
        <is>
          <t>Compares how much money was spent at each retailer across the entire Purchase History.</t>
        </is>
      </c>
    </row>
    <row r="84" ht="22" customHeight="1" s="65">
      <c r="Q84" s="16" t="n"/>
      <c r="R84" s="14" t="n">
        <v>3</v>
      </c>
      <c r="S84" s="66" t="inlineStr">
        <is>
          <t>Trader Joe's</t>
        </is>
      </c>
      <c r="W84" s="6" t="inlineStr">
        <is>
          <t>$125.58</t>
        </is>
      </c>
    </row>
    <row r="85" ht="22" customHeight="1" s="65">
      <c r="Q85" s="17" t="n"/>
      <c r="R85" s="14" t="n">
        <v>4</v>
      </c>
      <c r="S85" s="66" t="inlineStr">
        <is>
          <t>Aldi</t>
        </is>
      </c>
      <c r="W85" s="6" t="inlineStr">
        <is>
          <t>$97.13</t>
        </is>
      </c>
    </row>
    <row r="86" ht="22" customHeight="1" s="65">
      <c r="Q86" s="18" t="n"/>
      <c r="R86" s="14" t="n">
        <v>5</v>
      </c>
      <c r="S86" s="66" t="inlineStr">
        <is>
          <t>PapaJohns</t>
        </is>
      </c>
      <c r="W86" s="6" t="inlineStr">
        <is>
          <t>$56.70</t>
        </is>
      </c>
    </row>
    <row r="87" ht="22" customHeight="1" s="65">
      <c r="Q87" s="19" t="n"/>
      <c r="R87" s="14" t="n">
        <v>6</v>
      </c>
      <c r="S87" s="66" t="inlineStr">
        <is>
          <t>Cosco</t>
        </is>
      </c>
      <c r="W87" s="6" t="inlineStr">
        <is>
          <t>$46.79</t>
        </is>
      </c>
    </row>
    <row r="88" ht="22" customHeight="1" s="65">
      <c r="Q88" s="20" t="n"/>
      <c r="R88" s="14" t="n">
        <v>7</v>
      </c>
      <c r="S88" s="66" t="inlineStr">
        <is>
          <t>SurfinTurtle</t>
        </is>
      </c>
      <c r="W88" s="6" t="inlineStr">
        <is>
          <t>$13.30</t>
        </is>
      </c>
      <c r="Y88" s="68" t="inlineStr">
        <is>
          <t>How to read it</t>
        </is>
      </c>
    </row>
    <row r="89" ht="22" customHeight="1" s="65">
      <c r="Q89" s="21" t="n"/>
      <c r="R89" s="14" t="n">
        <v>8</v>
      </c>
      <c r="S89" s="66" t="inlineStr">
        <is>
          <t>L3HAtriumCafe</t>
        </is>
      </c>
      <c r="W89" s="6" t="inlineStr">
        <is>
          <t>$2.59</t>
        </is>
      </c>
      <c r="Y89" s="66" t="inlineStr">
        <is>
          <t>Each store is represented by a numbered colored bar. Match the number/color to the key. Longer bars indicate more total spending at that store.</t>
        </is>
      </c>
    </row>
    <row r="90"/>
    <row r="91"/>
    <row r="92"/>
    <row r="94">
      <c r="Y94" s="68" t="inlineStr">
        <is>
          <t>What it is useful for</t>
        </is>
      </c>
    </row>
    <row r="95">
      <c r="Y95" s="66" t="inlineStr">
        <is>
          <t>Use this to understand which retailers receive the largest share of your household shopping budget.</t>
        </is>
      </c>
    </row>
    <row r="96"/>
    <row r="97"/>
    <row r="98"/>
    <row r="100">
      <c r="Y100" s="68" t="inlineStr">
        <is>
          <t>Notes</t>
        </is>
      </c>
    </row>
    <row r="101">
      <c r="Y101" s="66" t="inlineStr">
        <is>
          <t>Store Number is intentionally ignored here; purchases are grouped by the Store name.</t>
        </is>
      </c>
    </row>
    <row r="102"/>
    <row r="103"/>
    <row r="104"/>
    <row r="116" ht="16" customHeight="1" s="65">
      <c r="Q116" s="69" t="inlineStr">
        <is>
          <t>Number / Category</t>
        </is>
      </c>
      <c r="Y116" s="69" t="inlineStr">
        <is>
          <t>How to Read This Graph</t>
        </is>
      </c>
    </row>
    <row r="117">
      <c r="Q117" s="12" t="n"/>
      <c r="R117" s="12" t="inlineStr">
        <is>
          <t>#</t>
        </is>
      </c>
      <c r="S117" s="12" t="inlineStr">
        <is>
          <t>Description</t>
        </is>
      </c>
      <c r="W117" s="12" t="inlineStr">
        <is>
          <t>Value</t>
        </is>
      </c>
    </row>
    <row r="118" ht="22" customHeight="1" s="65">
      <c r="Q118" s="13" t="n"/>
      <c r="R118" s="14" t="n">
        <v>1</v>
      </c>
      <c r="S118" s="66" t="inlineStr">
        <is>
          <t>Dairy</t>
        </is>
      </c>
      <c r="W118" s="6" t="inlineStr">
        <is>
          <t>$137.88 (14.8%)</t>
        </is>
      </c>
      <c r="Y118" s="68" t="inlineStr">
        <is>
          <t>What it represents</t>
        </is>
      </c>
    </row>
    <row r="119" ht="22" customHeight="1" s="65">
      <c r="Q119" s="15" t="n"/>
      <c r="R119" s="14" t="n">
        <v>2</v>
      </c>
      <c r="S119" s="66" t="inlineStr">
        <is>
          <t>Produce</t>
        </is>
      </c>
      <c r="W119" s="6" t="inlineStr">
        <is>
          <t>$127.81 (13.7%)</t>
        </is>
      </c>
      <c r="Y119" s="66" t="inlineStr">
        <is>
          <t>Shows each category's share of total spending as part of the whole shopping budget.</t>
        </is>
      </c>
    </row>
    <row r="120" ht="22" customHeight="1" s="65">
      <c r="Q120" s="16" t="n"/>
      <c r="R120" s="14" t="n">
        <v>3</v>
      </c>
      <c r="S120" s="66" t="inlineStr">
        <is>
          <t>Meat</t>
        </is>
      </c>
      <c r="W120" s="6" t="inlineStr">
        <is>
          <t>$110.57 (11.9%)</t>
        </is>
      </c>
    </row>
    <row r="121" ht="22" customHeight="1" s="65">
      <c r="Q121" s="17" t="n"/>
      <c r="R121" s="14" t="n">
        <v>4</v>
      </c>
      <c r="S121" s="66" t="inlineStr">
        <is>
          <t>Pantry</t>
        </is>
      </c>
      <c r="W121" s="6" t="inlineStr">
        <is>
          <t>$76.93 (8.3%)</t>
        </is>
      </c>
    </row>
    <row r="122" ht="22" customHeight="1" s="65">
      <c r="Q122" s="18" t="n"/>
      <c r="R122" s="14" t="n">
        <v>5</v>
      </c>
      <c r="S122" s="66" t="inlineStr">
        <is>
          <t>Prepared Eating</t>
        </is>
      </c>
      <c r="W122" s="6" t="inlineStr">
        <is>
          <t>$71.79 (7.7%)</t>
        </is>
      </c>
    </row>
    <row r="123" ht="22" customHeight="1" s="65">
      <c r="Q123" s="19" t="n"/>
      <c r="R123" s="14" t="n">
        <v>6</v>
      </c>
      <c r="S123" s="66" t="inlineStr">
        <is>
          <t>Fish</t>
        </is>
      </c>
      <c r="W123" s="6" t="inlineStr">
        <is>
          <t>$60.90 (6.6%)</t>
        </is>
      </c>
    </row>
    <row r="124" ht="22" customHeight="1" s="65">
      <c r="Q124" s="20" t="n"/>
      <c r="R124" s="14" t="n">
        <v>7</v>
      </c>
      <c r="S124" s="66" t="inlineStr">
        <is>
          <t>Baby Care</t>
        </is>
      </c>
      <c r="W124" s="6" t="inlineStr">
        <is>
          <t>$59.78 (6.4%)</t>
        </is>
      </c>
      <c r="Y124" s="68" t="inlineStr">
        <is>
          <t>How to read it</t>
        </is>
      </c>
    </row>
    <row r="125" ht="22" customHeight="1" s="65">
      <c r="Q125" s="21" t="n"/>
      <c r="R125" s="14" t="n">
        <v>8</v>
      </c>
      <c r="S125" s="66" t="inlineStr">
        <is>
          <t>Dessert</t>
        </is>
      </c>
      <c r="W125" s="6" t="inlineStr">
        <is>
          <t>$36.71 (3.9%)</t>
        </is>
      </c>
      <c r="Y125" s="66" t="inlineStr">
        <is>
          <t>The doughnut itself displays only numeric category codes. Match each number/color to the key for the category name, dollar amount, and percentage of total spending.</t>
        </is>
      </c>
    </row>
    <row r="126" ht="22" customHeight="1" s="65">
      <c r="Q126" s="22" t="n"/>
      <c r="R126" s="14" t="n">
        <v>9</v>
      </c>
      <c r="S126" s="66" t="inlineStr">
        <is>
          <t>Bakery</t>
        </is>
      </c>
      <c r="W126" s="6" t="inlineStr">
        <is>
          <t>$31.81 (3.4%)</t>
        </is>
      </c>
    </row>
    <row r="127" ht="22" customHeight="1" s="65">
      <c r="Q127" s="23" t="n"/>
      <c r="R127" s="14" t="n">
        <v>10</v>
      </c>
      <c r="S127" s="66" t="inlineStr">
        <is>
          <t>Fees</t>
        </is>
      </c>
      <c r="W127" s="6" t="inlineStr">
        <is>
          <t>$30.69 (3.3%)</t>
        </is>
      </c>
    </row>
    <row r="128" ht="22" customHeight="1" s="65">
      <c r="Q128" s="24" t="n"/>
      <c r="R128" s="14" t="n">
        <v>11</v>
      </c>
      <c r="S128" s="66" t="inlineStr">
        <is>
          <t>Toiletries, Cleaning and Disposables</t>
        </is>
      </c>
      <c r="W128" s="6" t="inlineStr">
        <is>
          <t>$30.54 (3.3%)</t>
        </is>
      </c>
    </row>
    <row r="129" ht="22" customHeight="1" s="65">
      <c r="Q129" s="25" t="n"/>
      <c r="R129" s="14" t="n">
        <v>12</v>
      </c>
      <c r="S129" s="66" t="inlineStr">
        <is>
          <t>Self Care</t>
        </is>
      </c>
      <c r="W129" s="6" t="inlineStr">
        <is>
          <t>$29.22 (3.1%)</t>
        </is>
      </c>
    </row>
    <row r="130" ht="22" customHeight="1" s="65">
      <c r="Q130" s="13" t="n"/>
      <c r="R130" s="14" t="n">
        <v>13</v>
      </c>
      <c r="S130" s="66" t="inlineStr">
        <is>
          <t>Pets</t>
        </is>
      </c>
      <c r="W130" s="6" t="inlineStr">
        <is>
          <t>$25.94 (2.8%)</t>
        </is>
      </c>
      <c r="Y130" s="68" t="inlineStr">
        <is>
          <t>What it is useful for</t>
        </is>
      </c>
    </row>
    <row r="131" ht="22" customHeight="1" s="65">
      <c r="Q131" s="15" t="n"/>
      <c r="R131" s="14" t="n">
        <v>14</v>
      </c>
      <c r="S131" s="66" t="inlineStr">
        <is>
          <t>Condiments &amp; Seasonings</t>
        </is>
      </c>
      <c r="W131" s="6" t="inlineStr">
        <is>
          <t>$21.08 (2.3%)</t>
        </is>
      </c>
      <c r="Y131" s="66" t="inlineStr">
        <is>
          <t>Use this for a fast visual picture of the household spending mix—especially which categories take the largest portion of the budget.</t>
        </is>
      </c>
    </row>
    <row r="132" ht="22" customHeight="1" s="65">
      <c r="Q132" s="16" t="n"/>
      <c r="R132" s="14" t="n">
        <v>15</v>
      </c>
      <c r="S132" s="66" t="inlineStr">
        <is>
          <t>Cakes &amp; Pies</t>
        </is>
      </c>
      <c r="W132" s="6" t="inlineStr">
        <is>
          <t>$19.48 (2.1%)</t>
        </is>
      </c>
    </row>
    <row r="133" ht="22" customHeight="1" s="65">
      <c r="Q133" s="17" t="n"/>
      <c r="R133" s="14" t="n">
        <v>16</v>
      </c>
      <c r="S133" s="66" t="inlineStr">
        <is>
          <t>Alcohol</t>
        </is>
      </c>
      <c r="W133" s="6" t="inlineStr">
        <is>
          <t>$17.87 (1.9%)</t>
        </is>
      </c>
    </row>
    <row r="134" ht="22" customHeight="1" s="65">
      <c r="Q134" s="18" t="n"/>
      <c r="R134" s="14" t="n">
        <v>17</v>
      </c>
      <c r="S134" s="66" t="inlineStr">
        <is>
          <t>Wine</t>
        </is>
      </c>
      <c r="W134" s="6" t="inlineStr">
        <is>
          <t>$14.38 (1.5%)</t>
        </is>
      </c>
    </row>
    <row r="135" ht="22" customHeight="1" s="65">
      <c r="Q135" s="19" t="n"/>
      <c r="R135" s="14" t="n">
        <v>18</v>
      </c>
      <c r="S135" s="66" t="inlineStr">
        <is>
          <t>Frozen Food</t>
        </is>
      </c>
      <c r="W135" s="6" t="inlineStr">
        <is>
          <t>$14.05 (1.5%)</t>
        </is>
      </c>
    </row>
    <row r="136" ht="22" customHeight="1" s="65">
      <c r="Q136" s="20" t="n"/>
      <c r="R136" s="14" t="n">
        <v>19</v>
      </c>
      <c r="S136" s="66" t="inlineStr">
        <is>
          <t>Eggs</t>
        </is>
      </c>
      <c r="W136" s="6" t="inlineStr">
        <is>
          <t>$8.20 (0.9%)</t>
        </is>
      </c>
      <c r="Y136" s="68" t="inlineStr">
        <is>
          <t>Notes</t>
        </is>
      </c>
    </row>
    <row r="137" ht="22" customHeight="1" s="65">
      <c r="Q137" s="21" t="n"/>
      <c r="R137" s="14" t="n">
        <v>20</v>
      </c>
      <c r="S137" s="66" t="inlineStr">
        <is>
          <t>Balloons</t>
        </is>
      </c>
      <c r="W137" s="6" t="inlineStr">
        <is>
          <t>$3.99 (0.4%)</t>
        </is>
      </c>
      <c r="Y137" s="66" t="inlineStr">
        <is>
          <t>Unlike the older dashboard, this graph does not create a large 'Other' slice. Every category receives its own numbered segment.</t>
        </is>
      </c>
    </row>
    <row r="138"/>
    <row r="139"/>
    <row r="140"/>
    <row r="152" ht="16" customHeight="1" s="65">
      <c r="Q152" s="69" t="inlineStr">
        <is>
          <t>Number / Product</t>
        </is>
      </c>
      <c r="Y152" s="69" t="inlineStr">
        <is>
          <t>How to Read This Graph</t>
        </is>
      </c>
    </row>
    <row r="153">
      <c r="Q153" s="12" t="n"/>
      <c r="R153" s="12" t="inlineStr">
        <is>
          <t>#</t>
        </is>
      </c>
      <c r="S153" s="12" t="inlineStr">
        <is>
          <t>Description</t>
        </is>
      </c>
      <c r="W153" s="12" t="inlineStr">
        <is>
          <t>Value</t>
        </is>
      </c>
    </row>
    <row r="154" ht="22" customHeight="1" s="65">
      <c r="Q154" s="13" t="n"/>
      <c r="R154" s="14" t="n">
        <v>1</v>
      </c>
      <c r="S154" s="66" t="inlineStr">
        <is>
          <t>Salmon Fillet</t>
        </is>
      </c>
      <c r="W154" s="6" t="inlineStr">
        <is>
          <t>$46.91</t>
        </is>
      </c>
      <c r="Y154" s="68" t="inlineStr">
        <is>
          <t>What it represents</t>
        </is>
      </c>
    </row>
    <row r="155" ht="22" customHeight="1" s="65">
      <c r="Q155" s="15" t="n"/>
      <c r="R155" s="14" t="n">
        <v>2</v>
      </c>
      <c r="S155" s="66" t="inlineStr">
        <is>
          <t>Pampers Swaddlers Diapers</t>
        </is>
      </c>
      <c r="W155" s="6" t="inlineStr">
        <is>
          <t>$46.79</t>
        </is>
      </c>
      <c r="Y155" s="66" t="inlineStr">
        <is>
          <t>Ranks the ten individual product identities with the most accumulated spending across all recorded purchases.</t>
        </is>
      </c>
    </row>
    <row r="156" ht="22" customHeight="1" s="65">
      <c r="Q156" s="16" t="n"/>
      <c r="R156" s="14" t="n">
        <v>3</v>
      </c>
      <c r="S156" s="66" t="inlineStr">
        <is>
          <t>Papa John's Pizza, Wings &amp; Cheesesticks</t>
        </is>
      </c>
      <c r="W156" s="6" t="inlineStr">
        <is>
          <t>$39.37</t>
        </is>
      </c>
    </row>
    <row r="157" ht="22" customHeight="1" s="65">
      <c r="Q157" s="17" t="n"/>
      <c r="R157" s="14" t="n">
        <v>4</v>
      </c>
      <c r="S157" s="66" t="inlineStr">
        <is>
          <t>Kosher Ground Beef 85/15</t>
        </is>
      </c>
      <c r="W157" s="6" t="inlineStr">
        <is>
          <t>$35.97</t>
        </is>
      </c>
    </row>
    <row r="158" ht="22" customHeight="1" s="65">
      <c r="Q158" s="18" t="n"/>
      <c r="R158" s="14" t="n">
        <v>5</v>
      </c>
      <c r="S158" s="66" t="inlineStr">
        <is>
          <t>Empire Kosher Ground Turkey</t>
        </is>
      </c>
      <c r="W158" s="6" t="inlineStr">
        <is>
          <t>$27.96</t>
        </is>
      </c>
    </row>
    <row r="159" ht="22" customHeight="1" s="65">
      <c r="Q159" s="19" t="n"/>
      <c r="R159" s="14" t="n">
        <v>6</v>
      </c>
      <c r="S159" s="66" t="inlineStr">
        <is>
          <t>Purina Tidy Cats Free &amp; Clean Clumping Cat Litter</t>
        </is>
      </c>
      <c r="W159" s="6" t="inlineStr">
        <is>
          <t>$25.94</t>
        </is>
      </c>
    </row>
    <row r="160" ht="22" customHeight="1" s="65">
      <c r="Q160" s="20" t="n"/>
      <c r="R160" s="14" t="n">
        <v>7</v>
      </c>
      <c r="S160" s="66" t="inlineStr">
        <is>
          <t>Driver Tip</t>
        </is>
      </c>
      <c r="W160" s="6" t="inlineStr">
        <is>
          <t>$22.11</t>
        </is>
      </c>
      <c r="Y160" s="68" t="inlineStr">
        <is>
          <t>How to read it</t>
        </is>
      </c>
    </row>
    <row r="161" ht="22" customHeight="1" s="65">
      <c r="Q161" s="21" t="n"/>
      <c r="R161" s="14" t="n">
        <v>8</v>
      </c>
      <c r="S161" s="66" t="inlineStr">
        <is>
          <t>Chobani Protein Greek Yogurt Drink, Strawberries &amp; Cream</t>
        </is>
      </c>
      <c r="W161" s="6" t="inlineStr">
        <is>
          <t>$21.98</t>
        </is>
      </c>
      <c r="Y161" s="66" t="inlineStr">
        <is>
          <t>Each product is represented by a numbered colored bar. Use the key to see the product name and its total spending. The longest bar is the largest individual spending driver.</t>
        </is>
      </c>
    </row>
    <row r="162" ht="22" customHeight="1" s="65">
      <c r="Q162" s="22" t="n"/>
      <c r="R162" s="14" t="n">
        <v>9</v>
      </c>
      <c r="S162" s="66" t="inlineStr">
        <is>
          <t>Empire Kosher Boneless Skinless Chicken Breast</t>
        </is>
      </c>
      <c r="W162" s="6" t="inlineStr">
        <is>
          <t>$21.74</t>
        </is>
      </c>
    </row>
    <row r="163" ht="22" customHeight="1" s="65">
      <c r="Q163" s="23" t="n"/>
      <c r="R163" s="14" t="n">
        <v>10</v>
      </c>
      <c r="S163" s="66" t="inlineStr">
        <is>
          <t>Silk Organic Unsweet Soymilk, Half Gallon</t>
        </is>
      </c>
      <c r="W163" s="6" t="inlineStr">
        <is>
          <t>$20.37</t>
        </is>
      </c>
    </row>
    <row r="164"/>
    <row r="166">
      <c r="Y166" s="68" t="inlineStr">
        <is>
          <t>What it is useful for</t>
        </is>
      </c>
    </row>
    <row r="167">
      <c r="Y167" s="66" t="inlineStr">
        <is>
          <t>Use this to identify specific products that contribute the most to total spending and may be worth price-comparing or watching over time.</t>
        </is>
      </c>
    </row>
    <row r="168"/>
    <row r="169"/>
    <row r="170"/>
    <row r="172">
      <c r="Y172" s="68" t="inlineStr">
        <is>
          <t>Notes</t>
        </is>
      </c>
    </row>
    <row r="173">
      <c r="Y173" s="66" t="inlineStr">
        <is>
          <t>Product identity prefers Common Name and falls back to Product when Common Name is unavailable.</t>
        </is>
      </c>
    </row>
    <row r="174"/>
    <row r="175"/>
    <row r="176"/>
    <row r="188" ht="16" customHeight="1" s="65">
      <c r="Q188" s="69" t="inlineStr">
        <is>
          <t>Store Numbers + Month Numbers</t>
        </is>
      </c>
      <c r="Y188" s="69" t="inlineStr">
        <is>
          <t>How to Read This Graph</t>
        </is>
      </c>
    </row>
    <row r="189">
      <c r="Q189" s="12" t="n"/>
      <c r="R189" s="12" t="inlineStr">
        <is>
          <t>#</t>
        </is>
      </c>
      <c r="S189" s="12" t="inlineStr">
        <is>
          <t>Description</t>
        </is>
      </c>
      <c r="W189" s="12" t="inlineStr">
        <is>
          <t>Value</t>
        </is>
      </c>
    </row>
    <row r="190" ht="22" customHeight="1" s="65">
      <c r="Q190" s="13" t="n"/>
      <c r="R190" s="14" t="n">
        <v>1</v>
      </c>
      <c r="S190" s="66" t="inlineStr">
        <is>
          <t>Publix</t>
        </is>
      </c>
      <c r="W190" s="6" t="inlineStr">
        <is>
          <t>$324.61</t>
        </is>
      </c>
      <c r="Y190" s="68" t="inlineStr">
        <is>
          <t>What it represents</t>
        </is>
      </c>
    </row>
    <row r="191" ht="22" customHeight="1" s="65">
      <c r="Q191" s="15" t="n"/>
      <c r="R191" s="14" t="n">
        <v>2</v>
      </c>
      <c r="S191" s="66" t="inlineStr">
        <is>
          <t>Walmart</t>
        </is>
      </c>
      <c r="W191" s="6" t="inlineStr">
        <is>
          <t>$262.92</t>
        </is>
      </c>
      <c r="Y191" s="66" t="inlineStr">
        <is>
          <t>Shows how monthly spending is divided among stores. Each column is one month; each colored section inside the column represents one store.</t>
        </is>
      </c>
    </row>
    <row r="192" ht="22" customHeight="1" s="65">
      <c r="Q192" s="16" t="n"/>
      <c r="R192" s="14" t="n">
        <v>3</v>
      </c>
      <c r="S192" s="66" t="inlineStr">
        <is>
          <t>Trader Joe's</t>
        </is>
      </c>
      <c r="W192" s="6" t="inlineStr">
        <is>
          <t>$125.58</t>
        </is>
      </c>
    </row>
    <row r="193" ht="22" customHeight="1" s="65">
      <c r="Q193" s="17" t="n"/>
      <c r="R193" s="14" t="n">
        <v>4</v>
      </c>
      <c r="S193" s="66" t="inlineStr">
        <is>
          <t>Aldi</t>
        </is>
      </c>
      <c r="W193" s="6" t="inlineStr">
        <is>
          <t>$97.13</t>
        </is>
      </c>
    </row>
    <row r="194" ht="22" customHeight="1" s="65">
      <c r="Q194" s="18" t="n"/>
      <c r="R194" s="14" t="n">
        <v>5</v>
      </c>
      <c r="S194" s="66" t="inlineStr">
        <is>
          <t>PapaJohns</t>
        </is>
      </c>
      <c r="W194" s="6" t="inlineStr">
        <is>
          <t>$56.70</t>
        </is>
      </c>
    </row>
    <row r="195" ht="22" customHeight="1" s="65">
      <c r="Q195" s="19" t="n"/>
      <c r="R195" s="14" t="n">
        <v>6</v>
      </c>
      <c r="S195" s="66" t="inlineStr">
        <is>
          <t>Cosco</t>
        </is>
      </c>
      <c r="W195" s="6" t="inlineStr">
        <is>
          <t>$46.79</t>
        </is>
      </c>
    </row>
    <row r="196" ht="22" customHeight="1" s="65">
      <c r="Q196" s="20" t="n"/>
      <c r="R196" s="14" t="n">
        <v>7</v>
      </c>
      <c r="S196" s="66" t="inlineStr">
        <is>
          <t>SurfinTurtle</t>
        </is>
      </c>
      <c r="W196" s="6" t="inlineStr">
        <is>
          <t>$13.30</t>
        </is>
      </c>
      <c r="Y196" s="68" t="inlineStr">
        <is>
          <t>How to read it</t>
        </is>
      </c>
    </row>
    <row r="197" ht="22" customHeight="1" s="65">
      <c r="Q197" s="21" t="n"/>
      <c r="R197" s="14" t="n">
        <v>8</v>
      </c>
      <c r="S197" s="66" t="inlineStr">
        <is>
          <t>L3HAtriumCafe</t>
        </is>
      </c>
      <c r="W197" s="6" t="inlineStr">
        <is>
          <t>$2.59</t>
        </is>
      </c>
      <c r="Y197" s="66" t="inlineStr">
        <is>
          <t>Store series use the numbered color key. The x-axis uses month numbers. Match those month numbers to the month rows in the key. The total height of a column is total monthly spending; the colored portions show which stores made up that total.</t>
        </is>
      </c>
    </row>
    <row r="198" ht="22" customHeight="1" s="65">
      <c r="Q198" s="26" t="n"/>
      <c r="R198" s="14" t="n">
        <v>1</v>
      </c>
      <c r="S198" s="66" t="inlineStr">
        <is>
          <t>Month September 2026</t>
        </is>
      </c>
      <c r="W198" s="6" t="inlineStr">
        <is>
          <t>$929.62</t>
        </is>
      </c>
    </row>
    <row r="199"/>
    <row r="200"/>
    <row r="202">
      <c r="Y202" s="68" t="inlineStr">
        <is>
          <t>What it is useful for</t>
        </is>
      </c>
    </row>
    <row r="203">
      <c r="Y203" s="66" t="inlineStr">
        <is>
          <t>Use this to see whether changes in monthly spending are connected to a particular store and how your retailer mix changes over time.</t>
        </is>
      </c>
    </row>
    <row r="204"/>
    <row r="205"/>
    <row r="206"/>
    <row r="208">
      <c r="Y208" s="68" t="inlineStr">
        <is>
          <t>Notes</t>
        </is>
      </c>
    </row>
    <row r="209">
      <c r="Y209" s="66" t="inlineStr">
        <is>
          <t>All stores are retained. There is no catch-all 'Other' store series.</t>
        </is>
      </c>
    </row>
    <row r="210"/>
    <row r="211"/>
    <row r="212"/>
    <row r="224" ht="16" customHeight="1" s="65">
      <c r="Q224" s="69" t="inlineStr">
        <is>
          <t>Number / Category</t>
        </is>
      </c>
      <c r="Y224" s="69" t="inlineStr">
        <is>
          <t>How to Read This Graph</t>
        </is>
      </c>
    </row>
    <row r="225">
      <c r="Q225" s="12" t="n"/>
      <c r="R225" s="12" t="inlineStr">
        <is>
          <t>#</t>
        </is>
      </c>
      <c r="S225" s="12" t="inlineStr">
        <is>
          <t>Description</t>
        </is>
      </c>
      <c r="W225" s="12" t="inlineStr">
        <is>
          <t>Value</t>
        </is>
      </c>
    </row>
    <row r="226" ht="22" customHeight="1" s="65">
      <c r="Q226" s="13" t="n"/>
      <c r="R226" s="14" t="n">
        <v>1</v>
      </c>
      <c r="S226" s="66" t="inlineStr">
        <is>
          <t>Produce</t>
        </is>
      </c>
      <c r="W226" s="6" t="inlineStr">
        <is>
          <t>42</t>
        </is>
      </c>
      <c r="Y226" s="68" t="inlineStr">
        <is>
          <t>What it represents</t>
        </is>
      </c>
    </row>
    <row r="227" ht="22" customHeight="1" s="65">
      <c r="Q227" s="15" t="n"/>
      <c r="R227" s="14" t="n">
        <v>2</v>
      </c>
      <c r="S227" s="66" t="inlineStr">
        <is>
          <t>Dairy</t>
        </is>
      </c>
      <c r="W227" s="6" t="inlineStr">
        <is>
          <t>29</t>
        </is>
      </c>
      <c r="Y227" s="66" t="inlineStr">
        <is>
          <t>Counts how many valid purchase observations occurred in each category. This measures frequency, not dollars.</t>
        </is>
      </c>
    </row>
    <row r="228" ht="22" customHeight="1" s="65">
      <c r="Q228" s="16" t="n"/>
      <c r="R228" s="14" t="n">
        <v>3</v>
      </c>
      <c r="S228" s="66" t="inlineStr">
        <is>
          <t>Pantry</t>
        </is>
      </c>
      <c r="W228" s="6" t="inlineStr">
        <is>
          <t>16</t>
        </is>
      </c>
    </row>
    <row r="229" ht="22" customHeight="1" s="65">
      <c r="Q229" s="17" t="n"/>
      <c r="R229" s="14" t="n">
        <v>4</v>
      </c>
      <c r="S229" s="66" t="inlineStr">
        <is>
          <t>Meat</t>
        </is>
      </c>
      <c r="W229" s="6" t="inlineStr">
        <is>
          <t>9</t>
        </is>
      </c>
    </row>
    <row r="230" ht="22" customHeight="1" s="65">
      <c r="Q230" s="18" t="n"/>
      <c r="R230" s="14" t="n">
        <v>5</v>
      </c>
      <c r="S230" s="66" t="inlineStr">
        <is>
          <t>Dessert</t>
        </is>
      </c>
      <c r="W230" s="6" t="inlineStr">
        <is>
          <t>7</t>
        </is>
      </c>
    </row>
    <row r="231" ht="22" customHeight="1" s="65">
      <c r="Q231" s="19" t="n"/>
      <c r="R231" s="14" t="n">
        <v>6</v>
      </c>
      <c r="S231" s="66" t="inlineStr">
        <is>
          <t>Bakery</t>
        </is>
      </c>
      <c r="W231" s="6" t="inlineStr">
        <is>
          <t>6</t>
        </is>
      </c>
    </row>
    <row r="232" ht="22" customHeight="1" s="65">
      <c r="Q232" s="20" t="n"/>
      <c r="R232" s="14" t="n">
        <v>7</v>
      </c>
      <c r="S232" s="66" t="inlineStr">
        <is>
          <t>Condiments &amp; Seasonings</t>
        </is>
      </c>
      <c r="W232" s="6" t="inlineStr">
        <is>
          <t>6</t>
        </is>
      </c>
      <c r="Y232" s="68" t="inlineStr">
        <is>
          <t>How to read it</t>
        </is>
      </c>
    </row>
    <row r="233" ht="22" customHeight="1" s="65">
      <c r="Q233" s="21" t="n"/>
      <c r="R233" s="14" t="n">
        <v>8</v>
      </c>
      <c r="S233" s="66" t="inlineStr">
        <is>
          <t>Fees</t>
        </is>
      </c>
      <c r="W233" s="6" t="inlineStr">
        <is>
          <t>6</t>
        </is>
      </c>
      <c r="Y233" s="66" t="inlineStr">
        <is>
          <t>Each category is a numbered colored bar. Match the number and color to the key. A longer bar means the category was purchased more frequently.</t>
        </is>
      </c>
    </row>
    <row r="234" ht="22" customHeight="1" s="65">
      <c r="Q234" s="22" t="n"/>
      <c r="R234" s="14" t="n">
        <v>9</v>
      </c>
      <c r="S234" s="66" t="inlineStr">
        <is>
          <t>Prepared Eating</t>
        </is>
      </c>
      <c r="W234" s="6" t="inlineStr">
        <is>
          <t>6</t>
        </is>
      </c>
    </row>
    <row r="235" ht="22" customHeight="1" s="65">
      <c r="Q235" s="23" t="n"/>
      <c r="R235" s="14" t="n">
        <v>10</v>
      </c>
      <c r="S235" s="66" t="inlineStr">
        <is>
          <t>Toiletries, Cleaning and Disposables</t>
        </is>
      </c>
      <c r="W235" s="6" t="inlineStr">
        <is>
          <t>6</t>
        </is>
      </c>
    </row>
    <row r="236" ht="22" customHeight="1" s="65">
      <c r="Q236" s="24" t="n"/>
      <c r="R236" s="14" t="n">
        <v>11</v>
      </c>
      <c r="S236" s="66" t="inlineStr">
        <is>
          <t>Fish</t>
        </is>
      </c>
      <c r="W236" s="6" t="inlineStr">
        <is>
          <t>3</t>
        </is>
      </c>
    </row>
    <row r="237" ht="22" customHeight="1" s="65">
      <c r="Q237" s="25" t="n"/>
      <c r="R237" s="14" t="n">
        <v>12</v>
      </c>
      <c r="S237" s="66" t="inlineStr">
        <is>
          <t>Frozen Food</t>
        </is>
      </c>
      <c r="W237" s="6" t="inlineStr">
        <is>
          <t>3</t>
        </is>
      </c>
    </row>
    <row r="238" ht="22" customHeight="1" s="65">
      <c r="Q238" s="13" t="n"/>
      <c r="R238" s="14" t="n">
        <v>13</v>
      </c>
      <c r="S238" s="66" t="inlineStr">
        <is>
          <t>Self Care</t>
        </is>
      </c>
      <c r="W238" s="6" t="inlineStr">
        <is>
          <t>3</t>
        </is>
      </c>
      <c r="Y238" s="68" t="inlineStr">
        <is>
          <t>What it is useful for</t>
        </is>
      </c>
    </row>
    <row r="239" ht="22" customHeight="1" s="65">
      <c r="Q239" s="15" t="n"/>
      <c r="R239" s="14" t="n">
        <v>14</v>
      </c>
      <c r="S239" s="66" t="inlineStr">
        <is>
          <t>Baby Care</t>
        </is>
      </c>
      <c r="W239" s="6" t="inlineStr">
        <is>
          <t>2</t>
        </is>
      </c>
      <c r="Y239" s="66" t="inlineStr">
        <is>
          <t>Use this alongside Spending by Category to distinguish frequent routine purchases from categories that are bought less often but cost more.</t>
        </is>
      </c>
    </row>
    <row r="240" ht="22" customHeight="1" s="65">
      <c r="Q240" s="16" t="n"/>
      <c r="R240" s="14" t="n">
        <v>15</v>
      </c>
      <c r="S240" s="66" t="inlineStr">
        <is>
          <t>Cakes &amp; Pies</t>
        </is>
      </c>
      <c r="W240" s="6" t="inlineStr">
        <is>
          <t>2</t>
        </is>
      </c>
    </row>
    <row r="241" ht="22" customHeight="1" s="65">
      <c r="Q241" s="17" t="n"/>
      <c r="R241" s="14" t="n">
        <v>16</v>
      </c>
      <c r="S241" s="66" t="inlineStr">
        <is>
          <t>Eggs</t>
        </is>
      </c>
      <c r="W241" s="6" t="inlineStr">
        <is>
          <t>2</t>
        </is>
      </c>
    </row>
    <row r="242" ht="22" customHeight="1" s="65">
      <c r="Q242" s="18" t="n"/>
      <c r="R242" s="14" t="n">
        <v>17</v>
      </c>
      <c r="S242" s="66" t="inlineStr">
        <is>
          <t>Wine</t>
        </is>
      </c>
      <c r="W242" s="6" t="inlineStr">
        <is>
          <t>2</t>
        </is>
      </c>
    </row>
    <row r="243" ht="22" customHeight="1" s="65">
      <c r="Q243" s="19" t="n"/>
      <c r="R243" s="14" t="n">
        <v>18</v>
      </c>
      <c r="S243" s="66" t="inlineStr">
        <is>
          <t>Alcohol</t>
        </is>
      </c>
      <c r="W243" s="6" t="inlineStr">
        <is>
          <t>1</t>
        </is>
      </c>
    </row>
    <row r="244" ht="22" customHeight="1" s="65">
      <c r="Q244" s="20" t="n"/>
      <c r="R244" s="14" t="n">
        <v>19</v>
      </c>
      <c r="S244" s="66" t="inlineStr">
        <is>
          <t>Balloons</t>
        </is>
      </c>
      <c r="W244" s="6" t="inlineStr">
        <is>
          <t>1</t>
        </is>
      </c>
    </row>
    <row r="245" ht="22" customHeight="1" s="65">
      <c r="Q245" s="21" t="n"/>
      <c r="R245" s="14" t="n">
        <v>20</v>
      </c>
      <c r="S245" s="66" t="inlineStr">
        <is>
          <t>Pets</t>
        </is>
      </c>
      <c r="W245" s="6" t="inlineStr">
        <is>
          <t>1</t>
        </is>
      </c>
    </row>
  </sheetData>
  <mergeCells count="155">
    <mergeCell ref="S136:V136"/>
    <mergeCell ref="S118:V118"/>
    <mergeCell ref="Y82:AG82"/>
    <mergeCell ref="S158:V158"/>
    <mergeCell ref="Y233:AG236"/>
    <mergeCell ref="Y10:AG10"/>
    <mergeCell ref="Y16:AG16"/>
    <mergeCell ref="S135:V135"/>
    <mergeCell ref="S193:V193"/>
    <mergeCell ref="Y52:AG52"/>
    <mergeCell ref="S159:V159"/>
    <mergeCell ref="S242:V242"/>
    <mergeCell ref="S125:V125"/>
    <mergeCell ref="Q116:W116"/>
    <mergeCell ref="S134:V134"/>
    <mergeCell ref="S192:V192"/>
    <mergeCell ref="S226:V226"/>
    <mergeCell ref="S161:V161"/>
    <mergeCell ref="S62:V62"/>
    <mergeCell ref="Y227:AG230"/>
    <mergeCell ref="A1:AG2"/>
    <mergeCell ref="Y83:AG86"/>
    <mergeCell ref="Y100:AG100"/>
    <mergeCell ref="S241:V241"/>
    <mergeCell ref="S58:V58"/>
    <mergeCell ref="Y160:AG160"/>
    <mergeCell ref="S228:V228"/>
    <mergeCell ref="Q224:W224"/>
    <mergeCell ref="S120:V120"/>
    <mergeCell ref="S191:V191"/>
    <mergeCell ref="S243:V243"/>
    <mergeCell ref="Y173:AG176"/>
    <mergeCell ref="Y17:AG20"/>
    <mergeCell ref="Y196:AG196"/>
    <mergeCell ref="Y11:AG14"/>
    <mergeCell ref="S57:V57"/>
    <mergeCell ref="Y152:AG152"/>
    <mergeCell ref="S229:V229"/>
    <mergeCell ref="Y59:AG62"/>
    <mergeCell ref="Y239:AG242"/>
    <mergeCell ref="S83:V83"/>
    <mergeCell ref="Y95:AG98"/>
    <mergeCell ref="S154:V154"/>
    <mergeCell ref="S163:V163"/>
    <mergeCell ref="S124:V124"/>
    <mergeCell ref="Y88:AG88"/>
    <mergeCell ref="S85:V85"/>
    <mergeCell ref="Y209:AG212"/>
    <mergeCell ref="S47:V47"/>
    <mergeCell ref="S233:V233"/>
    <mergeCell ref="S59:V59"/>
    <mergeCell ref="S119:V119"/>
    <mergeCell ref="Y131:AG134"/>
    <mergeCell ref="Y154:AG154"/>
    <mergeCell ref="S46:V46"/>
    <mergeCell ref="S61:V61"/>
    <mergeCell ref="Y116:AG116"/>
    <mergeCell ref="S48:V48"/>
    <mergeCell ref="Y8:AG8"/>
    <mergeCell ref="S194:V194"/>
    <mergeCell ref="Y130:AG130"/>
    <mergeCell ref="S160:V160"/>
    <mergeCell ref="S131:V131"/>
    <mergeCell ref="S87:V87"/>
    <mergeCell ref="S245:V245"/>
    <mergeCell ref="S49:V49"/>
    <mergeCell ref="S128:V128"/>
    <mergeCell ref="S10:V10"/>
    <mergeCell ref="Y118:AG118"/>
    <mergeCell ref="Y155:AG158"/>
    <mergeCell ref="S137:V137"/>
    <mergeCell ref="S195:V195"/>
    <mergeCell ref="S89:V89"/>
    <mergeCell ref="Y232:AG232"/>
    <mergeCell ref="Q80:W80"/>
    <mergeCell ref="S65:V65"/>
    <mergeCell ref="Y94:AG94"/>
    <mergeCell ref="S157:V157"/>
    <mergeCell ref="S237:V237"/>
    <mergeCell ref="Y22:AG22"/>
    <mergeCell ref="Y101:AG104"/>
    <mergeCell ref="S129:V129"/>
    <mergeCell ref="S123:V123"/>
    <mergeCell ref="S50:V50"/>
    <mergeCell ref="S230:V230"/>
    <mergeCell ref="S51:V51"/>
    <mergeCell ref="Y125:AG128"/>
    <mergeCell ref="S60:V60"/>
    <mergeCell ref="Y80:AG80"/>
    <mergeCell ref="Y208:AG208"/>
    <mergeCell ref="S236:V236"/>
    <mergeCell ref="Y53:AG56"/>
    <mergeCell ref="Y47:AG50"/>
    <mergeCell ref="S232:V232"/>
    <mergeCell ref="Y136:AG136"/>
    <mergeCell ref="S155:V155"/>
    <mergeCell ref="Y167:AG170"/>
    <mergeCell ref="S52:V52"/>
    <mergeCell ref="Q8:W8"/>
    <mergeCell ref="S86:V86"/>
    <mergeCell ref="Y89:AG92"/>
    <mergeCell ref="Y191:AG194"/>
    <mergeCell ref="S122:V122"/>
    <mergeCell ref="Y161:AG164"/>
    <mergeCell ref="Y137:AG140"/>
    <mergeCell ref="Y226:AG226"/>
    <mergeCell ref="Y203:AG206"/>
    <mergeCell ref="Q152:W152"/>
    <mergeCell ref="S53:V53"/>
    <mergeCell ref="S133:V133"/>
    <mergeCell ref="Q44:W44"/>
    <mergeCell ref="S127:V127"/>
    <mergeCell ref="Y44:AG44"/>
    <mergeCell ref="S234:V234"/>
    <mergeCell ref="S55:V55"/>
    <mergeCell ref="Y172:AG172"/>
    <mergeCell ref="S64:V64"/>
    <mergeCell ref="S235:V235"/>
    <mergeCell ref="S162:V162"/>
    <mergeCell ref="Y188:AG188"/>
    <mergeCell ref="S227:V227"/>
    <mergeCell ref="S54:V54"/>
    <mergeCell ref="S88:V88"/>
    <mergeCell ref="S63:V63"/>
    <mergeCell ref="S197:V197"/>
    <mergeCell ref="Y197:AG200"/>
    <mergeCell ref="Y23:AG26"/>
    <mergeCell ref="Y124:AG124"/>
    <mergeCell ref="Y190:AG190"/>
    <mergeCell ref="Y46:AG46"/>
    <mergeCell ref="Y28:AG28"/>
    <mergeCell ref="S56:V56"/>
    <mergeCell ref="S156:V156"/>
    <mergeCell ref="S126:V126"/>
    <mergeCell ref="Y166:AG166"/>
    <mergeCell ref="S198:V198"/>
    <mergeCell ref="S238:V238"/>
    <mergeCell ref="Y238:AG238"/>
    <mergeCell ref="S121:V121"/>
    <mergeCell ref="Y29:AG32"/>
    <mergeCell ref="S244:V244"/>
    <mergeCell ref="S130:V130"/>
    <mergeCell ref="S82:V82"/>
    <mergeCell ref="S231:V231"/>
    <mergeCell ref="S240:V240"/>
    <mergeCell ref="S132:V132"/>
    <mergeCell ref="S190:V190"/>
    <mergeCell ref="Y119:AG122"/>
    <mergeCell ref="Y224:AG224"/>
    <mergeCell ref="Y202:AG202"/>
    <mergeCell ref="Y58:AG58"/>
    <mergeCell ref="S239:V239"/>
    <mergeCell ref="S196:V196"/>
    <mergeCell ref="Q188:W188"/>
    <mergeCell ref="S84:V8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10" defaultColWidth="8.83203125" defaultRowHeight="15"/>
  <sheetData>
    <row r="1">
      <c r="A1" s="8" t="inlineStr">
        <is>
          <t>Monthly Spending</t>
        </is>
      </c>
      <c r="E1" s="8" t="inlineStr">
        <is>
          <t>Spending by Category</t>
        </is>
      </c>
      <c r="I1" s="8" t="inlineStr">
        <is>
          <t>Spending by Store</t>
        </is>
      </c>
      <c r="M1" s="8" t="inlineStr">
        <is>
          <t>Spending Share by Category</t>
        </is>
      </c>
      <c r="Q1" s="8" t="inlineStr">
        <is>
          <t>Top Products by Spending</t>
        </is>
      </c>
      <c r="U1" s="8" t="inlineStr">
        <is>
          <t>Purchase Frequency by Category</t>
        </is>
      </c>
      <c r="Y1" s="8" t="inlineStr">
        <is>
          <t>Monthly Spending by Store</t>
        </is>
      </c>
    </row>
    <row r="2">
      <c r="A2" s="8" t="inlineStr">
        <is>
          <t>Number</t>
        </is>
      </c>
      <c r="B2" s="8" t="inlineStr">
        <is>
          <t>Month</t>
        </is>
      </c>
      <c r="C2" s="8" t="inlineStr">
        <is>
          <t>Spending</t>
        </is>
      </c>
      <c r="E2" s="8" t="inlineStr">
        <is>
          <t>Number</t>
        </is>
      </c>
      <c r="F2" s="8" t="inlineStr">
        <is>
          <t>Category</t>
        </is>
      </c>
      <c r="G2" s="8" t="inlineStr">
        <is>
          <t>Spending</t>
        </is>
      </c>
      <c r="I2" s="8" t="inlineStr">
        <is>
          <t>Number</t>
        </is>
      </c>
      <c r="J2" s="8" t="inlineStr">
        <is>
          <t>Store</t>
        </is>
      </c>
      <c r="K2" s="8" t="inlineStr">
        <is>
          <t>Spending</t>
        </is>
      </c>
      <c r="M2" s="8" t="inlineStr">
        <is>
          <t>Number</t>
        </is>
      </c>
      <c r="N2" s="8" t="inlineStr">
        <is>
          <t>Category</t>
        </is>
      </c>
      <c r="O2" s="8" t="inlineStr">
        <is>
          <t>Spending</t>
        </is>
      </c>
      <c r="Q2" s="8" t="inlineStr">
        <is>
          <t>Number</t>
        </is>
      </c>
      <c r="R2" s="8" t="inlineStr">
        <is>
          <t>Product</t>
        </is>
      </c>
      <c r="S2" s="8" t="inlineStr">
        <is>
          <t>Spending</t>
        </is>
      </c>
      <c r="U2" s="8" t="inlineStr">
        <is>
          <t>Number</t>
        </is>
      </c>
      <c r="V2" s="8" t="inlineStr">
        <is>
          <t>Category</t>
        </is>
      </c>
      <c r="W2" s="8" t="inlineStr">
        <is>
          <t>Purchases</t>
        </is>
      </c>
      <c r="Y2" s="8" t="inlineStr">
        <is>
          <t>Month Number</t>
        </is>
      </c>
      <c r="Z2" s="8" t="inlineStr">
        <is>
          <t>1</t>
        </is>
      </c>
      <c r="AA2" s="8" t="inlineStr">
        <is>
          <t>2</t>
        </is>
      </c>
      <c r="AB2" s="8" t="inlineStr">
        <is>
          <t>3</t>
        </is>
      </c>
      <c r="AC2" s="8" t="inlineStr">
        <is>
          <t>4</t>
        </is>
      </c>
      <c r="AD2" s="8" t="inlineStr">
        <is>
          <t>5</t>
        </is>
      </c>
      <c r="AE2" s="8" t="inlineStr">
        <is>
          <t>6</t>
        </is>
      </c>
      <c r="AF2" s="8" t="inlineStr">
        <is>
          <t>7</t>
        </is>
      </c>
      <c r="AG2" s="8" t="inlineStr">
        <is>
          <t>8</t>
        </is>
      </c>
    </row>
    <row r="3">
      <c r="A3" t="n">
        <v>1</v>
      </c>
      <c r="B3" s="4" t="n">
        <v>46266</v>
      </c>
      <c r="C3" s="5" t="n">
        <v>929.6200000000008</v>
      </c>
      <c r="E3" t="n">
        <v>1</v>
      </c>
      <c r="F3" t="inlineStr">
        <is>
          <t>Dairy</t>
        </is>
      </c>
      <c r="G3" s="5" t="n">
        <v>137.88</v>
      </c>
      <c r="I3" t="n">
        <v>1</v>
      </c>
      <c r="J3" t="inlineStr">
        <is>
          <t>Publix</t>
        </is>
      </c>
      <c r="K3" s="5" t="n">
        <v>324.61</v>
      </c>
      <c r="M3" t="n">
        <v>1</v>
      </c>
      <c r="N3" t="inlineStr">
        <is>
          <t>Dairy</t>
        </is>
      </c>
      <c r="O3" s="5" t="n">
        <v>137.88</v>
      </c>
      <c r="Q3" t="n">
        <v>1</v>
      </c>
      <c r="R3" t="inlineStr">
        <is>
          <t>Salmon Fillet</t>
        </is>
      </c>
      <c r="S3" s="5" t="n">
        <v>46.91</v>
      </c>
      <c r="U3" t="n">
        <v>1</v>
      </c>
      <c r="V3" t="inlineStr">
        <is>
          <t>Produce</t>
        </is>
      </c>
      <c r="W3" t="n">
        <v>42</v>
      </c>
      <c r="Y3" t="n">
        <v>1</v>
      </c>
      <c r="Z3" s="5" t="n">
        <v>324.61</v>
      </c>
      <c r="AA3" s="5" t="n">
        <v>262.9200000000001</v>
      </c>
      <c r="AB3" s="5" t="n">
        <v>125.58</v>
      </c>
      <c r="AC3" s="5" t="n">
        <v>97.13000000000001</v>
      </c>
      <c r="AD3" s="5" t="n">
        <v>56.7</v>
      </c>
      <c r="AE3" s="5" t="n">
        <v>46.79</v>
      </c>
      <c r="AF3" s="5" t="n">
        <v>13.3</v>
      </c>
      <c r="AG3" s="5" t="n">
        <v>2.59</v>
      </c>
    </row>
    <row r="4">
      <c r="E4" t="n">
        <v>2</v>
      </c>
      <c r="F4" t="inlineStr">
        <is>
          <t>Produce</t>
        </is>
      </c>
      <c r="G4" s="5" t="n">
        <v>127.81</v>
      </c>
      <c r="I4" t="n">
        <v>2</v>
      </c>
      <c r="J4" t="inlineStr">
        <is>
          <t>Walmart</t>
        </is>
      </c>
      <c r="K4" s="5" t="n">
        <v>262.9200000000001</v>
      </c>
      <c r="M4" t="n">
        <v>2</v>
      </c>
      <c r="N4" t="inlineStr">
        <is>
          <t>Produce</t>
        </is>
      </c>
      <c r="O4" s="5" t="n">
        <v>127.81</v>
      </c>
      <c r="Q4" t="n">
        <v>2</v>
      </c>
      <c r="R4" t="inlineStr">
        <is>
          <t>Pampers Swaddlers Diapers</t>
        </is>
      </c>
      <c r="S4" s="5" t="n">
        <v>46.79</v>
      </c>
      <c r="U4" t="n">
        <v>2</v>
      </c>
      <c r="V4" t="inlineStr">
        <is>
          <t>Dairy</t>
        </is>
      </c>
      <c r="W4" t="n">
        <v>29</v>
      </c>
    </row>
    <row r="5">
      <c r="E5" t="n">
        <v>3</v>
      </c>
      <c r="F5" t="inlineStr">
        <is>
          <t>Meat</t>
        </is>
      </c>
      <c r="G5" s="5" t="n">
        <v>110.57</v>
      </c>
      <c r="I5" t="n">
        <v>3</v>
      </c>
      <c r="J5" t="inlineStr">
        <is>
          <t>Trader Joe's</t>
        </is>
      </c>
      <c r="K5" s="5" t="n">
        <v>125.58</v>
      </c>
      <c r="M5" t="n">
        <v>3</v>
      </c>
      <c r="N5" t="inlineStr">
        <is>
          <t>Meat</t>
        </is>
      </c>
      <c r="O5" s="5" t="n">
        <v>110.57</v>
      </c>
      <c r="Q5" t="n">
        <v>3</v>
      </c>
      <c r="R5" t="inlineStr">
        <is>
          <t>Papa John's Pizza, Wings &amp; Cheesesticks</t>
        </is>
      </c>
      <c r="S5" s="5" t="n">
        <v>39.37</v>
      </c>
      <c r="U5" t="n">
        <v>3</v>
      </c>
      <c r="V5" t="inlineStr">
        <is>
          <t>Pantry</t>
        </is>
      </c>
      <c r="W5" t="n">
        <v>16</v>
      </c>
    </row>
    <row r="6">
      <c r="E6" t="n">
        <v>4</v>
      </c>
      <c r="F6" t="inlineStr">
        <is>
          <t>Pantry</t>
        </is>
      </c>
      <c r="G6" s="5" t="n">
        <v>76.92999999999999</v>
      </c>
      <c r="I6" t="n">
        <v>4</v>
      </c>
      <c r="J6" t="inlineStr">
        <is>
          <t>Aldi</t>
        </is>
      </c>
      <c r="K6" s="5" t="n">
        <v>97.13000000000001</v>
      </c>
      <c r="M6" t="n">
        <v>4</v>
      </c>
      <c r="N6" t="inlineStr">
        <is>
          <t>Pantry</t>
        </is>
      </c>
      <c r="O6" s="5" t="n">
        <v>76.92999999999999</v>
      </c>
      <c r="Q6" t="n">
        <v>4</v>
      </c>
      <c r="R6" t="inlineStr">
        <is>
          <t>Kosher Ground Beef 85/15</t>
        </is>
      </c>
      <c r="S6" s="5" t="n">
        <v>35.97</v>
      </c>
      <c r="U6" t="n">
        <v>4</v>
      </c>
      <c r="V6" t="inlineStr">
        <is>
          <t>Meat</t>
        </is>
      </c>
      <c r="W6" t="n">
        <v>9</v>
      </c>
    </row>
    <row r="7">
      <c r="E7" t="n">
        <v>5</v>
      </c>
      <c r="F7" t="inlineStr">
        <is>
          <t>Prepared Eating</t>
        </is>
      </c>
      <c r="G7" s="5" t="n">
        <v>71.78999999999999</v>
      </c>
      <c r="I7" t="n">
        <v>5</v>
      </c>
      <c r="J7" t="inlineStr">
        <is>
          <t>PapaJohns</t>
        </is>
      </c>
      <c r="K7" s="5" t="n">
        <v>56.7</v>
      </c>
      <c r="M7" t="n">
        <v>5</v>
      </c>
      <c r="N7" t="inlineStr">
        <is>
          <t>Prepared Eating</t>
        </is>
      </c>
      <c r="O7" s="5" t="n">
        <v>71.78999999999999</v>
      </c>
      <c r="Q7" t="n">
        <v>5</v>
      </c>
      <c r="R7" t="inlineStr">
        <is>
          <t>Empire Kosher Ground Turkey</t>
        </is>
      </c>
      <c r="S7" s="5" t="n">
        <v>27.96</v>
      </c>
      <c r="U7" t="n">
        <v>5</v>
      </c>
      <c r="V7" t="inlineStr">
        <is>
          <t>Dessert</t>
        </is>
      </c>
      <c r="W7" t="n">
        <v>7</v>
      </c>
    </row>
    <row r="8">
      <c r="E8" t="n">
        <v>6</v>
      </c>
      <c r="F8" t="inlineStr">
        <is>
          <t>Fish</t>
        </is>
      </c>
      <c r="G8" s="5" t="n">
        <v>60.9</v>
      </c>
      <c r="I8" t="n">
        <v>6</v>
      </c>
      <c r="J8" t="inlineStr">
        <is>
          <t>Cosco</t>
        </is>
      </c>
      <c r="K8" s="5" t="n">
        <v>46.79</v>
      </c>
      <c r="M8" t="n">
        <v>6</v>
      </c>
      <c r="N8" t="inlineStr">
        <is>
          <t>Fish</t>
        </is>
      </c>
      <c r="O8" s="5" t="n">
        <v>60.9</v>
      </c>
      <c r="Q8" t="n">
        <v>6</v>
      </c>
      <c r="R8" t="inlineStr">
        <is>
          <t>Purina Tidy Cats Free &amp; Clean Clumping Cat Litter</t>
        </is>
      </c>
      <c r="S8" s="5" t="n">
        <v>25.94</v>
      </c>
      <c r="U8" t="n">
        <v>6</v>
      </c>
      <c r="V8" t="inlineStr">
        <is>
          <t>Bakery</t>
        </is>
      </c>
      <c r="W8" t="n">
        <v>6</v>
      </c>
    </row>
    <row r="9">
      <c r="E9" t="n">
        <v>7</v>
      </c>
      <c r="F9" t="inlineStr">
        <is>
          <t>Baby Care</t>
        </is>
      </c>
      <c r="G9" s="5" t="n">
        <v>59.78</v>
      </c>
      <c r="I9" t="n">
        <v>7</v>
      </c>
      <c r="J9" t="inlineStr">
        <is>
          <t>SurfinTurtle</t>
        </is>
      </c>
      <c r="K9" s="5" t="n">
        <v>13.3</v>
      </c>
      <c r="M9" t="n">
        <v>7</v>
      </c>
      <c r="N9" t="inlineStr">
        <is>
          <t>Baby Care</t>
        </is>
      </c>
      <c r="O9" s="5" t="n">
        <v>59.78</v>
      </c>
      <c r="Q9" t="n">
        <v>7</v>
      </c>
      <c r="R9" t="inlineStr">
        <is>
          <t>Driver Tip</t>
        </is>
      </c>
      <c r="S9" s="5" t="n">
        <v>22.11</v>
      </c>
      <c r="U9" t="n">
        <v>7</v>
      </c>
      <c r="V9" t="inlineStr">
        <is>
          <t>Condiments &amp; Seasonings</t>
        </is>
      </c>
      <c r="W9" t="n">
        <v>6</v>
      </c>
    </row>
    <row r="10">
      <c r="E10" t="n">
        <v>8</v>
      </c>
      <c r="F10" t="inlineStr">
        <is>
          <t>Dessert</t>
        </is>
      </c>
      <c r="G10" s="5" t="n">
        <v>36.71</v>
      </c>
      <c r="I10" t="n">
        <v>8</v>
      </c>
      <c r="J10" t="inlineStr">
        <is>
          <t>L3HAtriumCafe</t>
        </is>
      </c>
      <c r="K10" s="5" t="n">
        <v>2.59</v>
      </c>
      <c r="M10" t="n">
        <v>8</v>
      </c>
      <c r="N10" t="inlineStr">
        <is>
          <t>Dessert</t>
        </is>
      </c>
      <c r="O10" s="5" t="n">
        <v>36.71</v>
      </c>
      <c r="Q10" t="n">
        <v>8</v>
      </c>
      <c r="R10" t="inlineStr">
        <is>
          <t>Chobani Protein Greek Yogurt Drink, Strawberries &amp; Cream</t>
        </is>
      </c>
      <c r="S10" s="5" t="n">
        <v>21.98</v>
      </c>
      <c r="U10" t="n">
        <v>8</v>
      </c>
      <c r="V10" t="inlineStr">
        <is>
          <t>Fees</t>
        </is>
      </c>
      <c r="W10" t="n">
        <v>6</v>
      </c>
    </row>
    <row r="11">
      <c r="E11" t="n">
        <v>9</v>
      </c>
      <c r="F11" t="inlineStr">
        <is>
          <t>Bakery</t>
        </is>
      </c>
      <c r="G11" s="5" t="n">
        <v>31.81</v>
      </c>
      <c r="M11" t="n">
        <v>9</v>
      </c>
      <c r="N11" t="inlineStr">
        <is>
          <t>Bakery</t>
        </is>
      </c>
      <c r="O11" s="5" t="n">
        <v>31.81</v>
      </c>
      <c r="Q11" t="n">
        <v>9</v>
      </c>
      <c r="R11" t="inlineStr">
        <is>
          <t>Empire Kosher Boneless Skinless Chicken Breast</t>
        </is>
      </c>
      <c r="S11" s="5" t="n">
        <v>21.74</v>
      </c>
      <c r="U11" t="n">
        <v>9</v>
      </c>
      <c r="V11" t="inlineStr">
        <is>
          <t>Prepared Eating</t>
        </is>
      </c>
      <c r="W11" t="n">
        <v>6</v>
      </c>
    </row>
    <row r="12">
      <c r="E12" t="n">
        <v>10</v>
      </c>
      <c r="F12" t="inlineStr">
        <is>
          <t>Fees</t>
        </is>
      </c>
      <c r="G12" s="5" t="n">
        <v>30.69</v>
      </c>
      <c r="M12" t="n">
        <v>10</v>
      </c>
      <c r="N12" t="inlineStr">
        <is>
          <t>Fees</t>
        </is>
      </c>
      <c r="O12" s="5" t="n">
        <v>30.69</v>
      </c>
      <c r="Q12" t="n">
        <v>10</v>
      </c>
      <c r="R12" t="inlineStr">
        <is>
          <t>Silk Organic Unsweet Soymilk, Half Gallon</t>
        </is>
      </c>
      <c r="S12" s="5" t="n">
        <v>20.37</v>
      </c>
      <c r="U12" t="n">
        <v>10</v>
      </c>
      <c r="V12" t="inlineStr">
        <is>
          <t>Toiletries, Cleaning and Disposables</t>
        </is>
      </c>
      <c r="W12" t="n">
        <v>6</v>
      </c>
    </row>
    <row r="13">
      <c r="E13" t="n">
        <v>11</v>
      </c>
      <c r="F13" t="inlineStr">
        <is>
          <t>Toiletries, Cleaning and Disposables</t>
        </is>
      </c>
      <c r="G13" s="5" t="n">
        <v>30.54</v>
      </c>
      <c r="M13" t="n">
        <v>11</v>
      </c>
      <c r="N13" t="inlineStr">
        <is>
          <t>Toiletries, Cleaning and Disposables</t>
        </is>
      </c>
      <c r="O13" s="5" t="n">
        <v>30.54</v>
      </c>
      <c r="U13" t="n">
        <v>11</v>
      </c>
      <c r="V13" t="inlineStr">
        <is>
          <t>Fish</t>
        </is>
      </c>
      <c r="W13" t="n">
        <v>3</v>
      </c>
    </row>
    <row r="14">
      <c r="E14" t="n">
        <v>12</v>
      </c>
      <c r="F14" t="inlineStr">
        <is>
          <t>Self Care</t>
        </is>
      </c>
      <c r="G14" s="5" t="n">
        <v>29.22</v>
      </c>
      <c r="M14" t="n">
        <v>12</v>
      </c>
      <c r="N14" t="inlineStr">
        <is>
          <t>Self Care</t>
        </is>
      </c>
      <c r="O14" s="5" t="n">
        <v>29.22</v>
      </c>
      <c r="U14" t="n">
        <v>12</v>
      </c>
      <c r="V14" t="inlineStr">
        <is>
          <t>Frozen Food</t>
        </is>
      </c>
      <c r="W14" t="n">
        <v>3</v>
      </c>
    </row>
    <row r="15">
      <c r="E15" t="n">
        <v>13</v>
      </c>
      <c r="F15" t="inlineStr">
        <is>
          <t>Pets</t>
        </is>
      </c>
      <c r="G15" s="5" t="n">
        <v>25.94</v>
      </c>
      <c r="M15" t="n">
        <v>13</v>
      </c>
      <c r="N15" t="inlineStr">
        <is>
          <t>Pets</t>
        </is>
      </c>
      <c r="O15" s="5" t="n">
        <v>25.94</v>
      </c>
      <c r="U15" t="n">
        <v>13</v>
      </c>
      <c r="V15" t="inlineStr">
        <is>
          <t>Self Care</t>
        </is>
      </c>
      <c r="W15" t="n">
        <v>3</v>
      </c>
    </row>
    <row r="16">
      <c r="E16" t="n">
        <v>14</v>
      </c>
      <c r="F16" t="inlineStr">
        <is>
          <t>Condiments &amp; Seasonings</t>
        </is>
      </c>
      <c r="G16" s="5" t="n">
        <v>21.08</v>
      </c>
      <c r="M16" t="n">
        <v>14</v>
      </c>
      <c r="N16" t="inlineStr">
        <is>
          <t>Condiments &amp; Seasonings</t>
        </is>
      </c>
      <c r="O16" s="5" t="n">
        <v>21.08</v>
      </c>
      <c r="U16" t="n">
        <v>14</v>
      </c>
      <c r="V16" t="inlineStr">
        <is>
          <t>Baby Care</t>
        </is>
      </c>
      <c r="W16" t="n">
        <v>2</v>
      </c>
    </row>
    <row r="17">
      <c r="E17" t="n">
        <v>15</v>
      </c>
      <c r="F17" t="inlineStr">
        <is>
          <t>Cakes &amp; Pies</t>
        </is>
      </c>
      <c r="G17" s="5" t="n">
        <v>19.48</v>
      </c>
      <c r="M17" t="n">
        <v>15</v>
      </c>
      <c r="N17" t="inlineStr">
        <is>
          <t>Cakes &amp; Pies</t>
        </is>
      </c>
      <c r="O17" s="5" t="n">
        <v>19.48</v>
      </c>
      <c r="U17" t="n">
        <v>15</v>
      </c>
      <c r="V17" t="inlineStr">
        <is>
          <t>Cakes &amp; Pies</t>
        </is>
      </c>
      <c r="W17" t="n">
        <v>2</v>
      </c>
    </row>
    <row r="18">
      <c r="E18" t="n">
        <v>16</v>
      </c>
      <c r="F18" t="inlineStr">
        <is>
          <t>Alcohol</t>
        </is>
      </c>
      <c r="G18" s="5" t="n">
        <v>17.87</v>
      </c>
      <c r="M18" t="n">
        <v>16</v>
      </c>
      <c r="N18" t="inlineStr">
        <is>
          <t>Alcohol</t>
        </is>
      </c>
      <c r="O18" s="5" t="n">
        <v>17.87</v>
      </c>
      <c r="U18" t="n">
        <v>16</v>
      </c>
      <c r="V18" t="inlineStr">
        <is>
          <t>Eggs</t>
        </is>
      </c>
      <c r="W18" t="n">
        <v>2</v>
      </c>
    </row>
    <row r="19">
      <c r="E19" t="n">
        <v>17</v>
      </c>
      <c r="F19" t="inlineStr">
        <is>
          <t>Wine</t>
        </is>
      </c>
      <c r="G19" s="5" t="n">
        <v>14.38</v>
      </c>
      <c r="M19" t="n">
        <v>17</v>
      </c>
      <c r="N19" t="inlineStr">
        <is>
          <t>Wine</t>
        </is>
      </c>
      <c r="O19" s="5" t="n">
        <v>14.38</v>
      </c>
      <c r="U19" t="n">
        <v>17</v>
      </c>
      <c r="V19" t="inlineStr">
        <is>
          <t>Wine</t>
        </is>
      </c>
      <c r="W19" t="n">
        <v>2</v>
      </c>
    </row>
    <row r="20">
      <c r="E20" t="n">
        <v>18</v>
      </c>
      <c r="F20" t="inlineStr">
        <is>
          <t>Frozen Food</t>
        </is>
      </c>
      <c r="G20" s="5" t="n">
        <v>14.05</v>
      </c>
      <c r="M20" t="n">
        <v>18</v>
      </c>
      <c r="N20" t="inlineStr">
        <is>
          <t>Frozen Food</t>
        </is>
      </c>
      <c r="O20" s="5" t="n">
        <v>14.05</v>
      </c>
      <c r="U20" t="n">
        <v>18</v>
      </c>
      <c r="V20" t="inlineStr">
        <is>
          <t>Alcohol</t>
        </is>
      </c>
      <c r="W20" t="n">
        <v>1</v>
      </c>
    </row>
    <row r="21">
      <c r="E21" t="n">
        <v>19</v>
      </c>
      <c r="F21" t="inlineStr">
        <is>
          <t>Eggs</t>
        </is>
      </c>
      <c r="G21" s="5" t="n">
        <v>8.199999999999999</v>
      </c>
      <c r="M21" t="n">
        <v>19</v>
      </c>
      <c r="N21" t="inlineStr">
        <is>
          <t>Eggs</t>
        </is>
      </c>
      <c r="O21" s="5" t="n">
        <v>8.199999999999999</v>
      </c>
      <c r="U21" t="n">
        <v>19</v>
      </c>
      <c r="V21" t="inlineStr">
        <is>
          <t>Balloons</t>
        </is>
      </c>
      <c r="W21" t="n">
        <v>1</v>
      </c>
    </row>
    <row r="22">
      <c r="E22" t="n">
        <v>20</v>
      </c>
      <c r="F22" t="inlineStr">
        <is>
          <t>Balloons</t>
        </is>
      </c>
      <c r="G22" s="5" t="n">
        <v>3.99</v>
      </c>
      <c r="M22" t="n">
        <v>20</v>
      </c>
      <c r="N22" t="inlineStr">
        <is>
          <t>Balloons</t>
        </is>
      </c>
      <c r="O22" s="5" t="n">
        <v>3.99</v>
      </c>
      <c r="U22" t="n">
        <v>20</v>
      </c>
      <c r="V22" t="inlineStr">
        <is>
          <t>Pets</t>
        </is>
      </c>
      <c r="W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65" min="1" max="15"/>
    <col width="2" customWidth="1" style="65" min="16" max="16"/>
    <col width="4" customWidth="1" style="65" min="17" max="17"/>
    <col width="5" customWidth="1" style="65" min="18" max="18"/>
    <col width="15" customWidth="1" style="65" min="19" max="22"/>
    <col width="14" customWidth="1" style="65" min="23" max="23"/>
    <col width="2" customWidth="1" style="65" min="24" max="24"/>
    <col width="13" customWidth="1" style="65" min="25" max="33"/>
  </cols>
  <sheetData>
    <row r="1" ht="28" customHeight="1" s="65">
      <c r="A1" s="70" t="inlineStr">
        <is>
          <t>ShopGraph Sub Analytics</t>
        </is>
      </c>
    </row>
    <row r="2" ht="28" customHeight="1" s="65"/>
    <row r="4">
      <c r="A4" s="9" t="inlineStr">
        <is>
          <t>Total Spending</t>
        </is>
      </c>
      <c r="G4" s="9" t="inlineStr">
        <is>
          <t>Purchase Observations</t>
        </is>
      </c>
      <c r="M4" s="9" t="inlineStr">
        <is>
          <t>Date Range</t>
        </is>
      </c>
      <c r="T4" s="9" t="inlineStr">
        <is>
          <t>Stores</t>
        </is>
      </c>
      <c r="Z4" s="9" t="inlineStr">
        <is>
          <t>Sub-Categories</t>
        </is>
      </c>
    </row>
    <row r="5" ht="16" customHeight="1" s="65">
      <c r="A5" s="10" t="n">
        <v>929.62</v>
      </c>
      <c r="G5" s="11" t="n">
        <v>153</v>
      </c>
      <c r="M5" s="11" t="inlineStr">
        <is>
          <t>09/03/2026 - 09/20/2026</t>
        </is>
      </c>
      <c r="T5" s="11" t="n">
        <v>8</v>
      </c>
      <c r="Z5" s="11" t="n">
        <v>55</v>
      </c>
    </row>
    <row r="8" ht="16" customHeight="1" s="65">
      <c r="Q8" s="69" t="inlineStr">
        <is>
          <t>Number / Month</t>
        </is>
      </c>
      <c r="Y8" s="69" t="inlineStr">
        <is>
          <t>How to Read This Graph</t>
        </is>
      </c>
    </row>
    <row r="9">
      <c r="Q9" s="12" t="n"/>
      <c r="R9" s="12" t="inlineStr">
        <is>
          <t>#</t>
        </is>
      </c>
      <c r="S9" s="12" t="inlineStr">
        <is>
          <t>Description</t>
        </is>
      </c>
      <c r="W9" s="12" t="inlineStr">
        <is>
          <t>Value</t>
        </is>
      </c>
    </row>
    <row r="10" ht="22" customHeight="1" s="65">
      <c r="Q10" s="13" t="n"/>
      <c r="R10" s="14" t="n">
        <v>1</v>
      </c>
      <c r="S10" s="66" t="inlineStr">
        <is>
          <t>September 2026</t>
        </is>
      </c>
      <c r="W10" s="6" t="inlineStr">
        <is>
          <t>$929.62</t>
        </is>
      </c>
      <c r="Y10" s="68" t="inlineStr">
        <is>
          <t>What it represents</t>
        </is>
      </c>
    </row>
    <row r="11">
      <c r="Y11" s="66" t="inlineStr">
        <is>
          <t>Shows total household spending for each calendar month. Every valid Date N / Price N purchase observation is added to its month.</t>
        </is>
      </c>
    </row>
    <row r="12"/>
    <row r="13"/>
    <row r="14"/>
    <row r="16">
      <c r="Y16" s="68" t="inlineStr">
        <is>
          <t>How to read it</t>
        </is>
      </c>
    </row>
    <row r="17">
      <c r="Y17" s="66" t="inlineStr">
        <is>
          <t>The x-axis uses month numbers instead of month names to keep the graph clear. Match each number to the month and dollar total in the key. A rising line means monthly spending increased; a falling line means it decreased.</t>
        </is>
      </c>
    </row>
    <row r="18"/>
    <row r="19"/>
    <row r="20"/>
    <row r="22">
      <c r="Y22" s="68" t="inlineStr">
        <is>
          <t>What it is useful for</t>
        </is>
      </c>
    </row>
    <row r="23">
      <c r="Y23" s="66" t="inlineStr">
        <is>
          <t>Use this to identify overall spending trends, unusually expensive months, and whether spending is gradually moving up or down over time.</t>
        </is>
      </c>
    </row>
    <row r="24"/>
    <row r="25"/>
    <row r="26"/>
    <row r="28">
      <c r="Y28" s="68" t="inlineStr">
        <is>
          <t>Notes</t>
        </is>
      </c>
    </row>
    <row r="29">
      <c r="Y29" s="66" t="inlineStr">
        <is>
          <t>Months with no spending between the earliest and latest purchase dates are included as zero-spend months.</t>
        </is>
      </c>
    </row>
    <row r="30"/>
    <row r="31"/>
    <row r="32"/>
    <row r="44" ht="16" customHeight="1" s="65">
      <c r="Q44" s="69" t="inlineStr">
        <is>
          <t>Number / Sub-Category</t>
        </is>
      </c>
      <c r="Y44" s="69" t="inlineStr">
        <is>
          <t>How to Read This Graph</t>
        </is>
      </c>
    </row>
    <row r="45">
      <c r="Q45" s="12" t="n"/>
      <c r="R45" s="12" t="inlineStr">
        <is>
          <t>#</t>
        </is>
      </c>
      <c r="S45" s="12" t="inlineStr">
        <is>
          <t>Description</t>
        </is>
      </c>
      <c r="W45" s="12" t="inlineStr">
        <is>
          <t>Value</t>
        </is>
      </c>
    </row>
    <row r="46" ht="22" customHeight="1" s="65">
      <c r="Q46" s="13" t="n"/>
      <c r="R46" s="14" t="n">
        <v>1</v>
      </c>
      <c r="S46" s="66" t="inlineStr">
        <is>
          <t>Prepared Meals</t>
        </is>
      </c>
      <c r="W46" s="6" t="inlineStr">
        <is>
          <t>$71.79</t>
        </is>
      </c>
      <c r="Y46" s="68" t="inlineStr">
        <is>
          <t>What it represents</t>
        </is>
      </c>
    </row>
    <row r="47" ht="22" customHeight="1" s="65">
      <c r="Q47" s="15" t="n"/>
      <c r="R47" s="14" t="n">
        <v>2</v>
      </c>
      <c r="S47" s="66" t="inlineStr">
        <is>
          <t>Fresh Poultry</t>
        </is>
      </c>
      <c r="W47" s="6" t="inlineStr">
        <is>
          <t>$68.86</t>
        </is>
      </c>
      <c r="Y47" s="66" t="inlineStr">
        <is>
          <t>Compares total spending across every sub-category in Purchase History. No sub-categories are collapsed into an 'Other' group.</t>
        </is>
      </c>
    </row>
    <row r="48" ht="22" customHeight="1" s="65">
      <c r="Q48" s="16" t="n"/>
      <c r="R48" s="14" t="n">
        <v>3</v>
      </c>
      <c r="S48" s="66" t="inlineStr">
        <is>
          <t>Baby Care</t>
        </is>
      </c>
      <c r="W48" s="6" t="inlineStr">
        <is>
          <t>$59.78</t>
        </is>
      </c>
    </row>
    <row r="49" ht="22" customHeight="1" s="65">
      <c r="Q49" s="17" t="n"/>
      <c r="R49" s="14" t="n">
        <v>4</v>
      </c>
      <c r="S49" s="66" t="inlineStr">
        <is>
          <t>Fresh Seafood</t>
        </is>
      </c>
      <c r="W49" s="6" t="inlineStr">
        <is>
          <t>$54.91</t>
        </is>
      </c>
    </row>
    <row r="50" ht="22" customHeight="1" s="65">
      <c r="Q50" s="18" t="n"/>
      <c r="R50" s="14" t="n">
        <v>5</v>
      </c>
      <c r="S50" s="66" t="inlineStr">
        <is>
          <t>Yogurt</t>
        </is>
      </c>
      <c r="W50" s="6" t="inlineStr">
        <is>
          <t>$52.83</t>
        </is>
      </c>
    </row>
    <row r="51" ht="22" customHeight="1" s="65">
      <c r="Q51" s="19" t="n"/>
      <c r="R51" s="14" t="n">
        <v>6</v>
      </c>
      <c r="S51" s="66" t="inlineStr">
        <is>
          <t>Fresh Fruit</t>
        </is>
      </c>
      <c r="W51" s="6" t="inlineStr">
        <is>
          <t>$48.17</t>
        </is>
      </c>
    </row>
    <row r="52" ht="22" customHeight="1" s="65">
      <c r="Q52" s="20" t="n"/>
      <c r="R52" s="14" t="n">
        <v>7</v>
      </c>
      <c r="S52" s="66" t="inlineStr">
        <is>
          <t>Fresh Vegetables</t>
        </is>
      </c>
      <c r="W52" s="6" t="inlineStr">
        <is>
          <t>$43.72</t>
        </is>
      </c>
      <c r="Y52" s="68" t="inlineStr">
        <is>
          <t>How to read it</t>
        </is>
      </c>
    </row>
    <row r="53" ht="22" customHeight="1" s="65">
      <c r="Q53" s="21" t="n"/>
      <c r="R53" s="14" t="n">
        <v>8</v>
      </c>
      <c r="S53" s="66" t="inlineStr">
        <is>
          <t>Fresh Beef</t>
        </is>
      </c>
      <c r="W53" s="6" t="inlineStr">
        <is>
          <t>$35.97</t>
        </is>
      </c>
      <c r="Y53" s="66" t="inlineStr">
        <is>
          <t>Each horizontal bar is identified by a number and color. Use the key to map that number/color to the sub-category name and exact spending amount. Longer bars mean more money was spent in that sub-category.</t>
        </is>
      </c>
    </row>
    <row r="54" ht="22" customHeight="1" s="65">
      <c r="Q54" s="22" t="n"/>
      <c r="R54" s="14" t="n">
        <v>9</v>
      </c>
      <c r="S54" s="66" t="inlineStr">
        <is>
          <t>Fees &amp; Charges</t>
        </is>
      </c>
      <c r="W54" s="6" t="inlineStr">
        <is>
          <t>$30.69</t>
        </is>
      </c>
    </row>
    <row r="55" ht="22" customHeight="1" s="65">
      <c r="Q55" s="23" t="n"/>
      <c r="R55" s="14" t="n">
        <v>10</v>
      </c>
      <c r="S55" s="66" t="inlineStr">
        <is>
          <t>Cream &amp; Half-and-Half</t>
        </is>
      </c>
      <c r="W55" s="6" t="inlineStr">
        <is>
          <t>$30.47</t>
        </is>
      </c>
    </row>
    <row r="56" ht="22" customHeight="1" s="65">
      <c r="Q56" s="24" t="n"/>
      <c r="R56" s="14" t="n">
        <v>11</v>
      </c>
      <c r="S56" s="66" t="inlineStr">
        <is>
          <t>Cat Litter</t>
        </is>
      </c>
      <c r="W56" s="6" t="inlineStr">
        <is>
          <t>$25.94</t>
        </is>
      </c>
    </row>
    <row r="57" ht="22" customHeight="1" s="65">
      <c r="Q57" s="25" t="n"/>
      <c r="R57" s="14" t="n">
        <v>12</v>
      </c>
      <c r="S57" s="66" t="inlineStr">
        <is>
          <t>Bread</t>
        </is>
      </c>
      <c r="W57" s="6" t="inlineStr">
        <is>
          <t>$25.82</t>
        </is>
      </c>
    </row>
    <row r="58" ht="22" customHeight="1" s="65">
      <c r="Q58" s="13" t="n"/>
      <c r="R58" s="14" t="n">
        <v>13</v>
      </c>
      <c r="S58" s="66" t="inlineStr">
        <is>
          <t>Salad Kits</t>
        </is>
      </c>
      <c r="W58" s="6" t="inlineStr">
        <is>
          <t>$24.18</t>
        </is>
      </c>
      <c r="Y58" s="68" t="inlineStr">
        <is>
          <t>What it is useful for</t>
        </is>
      </c>
    </row>
    <row r="59" ht="22" customHeight="1" s="65">
      <c r="Q59" s="15" t="n"/>
      <c r="R59" s="14" t="n">
        <v>14</v>
      </c>
      <c r="S59" s="66" t="inlineStr">
        <is>
          <t>Antacids</t>
        </is>
      </c>
      <c r="W59" s="6" t="inlineStr">
        <is>
          <t>$22.25</t>
        </is>
      </c>
      <c r="Y59" s="66" t="inlineStr">
        <is>
          <t>Use this to see which types of goods are the biggest drivers of household spending.</t>
        </is>
      </c>
    </row>
    <row r="60" ht="22" customHeight="1" s="65">
      <c r="Q60" s="16" t="n"/>
      <c r="R60" s="14" t="n">
        <v>15</v>
      </c>
      <c r="S60" s="66" t="inlineStr">
        <is>
          <t>Plant-Based Milk</t>
        </is>
      </c>
      <c r="W60" s="6" t="inlineStr">
        <is>
          <t>$20.37</t>
        </is>
      </c>
    </row>
    <row r="61" ht="22" customHeight="1" s="65">
      <c r="Q61" s="17" t="n"/>
      <c r="R61" s="14" t="n">
        <v>16</v>
      </c>
      <c r="S61" s="66" t="inlineStr">
        <is>
          <t>Frozen Desserts</t>
        </is>
      </c>
      <c r="W61" s="6" t="inlineStr">
        <is>
          <t>$19.57</t>
        </is>
      </c>
    </row>
    <row r="62" ht="22" customHeight="1" s="65">
      <c r="Q62" s="18" t="n"/>
      <c r="R62" s="14" t="n">
        <v>17</v>
      </c>
      <c r="S62" s="66" t="inlineStr">
        <is>
          <t>Cakes &amp; Pies</t>
        </is>
      </c>
      <c r="W62" s="6" t="inlineStr">
        <is>
          <t>$19.48</t>
        </is>
      </c>
    </row>
    <row r="63" ht="22" customHeight="1" s="65">
      <c r="Q63" s="19" t="n"/>
      <c r="R63" s="14" t="n">
        <v>18</v>
      </c>
      <c r="S63" s="66" t="inlineStr">
        <is>
          <t>Refrigerated Pasta</t>
        </is>
      </c>
      <c r="W63" s="6" t="inlineStr">
        <is>
          <t>$18.74</t>
        </is>
      </c>
    </row>
    <row r="64" ht="22" customHeight="1" s="65">
      <c r="Q64" s="20" t="n"/>
      <c r="R64" s="14" t="n">
        <v>19</v>
      </c>
      <c r="S64" s="66" t="inlineStr">
        <is>
          <t>Cheese</t>
        </is>
      </c>
      <c r="W64" s="6" t="inlineStr">
        <is>
          <t>$18.04</t>
        </is>
      </c>
    </row>
    <row r="65" ht="22" customHeight="1" s="65">
      <c r="Q65" s="21" t="n"/>
      <c r="R65" s="14" t="n">
        <v>20</v>
      </c>
      <c r="S65" s="66" t="inlineStr">
        <is>
          <t>Beer</t>
        </is>
      </c>
      <c r="W65" s="6" t="inlineStr">
        <is>
          <t>$17.87</t>
        </is>
      </c>
    </row>
    <row r="66" ht="22" customHeight="1" s="65">
      <c r="Q66" s="22" t="n"/>
      <c r="R66" s="14" t="n">
        <v>21</v>
      </c>
      <c r="S66" s="66" t="inlineStr">
        <is>
          <t>Wine</t>
        </is>
      </c>
      <c r="W66" s="6" t="inlineStr">
        <is>
          <t>$14.38</t>
        </is>
      </c>
    </row>
    <row r="67" ht="22" customHeight="1" s="65">
      <c r="Q67" s="23" t="n"/>
      <c r="R67" s="14" t="n">
        <v>22</v>
      </c>
      <c r="S67" s="66" t="inlineStr">
        <is>
          <t>Coffee Creamer</t>
        </is>
      </c>
      <c r="W67" s="6" t="inlineStr">
        <is>
          <t>$13.38</t>
        </is>
      </c>
    </row>
    <row r="68" ht="22" customHeight="1" s="65">
      <c r="Q68" s="24" t="n"/>
      <c r="R68" s="14" t="n">
        <v>23</v>
      </c>
      <c r="S68" s="66" t="inlineStr">
        <is>
          <t>Broth &amp; Stock</t>
        </is>
      </c>
      <c r="W68" s="6" t="inlineStr">
        <is>
          <t>$11.72</t>
        </is>
      </c>
    </row>
    <row r="69" ht="22" customHeight="1" s="65">
      <c r="Q69" s="25" t="n"/>
      <c r="R69" s="14" t="n">
        <v>24</v>
      </c>
      <c r="S69" s="66" t="inlineStr">
        <is>
          <t>Baking Ingredients</t>
        </is>
      </c>
      <c r="W69" s="6" t="inlineStr">
        <is>
          <t>$11.59</t>
        </is>
      </c>
    </row>
    <row r="70" ht="22" customHeight="1" s="65">
      <c r="Q70" s="13" t="n"/>
      <c r="R70" s="14" t="n">
        <v>25</v>
      </c>
      <c r="S70" s="66" t="inlineStr">
        <is>
          <t>Seasonings &amp; Spices</t>
        </is>
      </c>
      <c r="W70" s="6" t="inlineStr">
        <is>
          <t>$11.53</t>
        </is>
      </c>
    </row>
    <row r="71" ht="22" customHeight="1" s="65">
      <c r="Q71" s="15" t="n"/>
      <c r="R71" s="14" t="n">
        <v>26</v>
      </c>
      <c r="S71" s="66" t="inlineStr">
        <is>
          <t>Refrigerated Dough</t>
        </is>
      </c>
      <c r="W71" s="6" t="inlineStr">
        <is>
          <t>$9.96</t>
        </is>
      </c>
    </row>
    <row r="72" ht="22" customHeight="1" s="65">
      <c r="Q72" s="16" t="n"/>
      <c r="R72" s="14" t="n">
        <v>27</v>
      </c>
      <c r="S72" s="66" t="inlineStr">
        <is>
          <t>Household Cleaners</t>
        </is>
      </c>
      <c r="W72" s="6" t="inlineStr">
        <is>
          <t>$9.94</t>
        </is>
      </c>
    </row>
    <row r="73" ht="22" customHeight="1" s="65">
      <c r="Q73" s="17" t="n"/>
      <c r="R73" s="14" t="n">
        <v>28</v>
      </c>
      <c r="S73" s="66" t="inlineStr">
        <is>
          <t>Dried Fruit</t>
        </is>
      </c>
      <c r="W73" s="6" t="inlineStr">
        <is>
          <t>$8.42</t>
        </is>
      </c>
    </row>
    <row r="74" ht="22" customHeight="1" s="65">
      <c r="Q74" s="18" t="n"/>
      <c r="R74" s="14" t="n">
        <v>29</v>
      </c>
      <c r="S74" s="66" t="inlineStr">
        <is>
          <t>Frozen Pizza</t>
        </is>
      </c>
      <c r="W74" s="6" t="inlineStr">
        <is>
          <t>$8.29</t>
        </is>
      </c>
    </row>
    <row r="75" ht="22" customHeight="1" s="65">
      <c r="Q75" s="19" t="n"/>
      <c r="R75" s="14" t="n">
        <v>30</v>
      </c>
      <c r="S75" s="66" t="inlineStr">
        <is>
          <t>Eggs</t>
        </is>
      </c>
      <c r="W75" s="6" t="inlineStr">
        <is>
          <t>$8.20</t>
        </is>
      </c>
    </row>
    <row r="76" ht="22" customHeight="1" s="65">
      <c r="Q76" s="20" t="n"/>
      <c r="R76" s="14" t="n">
        <v>31</v>
      </c>
      <c r="S76" s="66" t="inlineStr">
        <is>
          <t>Applesauce</t>
        </is>
      </c>
      <c r="W76" s="6" t="inlineStr">
        <is>
          <t>$7.97</t>
        </is>
      </c>
    </row>
    <row r="77" ht="22" customHeight="1" s="65">
      <c r="Q77" s="21" t="n"/>
      <c r="R77" s="14" t="n">
        <v>32</v>
      </c>
      <c r="S77" s="66" t="inlineStr">
        <is>
          <t>Rice Cakes &amp; Crisps</t>
        </is>
      </c>
      <c r="W77" s="6" t="inlineStr">
        <is>
          <t>$6.98</t>
        </is>
      </c>
    </row>
    <row r="78" ht="22" customHeight="1" s="65">
      <c r="Q78" s="22" t="n"/>
      <c r="R78" s="14" t="n">
        <v>33</v>
      </c>
      <c r="S78" s="66" t="inlineStr">
        <is>
          <t>Hair Care</t>
        </is>
      </c>
      <c r="W78" s="6" t="inlineStr">
        <is>
          <t>$6.97</t>
        </is>
      </c>
    </row>
    <row r="79" ht="22" customHeight="1" s="65">
      <c r="Q79" s="23" t="n"/>
      <c r="R79" s="14" t="n">
        <v>34</v>
      </c>
      <c r="S79" s="66" t="inlineStr">
        <is>
          <t>Muffins &amp; Pastries</t>
        </is>
      </c>
      <c r="W79" s="6" t="inlineStr">
        <is>
          <t>$5.99</t>
        </is>
      </c>
    </row>
    <row r="80" ht="22" customHeight="1" s="65">
      <c r="Q80" s="24" t="n"/>
      <c r="R80" s="14" t="n">
        <v>35</v>
      </c>
      <c r="S80" s="66" t="inlineStr">
        <is>
          <t>Smoked Seafood</t>
        </is>
      </c>
      <c r="W80" s="6" t="inlineStr">
        <is>
          <t>$5.99</t>
        </is>
      </c>
    </row>
    <row r="81" ht="22" customHeight="1" s="65">
      <c r="Q81" s="25" t="n"/>
      <c r="R81" s="14" t="n">
        <v>36</v>
      </c>
      <c r="S81" s="66" t="inlineStr">
        <is>
          <t>Snack Bars</t>
        </is>
      </c>
      <c r="W81" s="6" t="inlineStr">
        <is>
          <t>$5.97</t>
        </is>
      </c>
    </row>
    <row r="82" ht="22" customHeight="1" s="65">
      <c r="Q82" s="13" t="n"/>
      <c r="R82" s="14" t="n">
        <v>37</v>
      </c>
      <c r="S82" s="66" t="inlineStr">
        <is>
          <t>Dips &amp; Spreads</t>
        </is>
      </c>
      <c r="W82" s="6" t="inlineStr">
        <is>
          <t>$5.78</t>
        </is>
      </c>
    </row>
    <row r="83" ht="22" customHeight="1" s="65">
      <c r="Q83" s="15" t="n"/>
      <c r="R83" s="14" t="n">
        <v>38</v>
      </c>
      <c r="S83" s="66" t="inlineStr">
        <is>
          <t>Hot Dogs &amp; Sausages</t>
        </is>
      </c>
      <c r="W83" s="6" t="inlineStr">
        <is>
          <t>$5.74</t>
        </is>
      </c>
    </row>
    <row r="84" ht="22" customHeight="1" s="65">
      <c r="Q84" s="16" t="n"/>
      <c r="R84" s="14" t="n">
        <v>39</v>
      </c>
      <c r="S84" s="66" t="inlineStr">
        <is>
          <t>Disposable Tableware</t>
        </is>
      </c>
      <c r="W84" s="6" t="inlineStr">
        <is>
          <t>$5.58</t>
        </is>
      </c>
    </row>
    <row r="85" ht="22" customHeight="1" s="65">
      <c r="Q85" s="17" t="n"/>
      <c r="R85" s="14" t="n">
        <v>40</v>
      </c>
      <c r="S85" s="66" t="inlineStr">
        <is>
          <t>Pasta</t>
        </is>
      </c>
      <c r="W85" s="6" t="inlineStr">
        <is>
          <t>$5.34</t>
        </is>
      </c>
    </row>
    <row r="86" ht="22" customHeight="1" s="65">
      <c r="Q86" s="18" t="n"/>
      <c r="R86" s="14" t="n">
        <v>41</v>
      </c>
      <c r="S86" s="66" t="inlineStr">
        <is>
          <t>Hand Soap</t>
        </is>
      </c>
      <c r="W86" s="6" t="inlineStr">
        <is>
          <t>$4.99</t>
        </is>
      </c>
    </row>
    <row r="87" ht="22" customHeight="1" s="65">
      <c r="Q87" s="19" t="n"/>
      <c r="R87" s="14" t="n">
        <v>42</v>
      </c>
      <c r="S87" s="66" t="inlineStr">
        <is>
          <t>Frozen Appetizers</t>
        </is>
      </c>
      <c r="W87" s="6" t="inlineStr">
        <is>
          <t>$4.49</t>
        </is>
      </c>
    </row>
    <row r="88" ht="22" customHeight="1" s="65">
      <c r="Q88" s="20" t="n"/>
      <c r="R88" s="14" t="n">
        <v>43</v>
      </c>
      <c r="S88" s="66" t="inlineStr">
        <is>
          <t>Popcorn</t>
        </is>
      </c>
      <c r="W88" s="6" t="inlineStr">
        <is>
          <t>$4.25</t>
        </is>
      </c>
    </row>
    <row r="89" ht="22" customHeight="1" s="65">
      <c r="Q89" s="21" t="n"/>
      <c r="R89" s="14" t="n">
        <v>44</v>
      </c>
      <c r="S89" s="66" t="inlineStr">
        <is>
          <t>Balloons</t>
        </is>
      </c>
      <c r="W89" s="6" t="inlineStr">
        <is>
          <t>$3.99</t>
        </is>
      </c>
    </row>
    <row r="90" ht="22" customHeight="1" s="65">
      <c r="Q90" s="22" t="n"/>
      <c r="R90" s="14" t="n">
        <v>45</v>
      </c>
      <c r="S90" s="66" t="inlineStr">
        <is>
          <t>Cookies</t>
        </is>
      </c>
      <c r="W90" s="6" t="inlineStr">
        <is>
          <t>$3.99</t>
        </is>
      </c>
    </row>
    <row r="91" ht="22" customHeight="1" s="65">
      <c r="Q91" s="23" t="n"/>
      <c r="R91" s="14" t="n">
        <v>46</v>
      </c>
      <c r="S91" s="66" t="inlineStr">
        <is>
          <t>Paper Towels</t>
        </is>
      </c>
      <c r="W91" s="6" t="inlineStr">
        <is>
          <t>$3.89</t>
        </is>
      </c>
    </row>
    <row r="92" ht="22" customHeight="1" s="65">
      <c r="Q92" s="24" t="n"/>
      <c r="R92" s="14" t="n">
        <v>47</v>
      </c>
      <c r="S92" s="66" t="inlineStr">
        <is>
          <t>Sauces &amp; Condiments</t>
        </is>
      </c>
      <c r="W92" s="6" t="inlineStr">
        <is>
          <t>$3.77</t>
        </is>
      </c>
    </row>
    <row r="93" ht="22" customHeight="1" s="65">
      <c r="Q93" s="25" t="n"/>
      <c r="R93" s="14" t="n">
        <v>48</v>
      </c>
      <c r="S93" s="66" t="inlineStr">
        <is>
          <t>Dishwashing Supplies</t>
        </is>
      </c>
      <c r="W93" s="6" t="inlineStr">
        <is>
          <t>$3.58</t>
        </is>
      </c>
    </row>
    <row r="94" ht="22" customHeight="1" s="65">
      <c r="Q94" s="13" t="n"/>
      <c r="R94" s="14" t="n">
        <v>49</v>
      </c>
      <c r="S94" s="66" t="inlineStr">
        <is>
          <t>Canned Tomatoes</t>
        </is>
      </c>
      <c r="W94" s="6" t="inlineStr">
        <is>
          <t>$3.38</t>
        </is>
      </c>
    </row>
    <row r="95" ht="22" customHeight="1" s="65">
      <c r="Q95" s="15" t="n"/>
      <c r="R95" s="14" t="n">
        <v>50</v>
      </c>
      <c r="S95" s="66" t="inlineStr">
        <is>
          <t>Fresh-Cut Fruit</t>
        </is>
      </c>
      <c r="W95" s="6" t="inlineStr">
        <is>
          <t>$3.32</t>
        </is>
      </c>
    </row>
    <row r="96" ht="22" customHeight="1" s="65">
      <c r="Q96" s="16" t="n"/>
      <c r="R96" s="14" t="n">
        <v>51</v>
      </c>
      <c r="S96" s="66" t="inlineStr">
        <is>
          <t>Snack Cakes</t>
        </is>
      </c>
      <c r="W96" s="6" t="inlineStr">
        <is>
          <t>$3.19</t>
        </is>
      </c>
    </row>
    <row r="97" ht="22" customHeight="1" s="65">
      <c r="Q97" s="17" t="n"/>
      <c r="R97" s="14" t="n">
        <v>52</v>
      </c>
      <c r="S97" s="66" t="inlineStr">
        <is>
          <t>Cream Cheese</t>
        </is>
      </c>
      <c r="W97" s="6" t="inlineStr">
        <is>
          <t>$2.79</t>
        </is>
      </c>
    </row>
    <row r="98" ht="22" customHeight="1" s="65">
      <c r="Q98" s="18" t="n"/>
      <c r="R98" s="14" t="n">
        <v>53</v>
      </c>
      <c r="S98" s="66" t="inlineStr">
        <is>
          <t>Storage &amp; Organization</t>
        </is>
      </c>
      <c r="W98" s="6" t="inlineStr">
        <is>
          <t>$2.56</t>
        </is>
      </c>
    </row>
    <row r="99" ht="22" customHeight="1" s="65">
      <c r="Q99" s="19" t="n"/>
      <c r="R99" s="14" t="n">
        <v>54</v>
      </c>
      <c r="S99" s="66" t="inlineStr">
        <is>
          <t>Frozen Vegetables</t>
        </is>
      </c>
      <c r="W99" s="6" t="inlineStr">
        <is>
          <t>$1.27</t>
        </is>
      </c>
    </row>
    <row r="100" ht="22" customHeight="1" s="65">
      <c r="Q100" s="20" t="n"/>
      <c r="R100" s="14" t="n">
        <v>55</v>
      </c>
      <c r="S100" s="66" t="inlineStr">
        <is>
          <t>Canned Beans &amp; Legumes</t>
        </is>
      </c>
      <c r="W100" s="6" t="inlineStr">
        <is>
          <t>$0.99</t>
        </is>
      </c>
    </row>
    <row r="104" ht="16" customHeight="1" s="65">
      <c r="Q104" s="69" t="inlineStr">
        <is>
          <t>Number / Store</t>
        </is>
      </c>
      <c r="Y104" s="69" t="inlineStr">
        <is>
          <t>How to Read This Graph</t>
        </is>
      </c>
    </row>
    <row r="105">
      <c r="Q105" s="12" t="n"/>
      <c r="R105" s="12" t="inlineStr">
        <is>
          <t>#</t>
        </is>
      </c>
      <c r="S105" s="12" t="inlineStr">
        <is>
          <t>Description</t>
        </is>
      </c>
      <c r="W105" s="12" t="inlineStr">
        <is>
          <t>Value</t>
        </is>
      </c>
    </row>
    <row r="106" ht="22" customHeight="1" s="65">
      <c r="Q106" s="13" t="n"/>
      <c r="R106" s="14" t="n">
        <v>1</v>
      </c>
      <c r="S106" s="66" t="inlineStr">
        <is>
          <t>Publix</t>
        </is>
      </c>
      <c r="W106" s="6" t="inlineStr">
        <is>
          <t>$324.61</t>
        </is>
      </c>
      <c r="Y106" s="68" t="inlineStr">
        <is>
          <t>What it represents</t>
        </is>
      </c>
    </row>
    <row r="107" ht="22" customHeight="1" s="65">
      <c r="Q107" s="15" t="n"/>
      <c r="R107" s="14" t="n">
        <v>2</v>
      </c>
      <c r="S107" s="66" t="inlineStr">
        <is>
          <t>Walmart</t>
        </is>
      </c>
      <c r="W107" s="6" t="inlineStr">
        <is>
          <t>$262.92</t>
        </is>
      </c>
      <c r="Y107" s="66" t="inlineStr">
        <is>
          <t>Compares how much money was spent at each retailer across the entire Purchase History.</t>
        </is>
      </c>
    </row>
    <row r="108" ht="22" customHeight="1" s="65">
      <c r="Q108" s="16" t="n"/>
      <c r="R108" s="14" t="n">
        <v>3</v>
      </c>
      <c r="S108" s="66" t="inlineStr">
        <is>
          <t>Trader Joe's</t>
        </is>
      </c>
      <c r="W108" s="6" t="inlineStr">
        <is>
          <t>$125.58</t>
        </is>
      </c>
    </row>
    <row r="109" ht="22" customHeight="1" s="65">
      <c r="Q109" s="17" t="n"/>
      <c r="R109" s="14" t="n">
        <v>4</v>
      </c>
      <c r="S109" s="66" t="inlineStr">
        <is>
          <t>Aldi</t>
        </is>
      </c>
      <c r="W109" s="6" t="inlineStr">
        <is>
          <t>$97.13</t>
        </is>
      </c>
    </row>
    <row r="110" ht="22" customHeight="1" s="65">
      <c r="Q110" s="18" t="n"/>
      <c r="R110" s="14" t="n">
        <v>5</v>
      </c>
      <c r="S110" s="66" t="inlineStr">
        <is>
          <t>PapaJohns</t>
        </is>
      </c>
      <c r="W110" s="6" t="inlineStr">
        <is>
          <t>$56.70</t>
        </is>
      </c>
    </row>
    <row r="111" ht="22" customHeight="1" s="65">
      <c r="Q111" s="19" t="n"/>
      <c r="R111" s="14" t="n">
        <v>6</v>
      </c>
      <c r="S111" s="66" t="inlineStr">
        <is>
          <t>Cosco</t>
        </is>
      </c>
      <c r="W111" s="6" t="inlineStr">
        <is>
          <t>$46.79</t>
        </is>
      </c>
    </row>
    <row r="112" ht="22" customHeight="1" s="65">
      <c r="Q112" s="20" t="n"/>
      <c r="R112" s="14" t="n">
        <v>7</v>
      </c>
      <c r="S112" s="66" t="inlineStr">
        <is>
          <t>SurfinTurtle</t>
        </is>
      </c>
      <c r="W112" s="6" t="inlineStr">
        <is>
          <t>$13.30</t>
        </is>
      </c>
      <c r="Y112" s="68" t="inlineStr">
        <is>
          <t>How to read it</t>
        </is>
      </c>
    </row>
    <row r="113" ht="22" customHeight="1" s="65">
      <c r="Q113" s="21" t="n"/>
      <c r="R113" s="14" t="n">
        <v>8</v>
      </c>
      <c r="S113" s="66" t="inlineStr">
        <is>
          <t>L3HAtriumCafe</t>
        </is>
      </c>
      <c r="W113" s="6" t="inlineStr">
        <is>
          <t>$2.59</t>
        </is>
      </c>
      <c r="Y113" s="66" t="inlineStr">
        <is>
          <t>Each store is represented by a numbered colored bar. Match the number/color to the key. Longer bars indicate more total spending at that store.</t>
        </is>
      </c>
    </row>
    <row r="114"/>
    <row r="115"/>
    <row r="116"/>
    <row r="118">
      <c r="Y118" s="68" t="inlineStr">
        <is>
          <t>What it is useful for</t>
        </is>
      </c>
    </row>
    <row r="119">
      <c r="Y119" s="66" t="inlineStr">
        <is>
          <t>Use this to understand which retailers receive the largest share of your household shopping budget.</t>
        </is>
      </c>
    </row>
    <row r="120"/>
    <row r="121"/>
    <row r="122"/>
    <row r="124">
      <c r="Y124" s="68" t="inlineStr">
        <is>
          <t>Notes</t>
        </is>
      </c>
    </row>
    <row r="125">
      <c r="Y125" s="66" t="inlineStr">
        <is>
          <t>Store Number is intentionally ignored here; purchases are grouped by the Store name.</t>
        </is>
      </c>
    </row>
    <row r="126"/>
    <row r="127"/>
    <row r="128"/>
    <row r="140" ht="16" customHeight="1" s="65">
      <c r="Q140" s="69" t="inlineStr">
        <is>
          <t>Number / Sub-Category</t>
        </is>
      </c>
      <c r="Y140" s="69" t="inlineStr">
        <is>
          <t>How to Read This Graph</t>
        </is>
      </c>
    </row>
    <row r="141">
      <c r="Q141" s="12" t="n"/>
      <c r="R141" s="12" t="inlineStr">
        <is>
          <t>#</t>
        </is>
      </c>
      <c r="S141" s="12" t="inlineStr">
        <is>
          <t>Description</t>
        </is>
      </c>
      <c r="W141" s="12" t="inlineStr">
        <is>
          <t>Value</t>
        </is>
      </c>
    </row>
    <row r="142" ht="22" customHeight="1" s="65">
      <c r="Q142" s="13" t="n"/>
      <c r="R142" s="14" t="n">
        <v>1</v>
      </c>
      <c r="S142" s="66" t="inlineStr">
        <is>
          <t>Prepared Meals</t>
        </is>
      </c>
      <c r="W142" s="6" t="inlineStr">
        <is>
          <t>$71.79 (7.7%)</t>
        </is>
      </c>
      <c r="Y142" s="68" t="inlineStr">
        <is>
          <t>What it represents</t>
        </is>
      </c>
    </row>
    <row r="143" ht="22" customHeight="1" s="65">
      <c r="Q143" s="15" t="n"/>
      <c r="R143" s="14" t="n">
        <v>2</v>
      </c>
      <c r="S143" s="66" t="inlineStr">
        <is>
          <t>Fresh Poultry</t>
        </is>
      </c>
      <c r="W143" s="6" t="inlineStr">
        <is>
          <t>$68.86 (7.4%)</t>
        </is>
      </c>
      <c r="Y143" s="66" t="inlineStr">
        <is>
          <t>Shows each sub-category's share of total spending as part of the whole shopping budget.</t>
        </is>
      </c>
    </row>
    <row r="144" ht="22" customHeight="1" s="65">
      <c r="Q144" s="16" t="n"/>
      <c r="R144" s="14" t="n">
        <v>3</v>
      </c>
      <c r="S144" s="66" t="inlineStr">
        <is>
          <t>Baby Care</t>
        </is>
      </c>
      <c r="W144" s="6" t="inlineStr">
        <is>
          <t>$59.78 (6.4%)</t>
        </is>
      </c>
    </row>
    <row r="145" ht="22" customHeight="1" s="65">
      <c r="Q145" s="17" t="n"/>
      <c r="R145" s="14" t="n">
        <v>4</v>
      </c>
      <c r="S145" s="66" t="inlineStr">
        <is>
          <t>Fresh Seafood</t>
        </is>
      </c>
      <c r="W145" s="6" t="inlineStr">
        <is>
          <t>$54.91 (5.9%)</t>
        </is>
      </c>
    </row>
    <row r="146" ht="22" customHeight="1" s="65">
      <c r="Q146" s="18" t="n"/>
      <c r="R146" s="14" t="n">
        <v>5</v>
      </c>
      <c r="S146" s="66" t="inlineStr">
        <is>
          <t>Yogurt</t>
        </is>
      </c>
      <c r="W146" s="6" t="inlineStr">
        <is>
          <t>$52.83 (5.7%)</t>
        </is>
      </c>
    </row>
    <row r="147" ht="22" customHeight="1" s="65">
      <c r="Q147" s="19" t="n"/>
      <c r="R147" s="14" t="n">
        <v>6</v>
      </c>
      <c r="S147" s="66" t="inlineStr">
        <is>
          <t>Fresh Fruit</t>
        </is>
      </c>
      <c r="W147" s="6" t="inlineStr">
        <is>
          <t>$48.17 (5.2%)</t>
        </is>
      </c>
    </row>
    <row r="148" ht="22" customHeight="1" s="65">
      <c r="Q148" s="20" t="n"/>
      <c r="R148" s="14" t="n">
        <v>7</v>
      </c>
      <c r="S148" s="66" t="inlineStr">
        <is>
          <t>Fresh Vegetables</t>
        </is>
      </c>
      <c r="W148" s="6" t="inlineStr">
        <is>
          <t>$43.72 (4.7%)</t>
        </is>
      </c>
      <c r="Y148" s="68" t="inlineStr">
        <is>
          <t>How to read it</t>
        </is>
      </c>
    </row>
    <row r="149" ht="22" customHeight="1" s="65">
      <c r="Q149" s="21" t="n"/>
      <c r="R149" s="14" t="n">
        <v>8</v>
      </c>
      <c r="S149" s="66" t="inlineStr">
        <is>
          <t>Fresh Beef</t>
        </is>
      </c>
      <c r="W149" s="6" t="inlineStr">
        <is>
          <t>$35.97 (3.9%)</t>
        </is>
      </c>
      <c r="Y149" s="66" t="inlineStr">
        <is>
          <t>The doughnut itself displays only numeric sub-category codes. Match each number/color to the key for the sub-category name, dollar amount, and percentage of total spending.</t>
        </is>
      </c>
    </row>
    <row r="150" ht="22" customHeight="1" s="65">
      <c r="Q150" s="22" t="n"/>
      <c r="R150" s="14" t="n">
        <v>9</v>
      </c>
      <c r="S150" s="66" t="inlineStr">
        <is>
          <t>Fees &amp; Charges</t>
        </is>
      </c>
      <c r="W150" s="6" t="inlineStr">
        <is>
          <t>$30.69 (3.3%)</t>
        </is>
      </c>
    </row>
    <row r="151" ht="22" customHeight="1" s="65">
      <c r="Q151" s="23" t="n"/>
      <c r="R151" s="14" t="n">
        <v>10</v>
      </c>
      <c r="S151" s="66" t="inlineStr">
        <is>
          <t>Cream &amp; Half-and-Half</t>
        </is>
      </c>
      <c r="W151" s="6" t="inlineStr">
        <is>
          <t>$30.47 (3.3%)</t>
        </is>
      </c>
    </row>
    <row r="152" ht="22" customHeight="1" s="65">
      <c r="Q152" s="24" t="n"/>
      <c r="R152" s="14" t="n">
        <v>11</v>
      </c>
      <c r="S152" s="66" t="inlineStr">
        <is>
          <t>Cat Litter</t>
        </is>
      </c>
      <c r="W152" s="6" t="inlineStr">
        <is>
          <t>$25.94 (2.8%)</t>
        </is>
      </c>
    </row>
    <row r="153" ht="22" customHeight="1" s="65">
      <c r="Q153" s="25" t="n"/>
      <c r="R153" s="14" t="n">
        <v>12</v>
      </c>
      <c r="S153" s="66" t="inlineStr">
        <is>
          <t>Bread</t>
        </is>
      </c>
      <c r="W153" s="6" t="inlineStr">
        <is>
          <t>$25.82 (2.8%)</t>
        </is>
      </c>
    </row>
    <row r="154" ht="22" customHeight="1" s="65">
      <c r="Q154" s="13" t="n"/>
      <c r="R154" s="14" t="n">
        <v>13</v>
      </c>
      <c r="S154" s="66" t="inlineStr">
        <is>
          <t>Salad Kits</t>
        </is>
      </c>
      <c r="W154" s="6" t="inlineStr">
        <is>
          <t>$24.18 (2.6%)</t>
        </is>
      </c>
      <c r="Y154" s="68" t="inlineStr">
        <is>
          <t>What it is useful for</t>
        </is>
      </c>
    </row>
    <row r="155" ht="22" customHeight="1" s="65">
      <c r="Q155" s="15" t="n"/>
      <c r="R155" s="14" t="n">
        <v>14</v>
      </c>
      <c r="S155" s="66" t="inlineStr">
        <is>
          <t>Antacids</t>
        </is>
      </c>
      <c r="W155" s="6" t="inlineStr">
        <is>
          <t>$22.25 (2.4%)</t>
        </is>
      </c>
      <c r="Y155" s="66" t="inlineStr">
        <is>
          <t>Use this for a fast visual picture of the household spending mix—especially which sub-categories take the largest portion of the budget.</t>
        </is>
      </c>
    </row>
    <row r="156" ht="22" customHeight="1" s="65">
      <c r="Q156" s="16" t="n"/>
      <c r="R156" s="14" t="n">
        <v>15</v>
      </c>
      <c r="S156" s="66" t="inlineStr">
        <is>
          <t>Plant-Based Milk</t>
        </is>
      </c>
      <c r="W156" s="6" t="inlineStr">
        <is>
          <t>$20.37 (2.2%)</t>
        </is>
      </c>
    </row>
    <row r="157" ht="22" customHeight="1" s="65">
      <c r="Q157" s="17" t="n"/>
      <c r="R157" s="14" t="n">
        <v>16</v>
      </c>
      <c r="S157" s="66" t="inlineStr">
        <is>
          <t>Frozen Desserts</t>
        </is>
      </c>
      <c r="W157" s="6" t="inlineStr">
        <is>
          <t>$19.57 (2.1%)</t>
        </is>
      </c>
    </row>
    <row r="158" ht="22" customHeight="1" s="65">
      <c r="Q158" s="18" t="n"/>
      <c r="R158" s="14" t="n">
        <v>17</v>
      </c>
      <c r="S158" s="66" t="inlineStr">
        <is>
          <t>Cakes &amp; Pies</t>
        </is>
      </c>
      <c r="W158" s="6" t="inlineStr">
        <is>
          <t>$19.48 (2.1%)</t>
        </is>
      </c>
    </row>
    <row r="159" ht="22" customHeight="1" s="65">
      <c r="Q159" s="19" t="n"/>
      <c r="R159" s="14" t="n">
        <v>18</v>
      </c>
      <c r="S159" s="66" t="inlineStr">
        <is>
          <t>Refrigerated Pasta</t>
        </is>
      </c>
      <c r="W159" s="6" t="inlineStr">
        <is>
          <t>$18.74 (2.0%)</t>
        </is>
      </c>
    </row>
    <row r="160" ht="22" customHeight="1" s="65">
      <c r="Q160" s="20" t="n"/>
      <c r="R160" s="14" t="n">
        <v>19</v>
      </c>
      <c r="S160" s="66" t="inlineStr">
        <is>
          <t>Cheese</t>
        </is>
      </c>
      <c r="W160" s="6" t="inlineStr">
        <is>
          <t>$18.04 (1.9%)</t>
        </is>
      </c>
      <c r="Y160" s="68" t="inlineStr">
        <is>
          <t>Notes</t>
        </is>
      </c>
    </row>
    <row r="161" ht="22" customHeight="1" s="65">
      <c r="Q161" s="21" t="n"/>
      <c r="R161" s="14" t="n">
        <v>20</v>
      </c>
      <c r="S161" s="66" t="inlineStr">
        <is>
          <t>Beer</t>
        </is>
      </c>
      <c r="W161" s="6" t="inlineStr">
        <is>
          <t>$17.87 (1.9%)</t>
        </is>
      </c>
      <c r="Y161" s="66" t="inlineStr">
        <is>
          <t>Unlike the older dashboard, this graph does not create a large 'Other' slice. Every sub-category receives its own numbered segment.</t>
        </is>
      </c>
    </row>
    <row r="162" ht="22" customHeight="1" s="65">
      <c r="Q162" s="22" t="n"/>
      <c r="R162" s="14" t="n">
        <v>21</v>
      </c>
      <c r="S162" s="66" t="inlineStr">
        <is>
          <t>Wine</t>
        </is>
      </c>
      <c r="W162" s="6" t="inlineStr">
        <is>
          <t>$14.38 (1.5%)</t>
        </is>
      </c>
    </row>
    <row r="163" ht="22" customHeight="1" s="65">
      <c r="Q163" s="23" t="n"/>
      <c r="R163" s="14" t="n">
        <v>22</v>
      </c>
      <c r="S163" s="66" t="inlineStr">
        <is>
          <t>Coffee Creamer</t>
        </is>
      </c>
      <c r="W163" s="6" t="inlineStr">
        <is>
          <t>$13.38 (1.4%)</t>
        </is>
      </c>
    </row>
    <row r="164" ht="22" customHeight="1" s="65">
      <c r="Q164" s="24" t="n"/>
      <c r="R164" s="14" t="n">
        <v>23</v>
      </c>
      <c r="S164" s="66" t="inlineStr">
        <is>
          <t>Broth &amp; Stock</t>
        </is>
      </c>
      <c r="W164" s="6" t="inlineStr">
        <is>
          <t>$11.72 (1.3%)</t>
        </is>
      </c>
    </row>
    <row r="165" ht="22" customHeight="1" s="65">
      <c r="Q165" s="25" t="n"/>
      <c r="R165" s="14" t="n">
        <v>24</v>
      </c>
      <c r="S165" s="66" t="inlineStr">
        <is>
          <t>Baking Ingredients</t>
        </is>
      </c>
      <c r="W165" s="6" t="inlineStr">
        <is>
          <t>$11.59 (1.2%)</t>
        </is>
      </c>
    </row>
    <row r="166" ht="22" customHeight="1" s="65">
      <c r="Q166" s="13" t="n"/>
      <c r="R166" s="14" t="n">
        <v>25</v>
      </c>
      <c r="S166" s="66" t="inlineStr">
        <is>
          <t>Seasonings &amp; Spices</t>
        </is>
      </c>
      <c r="W166" s="6" t="inlineStr">
        <is>
          <t>$11.53 (1.2%)</t>
        </is>
      </c>
    </row>
    <row r="167" ht="22" customHeight="1" s="65">
      <c r="Q167" s="15" t="n"/>
      <c r="R167" s="14" t="n">
        <v>26</v>
      </c>
      <c r="S167" s="66" t="inlineStr">
        <is>
          <t>Refrigerated Dough</t>
        </is>
      </c>
      <c r="W167" s="6" t="inlineStr">
        <is>
          <t>$9.96 (1.1%)</t>
        </is>
      </c>
    </row>
    <row r="168" ht="22" customHeight="1" s="65">
      <c r="Q168" s="16" t="n"/>
      <c r="R168" s="14" t="n">
        <v>27</v>
      </c>
      <c r="S168" s="66" t="inlineStr">
        <is>
          <t>Household Cleaners</t>
        </is>
      </c>
      <c r="W168" s="6" t="inlineStr">
        <is>
          <t>$9.94 (1.1%)</t>
        </is>
      </c>
    </row>
    <row r="169" ht="22" customHeight="1" s="65">
      <c r="Q169" s="17" t="n"/>
      <c r="R169" s="14" t="n">
        <v>28</v>
      </c>
      <c r="S169" s="66" t="inlineStr">
        <is>
          <t>Dried Fruit</t>
        </is>
      </c>
      <c r="W169" s="6" t="inlineStr">
        <is>
          <t>$8.42 (0.9%)</t>
        </is>
      </c>
    </row>
    <row r="170" ht="22" customHeight="1" s="65">
      <c r="Q170" s="18" t="n"/>
      <c r="R170" s="14" t="n">
        <v>29</v>
      </c>
      <c r="S170" s="66" t="inlineStr">
        <is>
          <t>Frozen Pizza</t>
        </is>
      </c>
      <c r="W170" s="6" t="inlineStr">
        <is>
          <t>$8.29 (0.9%)</t>
        </is>
      </c>
    </row>
    <row r="171" ht="22" customHeight="1" s="65">
      <c r="Q171" s="19" t="n"/>
      <c r="R171" s="14" t="n">
        <v>30</v>
      </c>
      <c r="S171" s="66" t="inlineStr">
        <is>
          <t>Eggs</t>
        </is>
      </c>
      <c r="W171" s="6" t="inlineStr">
        <is>
          <t>$8.20 (0.9%)</t>
        </is>
      </c>
    </row>
    <row r="172" ht="22" customHeight="1" s="65">
      <c r="Q172" s="20" t="n"/>
      <c r="R172" s="14" t="n">
        <v>31</v>
      </c>
      <c r="S172" s="66" t="inlineStr">
        <is>
          <t>Applesauce</t>
        </is>
      </c>
      <c r="W172" s="6" t="inlineStr">
        <is>
          <t>$7.97 (0.9%)</t>
        </is>
      </c>
    </row>
    <row r="173" ht="22" customHeight="1" s="65">
      <c r="Q173" s="21" t="n"/>
      <c r="R173" s="14" t="n">
        <v>32</v>
      </c>
      <c r="S173" s="66" t="inlineStr">
        <is>
          <t>Rice Cakes &amp; Crisps</t>
        </is>
      </c>
      <c r="W173" s="6" t="inlineStr">
        <is>
          <t>$6.98 (0.8%)</t>
        </is>
      </c>
    </row>
    <row r="174" ht="22" customHeight="1" s="65">
      <c r="Q174" s="22" t="n"/>
      <c r="R174" s="14" t="n">
        <v>33</v>
      </c>
      <c r="S174" s="66" t="inlineStr">
        <is>
          <t>Hair Care</t>
        </is>
      </c>
      <c r="W174" s="6" t="inlineStr">
        <is>
          <t>$6.97 (0.7%)</t>
        </is>
      </c>
    </row>
    <row r="175" ht="22" customHeight="1" s="65">
      <c r="Q175" s="23" t="n"/>
      <c r="R175" s="14" t="n">
        <v>34</v>
      </c>
      <c r="S175" s="66" t="inlineStr">
        <is>
          <t>Muffins &amp; Pastries</t>
        </is>
      </c>
      <c r="W175" s="6" t="inlineStr">
        <is>
          <t>$5.99 (0.6%)</t>
        </is>
      </c>
    </row>
    <row r="176" ht="22" customHeight="1" s="65">
      <c r="Q176" s="24" t="n"/>
      <c r="R176" s="14" t="n">
        <v>35</v>
      </c>
      <c r="S176" s="66" t="inlineStr">
        <is>
          <t>Smoked Seafood</t>
        </is>
      </c>
      <c r="W176" s="6" t="inlineStr">
        <is>
          <t>$5.99 (0.6%)</t>
        </is>
      </c>
    </row>
    <row r="177" ht="22" customHeight="1" s="65">
      <c r="Q177" s="25" t="n"/>
      <c r="R177" s="14" t="n">
        <v>36</v>
      </c>
      <c r="S177" s="66" t="inlineStr">
        <is>
          <t>Snack Bars</t>
        </is>
      </c>
      <c r="W177" s="6" t="inlineStr">
        <is>
          <t>$5.97 (0.6%)</t>
        </is>
      </c>
    </row>
    <row r="178" ht="22" customHeight="1" s="65">
      <c r="Q178" s="13" t="n"/>
      <c r="R178" s="14" t="n">
        <v>37</v>
      </c>
      <c r="S178" s="66" t="inlineStr">
        <is>
          <t>Dips &amp; Spreads</t>
        </is>
      </c>
      <c r="W178" s="6" t="inlineStr">
        <is>
          <t>$5.78 (0.6%)</t>
        </is>
      </c>
    </row>
    <row r="179" ht="22" customHeight="1" s="65">
      <c r="Q179" s="15" t="n"/>
      <c r="R179" s="14" t="n">
        <v>38</v>
      </c>
      <c r="S179" s="66" t="inlineStr">
        <is>
          <t>Hot Dogs &amp; Sausages</t>
        </is>
      </c>
      <c r="W179" s="6" t="inlineStr">
        <is>
          <t>$5.74 (0.6%)</t>
        </is>
      </c>
    </row>
    <row r="180" ht="22" customHeight="1" s="65">
      <c r="Q180" s="16" t="n"/>
      <c r="R180" s="14" t="n">
        <v>39</v>
      </c>
      <c r="S180" s="66" t="inlineStr">
        <is>
          <t>Disposable Tableware</t>
        </is>
      </c>
      <c r="W180" s="6" t="inlineStr">
        <is>
          <t>$5.58 (0.6%)</t>
        </is>
      </c>
    </row>
    <row r="181" ht="22" customHeight="1" s="65">
      <c r="Q181" s="17" t="n"/>
      <c r="R181" s="14" t="n">
        <v>40</v>
      </c>
      <c r="S181" s="66" t="inlineStr">
        <is>
          <t>Pasta</t>
        </is>
      </c>
      <c r="W181" s="6" t="inlineStr">
        <is>
          <t>$5.34 (0.6%)</t>
        </is>
      </c>
    </row>
    <row r="182" ht="22" customHeight="1" s="65">
      <c r="Q182" s="18" t="n"/>
      <c r="R182" s="14" t="n">
        <v>41</v>
      </c>
      <c r="S182" s="66" t="inlineStr">
        <is>
          <t>Hand Soap</t>
        </is>
      </c>
      <c r="W182" s="6" t="inlineStr">
        <is>
          <t>$4.99 (0.5%)</t>
        </is>
      </c>
    </row>
    <row r="183" ht="22" customHeight="1" s="65">
      <c r="Q183" s="19" t="n"/>
      <c r="R183" s="14" t="n">
        <v>42</v>
      </c>
      <c r="S183" s="66" t="inlineStr">
        <is>
          <t>Frozen Appetizers</t>
        </is>
      </c>
      <c r="W183" s="6" t="inlineStr">
        <is>
          <t>$4.49 (0.5%)</t>
        </is>
      </c>
    </row>
    <row r="184" ht="22" customHeight="1" s="65">
      <c r="Q184" s="20" t="n"/>
      <c r="R184" s="14" t="n">
        <v>43</v>
      </c>
      <c r="S184" s="66" t="inlineStr">
        <is>
          <t>Popcorn</t>
        </is>
      </c>
      <c r="W184" s="6" t="inlineStr">
        <is>
          <t>$4.25 (0.5%)</t>
        </is>
      </c>
    </row>
    <row r="185" ht="22" customHeight="1" s="65">
      <c r="Q185" s="21" t="n"/>
      <c r="R185" s="14" t="n">
        <v>44</v>
      </c>
      <c r="S185" s="66" t="inlineStr">
        <is>
          <t>Balloons</t>
        </is>
      </c>
      <c r="W185" s="6" t="inlineStr">
        <is>
          <t>$3.99 (0.4%)</t>
        </is>
      </c>
    </row>
    <row r="186" ht="22" customHeight="1" s="65">
      <c r="Q186" s="22" t="n"/>
      <c r="R186" s="14" t="n">
        <v>45</v>
      </c>
      <c r="S186" s="66" t="inlineStr">
        <is>
          <t>Cookies</t>
        </is>
      </c>
      <c r="W186" s="6" t="inlineStr">
        <is>
          <t>$3.99 (0.4%)</t>
        </is>
      </c>
    </row>
    <row r="187" ht="22" customHeight="1" s="65">
      <c r="Q187" s="23" t="n"/>
      <c r="R187" s="14" t="n">
        <v>46</v>
      </c>
      <c r="S187" s="66" t="inlineStr">
        <is>
          <t>Paper Towels</t>
        </is>
      </c>
      <c r="W187" s="6" t="inlineStr">
        <is>
          <t>$3.89 (0.4%)</t>
        </is>
      </c>
    </row>
    <row r="188" ht="22" customHeight="1" s="65">
      <c r="Q188" s="24" t="n"/>
      <c r="R188" s="14" t="n">
        <v>47</v>
      </c>
      <c r="S188" s="66" t="inlineStr">
        <is>
          <t>Sauces &amp; Condiments</t>
        </is>
      </c>
      <c r="W188" s="6" t="inlineStr">
        <is>
          <t>$3.77 (0.4%)</t>
        </is>
      </c>
    </row>
    <row r="189" ht="22" customHeight="1" s="65">
      <c r="Q189" s="25" t="n"/>
      <c r="R189" s="14" t="n">
        <v>48</v>
      </c>
      <c r="S189" s="66" t="inlineStr">
        <is>
          <t>Dishwashing Supplies</t>
        </is>
      </c>
      <c r="W189" s="6" t="inlineStr">
        <is>
          <t>$3.58 (0.4%)</t>
        </is>
      </c>
    </row>
    <row r="190" ht="22" customHeight="1" s="65">
      <c r="Q190" s="13" t="n"/>
      <c r="R190" s="14" t="n">
        <v>49</v>
      </c>
      <c r="S190" s="66" t="inlineStr">
        <is>
          <t>Canned Tomatoes</t>
        </is>
      </c>
      <c r="W190" s="6" t="inlineStr">
        <is>
          <t>$3.38 (0.4%)</t>
        </is>
      </c>
    </row>
    <row r="191" ht="22" customHeight="1" s="65">
      <c r="Q191" s="15" t="n"/>
      <c r="R191" s="14" t="n">
        <v>50</v>
      </c>
      <c r="S191" s="66" t="inlineStr">
        <is>
          <t>Fresh-Cut Fruit</t>
        </is>
      </c>
      <c r="W191" s="6" t="inlineStr">
        <is>
          <t>$3.32 (0.4%)</t>
        </is>
      </c>
    </row>
    <row r="192" ht="22" customHeight="1" s="65">
      <c r="Q192" s="16" t="n"/>
      <c r="R192" s="14" t="n">
        <v>51</v>
      </c>
      <c r="S192" s="66" t="inlineStr">
        <is>
          <t>Snack Cakes</t>
        </is>
      </c>
      <c r="W192" s="6" t="inlineStr">
        <is>
          <t>$3.19 (0.3%)</t>
        </is>
      </c>
    </row>
    <row r="193" ht="22" customHeight="1" s="65">
      <c r="Q193" s="17" t="n"/>
      <c r="R193" s="14" t="n">
        <v>52</v>
      </c>
      <c r="S193" s="66" t="inlineStr">
        <is>
          <t>Cream Cheese</t>
        </is>
      </c>
      <c r="W193" s="6" t="inlineStr">
        <is>
          <t>$2.79 (0.3%)</t>
        </is>
      </c>
    </row>
    <row r="194" ht="22" customHeight="1" s="65">
      <c r="Q194" s="18" t="n"/>
      <c r="R194" s="14" t="n">
        <v>53</v>
      </c>
      <c r="S194" s="66" t="inlineStr">
        <is>
          <t>Storage &amp; Organization</t>
        </is>
      </c>
      <c r="W194" s="6" t="inlineStr">
        <is>
          <t>$2.56 (0.3%)</t>
        </is>
      </c>
    </row>
    <row r="195" ht="22" customHeight="1" s="65">
      <c r="Q195" s="19" t="n"/>
      <c r="R195" s="14" t="n">
        <v>54</v>
      </c>
      <c r="S195" s="66" t="inlineStr">
        <is>
          <t>Frozen Vegetables</t>
        </is>
      </c>
      <c r="W195" s="6" t="inlineStr">
        <is>
          <t>$1.27 (0.1%)</t>
        </is>
      </c>
    </row>
    <row r="196" ht="22" customHeight="1" s="65">
      <c r="Q196" s="20" t="n"/>
      <c r="R196" s="14" t="n">
        <v>55</v>
      </c>
      <c r="S196" s="66" t="inlineStr">
        <is>
          <t>Canned Beans &amp; Legumes</t>
        </is>
      </c>
      <c r="W196" s="6" t="inlineStr">
        <is>
          <t>$0.99 (0.1%)</t>
        </is>
      </c>
    </row>
    <row r="200" ht="16" customHeight="1" s="65">
      <c r="Q200" s="69" t="inlineStr">
        <is>
          <t>Number / Product</t>
        </is>
      </c>
      <c r="Y200" s="69" t="inlineStr">
        <is>
          <t>How to Read This Graph</t>
        </is>
      </c>
    </row>
    <row r="201">
      <c r="Q201" s="12" t="n"/>
      <c r="R201" s="12" t="inlineStr">
        <is>
          <t>#</t>
        </is>
      </c>
      <c r="S201" s="12" t="inlineStr">
        <is>
          <t>Description</t>
        </is>
      </c>
      <c r="W201" s="12" t="inlineStr">
        <is>
          <t>Value</t>
        </is>
      </c>
    </row>
    <row r="202" ht="22" customHeight="1" s="65">
      <c r="Q202" s="13" t="n"/>
      <c r="R202" s="14" t="n">
        <v>1</v>
      </c>
      <c r="S202" s="66" t="inlineStr">
        <is>
          <t>Salmon Fillet</t>
        </is>
      </c>
      <c r="W202" s="6" t="inlineStr">
        <is>
          <t>$46.91</t>
        </is>
      </c>
      <c r="Y202" s="68" t="inlineStr">
        <is>
          <t>What it represents</t>
        </is>
      </c>
    </row>
    <row r="203" ht="22" customHeight="1" s="65">
      <c r="Q203" s="15" t="n"/>
      <c r="R203" s="14" t="n">
        <v>2</v>
      </c>
      <c r="S203" s="66" t="inlineStr">
        <is>
          <t>Pampers Swaddlers Diapers</t>
        </is>
      </c>
      <c r="W203" s="6" t="inlineStr">
        <is>
          <t>$46.79</t>
        </is>
      </c>
      <c r="Y203" s="66" t="inlineStr">
        <is>
          <t>Ranks the ten individual product identities with the most accumulated spending across all recorded purchases.</t>
        </is>
      </c>
    </row>
    <row r="204" ht="22" customHeight="1" s="65">
      <c r="Q204" s="16" t="n"/>
      <c r="R204" s="14" t="n">
        <v>3</v>
      </c>
      <c r="S204" s="66" t="inlineStr">
        <is>
          <t>Papa John's Pizza, Wings &amp; Cheesesticks</t>
        </is>
      </c>
      <c r="W204" s="6" t="inlineStr">
        <is>
          <t>$39.37</t>
        </is>
      </c>
    </row>
    <row r="205" ht="22" customHeight="1" s="65">
      <c r="Q205" s="17" t="n"/>
      <c r="R205" s="14" t="n">
        <v>4</v>
      </c>
      <c r="S205" s="66" t="inlineStr">
        <is>
          <t>Kosher Ground Beef 85/15</t>
        </is>
      </c>
      <c r="W205" s="6" t="inlineStr">
        <is>
          <t>$35.97</t>
        </is>
      </c>
    </row>
    <row r="206" ht="22" customHeight="1" s="65">
      <c r="Q206" s="18" t="n"/>
      <c r="R206" s="14" t="n">
        <v>5</v>
      </c>
      <c r="S206" s="66" t="inlineStr">
        <is>
          <t>Empire Kosher Ground Turkey</t>
        </is>
      </c>
      <c r="W206" s="6" t="inlineStr">
        <is>
          <t>$27.96</t>
        </is>
      </c>
    </row>
    <row r="207" ht="22" customHeight="1" s="65">
      <c r="Q207" s="19" t="n"/>
      <c r="R207" s="14" t="n">
        <v>6</v>
      </c>
      <c r="S207" s="66" t="inlineStr">
        <is>
          <t>Purina Tidy Cats Free &amp; Clean Clumping Cat Litter</t>
        </is>
      </c>
      <c r="W207" s="6" t="inlineStr">
        <is>
          <t>$25.94</t>
        </is>
      </c>
    </row>
    <row r="208" ht="22" customHeight="1" s="65">
      <c r="Q208" s="20" t="n"/>
      <c r="R208" s="14" t="n">
        <v>7</v>
      </c>
      <c r="S208" s="66" t="inlineStr">
        <is>
          <t>Driver Tip</t>
        </is>
      </c>
      <c r="W208" s="6" t="inlineStr">
        <is>
          <t>$22.11</t>
        </is>
      </c>
      <c r="Y208" s="68" t="inlineStr">
        <is>
          <t>How to read it</t>
        </is>
      </c>
    </row>
    <row r="209" ht="22" customHeight="1" s="65">
      <c r="Q209" s="21" t="n"/>
      <c r="R209" s="14" t="n">
        <v>8</v>
      </c>
      <c r="S209" s="66" t="inlineStr">
        <is>
          <t>Chobani Protein Greek Yogurt Drink, Strawberries &amp; Cream</t>
        </is>
      </c>
      <c r="W209" s="6" t="inlineStr">
        <is>
          <t>$21.98</t>
        </is>
      </c>
      <c r="Y209" s="66" t="inlineStr">
        <is>
          <t>Each product is represented by a numbered colored bar. Use the key to see the product name and its total spending. The longest bar is the largest individual spending driver.</t>
        </is>
      </c>
    </row>
    <row r="210" ht="22" customHeight="1" s="65">
      <c r="Q210" s="22" t="n"/>
      <c r="R210" s="14" t="n">
        <v>9</v>
      </c>
      <c r="S210" s="66" t="inlineStr">
        <is>
          <t>Empire Kosher Boneless Skinless Chicken Breast</t>
        </is>
      </c>
      <c r="W210" s="6" t="inlineStr">
        <is>
          <t>$21.74</t>
        </is>
      </c>
    </row>
    <row r="211" ht="22" customHeight="1" s="65">
      <c r="Q211" s="23" t="n"/>
      <c r="R211" s="14" t="n">
        <v>10</v>
      </c>
      <c r="S211" s="66" t="inlineStr">
        <is>
          <t>Silk Organic Unsweet Soymilk, Half Gallon</t>
        </is>
      </c>
      <c r="W211" s="6" t="inlineStr">
        <is>
          <t>$20.37</t>
        </is>
      </c>
    </row>
    <row r="212"/>
    <row r="214">
      <c r="Y214" s="68" t="inlineStr">
        <is>
          <t>What it is useful for</t>
        </is>
      </c>
    </row>
    <row r="215">
      <c r="Y215" s="66" t="inlineStr">
        <is>
          <t>Use this to identify specific products that contribute the most to total spending and may be worth price-comparing or watching over time.</t>
        </is>
      </c>
    </row>
    <row r="216"/>
    <row r="217"/>
    <row r="218"/>
    <row r="220">
      <c r="Y220" s="68" t="inlineStr">
        <is>
          <t>Notes</t>
        </is>
      </c>
    </row>
    <row r="221">
      <c r="Y221" s="66" t="inlineStr">
        <is>
          <t>Product identity prefers Common Name and falls back to Product when Common Name is unavailable.</t>
        </is>
      </c>
    </row>
    <row r="222"/>
    <row r="223"/>
    <row r="224"/>
    <row r="236" ht="16" customHeight="1" s="65">
      <c r="Q236" s="69" t="inlineStr">
        <is>
          <t>Store Numbers + Month Numbers</t>
        </is>
      </c>
      <c r="Y236" s="69" t="inlineStr">
        <is>
          <t>How to Read This Graph</t>
        </is>
      </c>
    </row>
    <row r="237">
      <c r="Q237" s="12" t="n"/>
      <c r="R237" s="12" t="inlineStr">
        <is>
          <t>#</t>
        </is>
      </c>
      <c r="S237" s="12" t="inlineStr">
        <is>
          <t>Description</t>
        </is>
      </c>
      <c r="W237" s="12" t="inlineStr">
        <is>
          <t>Value</t>
        </is>
      </c>
    </row>
    <row r="238" ht="22" customHeight="1" s="65">
      <c r="Q238" s="13" t="n"/>
      <c r="R238" s="14" t="n">
        <v>1</v>
      </c>
      <c r="S238" s="66" t="inlineStr">
        <is>
          <t>Publix</t>
        </is>
      </c>
      <c r="W238" s="6" t="inlineStr">
        <is>
          <t>$324.61</t>
        </is>
      </c>
      <c r="Y238" s="68" t="inlineStr">
        <is>
          <t>What it represents</t>
        </is>
      </c>
    </row>
    <row r="239" ht="22" customHeight="1" s="65">
      <c r="Q239" s="15" t="n"/>
      <c r="R239" s="14" t="n">
        <v>2</v>
      </c>
      <c r="S239" s="66" t="inlineStr">
        <is>
          <t>Walmart</t>
        </is>
      </c>
      <c r="W239" s="6" t="inlineStr">
        <is>
          <t>$262.92</t>
        </is>
      </c>
      <c r="Y239" s="66" t="inlineStr">
        <is>
          <t>Shows how monthly spending is divided among stores. Each column is one month; each colored section inside the column represents one store.</t>
        </is>
      </c>
    </row>
    <row r="240" ht="22" customHeight="1" s="65">
      <c r="Q240" s="16" t="n"/>
      <c r="R240" s="14" t="n">
        <v>3</v>
      </c>
      <c r="S240" s="66" t="inlineStr">
        <is>
          <t>Trader Joe's</t>
        </is>
      </c>
      <c r="W240" s="6" t="inlineStr">
        <is>
          <t>$125.58</t>
        </is>
      </c>
    </row>
    <row r="241" ht="22" customHeight="1" s="65">
      <c r="Q241" s="17" t="n"/>
      <c r="R241" s="14" t="n">
        <v>4</v>
      </c>
      <c r="S241" s="66" t="inlineStr">
        <is>
          <t>Aldi</t>
        </is>
      </c>
      <c r="W241" s="6" t="inlineStr">
        <is>
          <t>$97.13</t>
        </is>
      </c>
    </row>
    <row r="242" ht="22" customHeight="1" s="65">
      <c r="Q242" s="18" t="n"/>
      <c r="R242" s="14" t="n">
        <v>5</v>
      </c>
      <c r="S242" s="66" t="inlineStr">
        <is>
          <t>PapaJohns</t>
        </is>
      </c>
      <c r="W242" s="6" t="inlineStr">
        <is>
          <t>$56.70</t>
        </is>
      </c>
    </row>
    <row r="243" ht="22" customHeight="1" s="65">
      <c r="Q243" s="19" t="n"/>
      <c r="R243" s="14" t="n">
        <v>6</v>
      </c>
      <c r="S243" s="66" t="inlineStr">
        <is>
          <t>Cosco</t>
        </is>
      </c>
      <c r="W243" s="6" t="inlineStr">
        <is>
          <t>$46.79</t>
        </is>
      </c>
    </row>
    <row r="244" ht="22" customHeight="1" s="65">
      <c r="Q244" s="20" t="n"/>
      <c r="R244" s="14" t="n">
        <v>7</v>
      </c>
      <c r="S244" s="66" t="inlineStr">
        <is>
          <t>SurfinTurtle</t>
        </is>
      </c>
      <c r="W244" s="6" t="inlineStr">
        <is>
          <t>$13.30</t>
        </is>
      </c>
      <c r="Y244" s="68" t="inlineStr">
        <is>
          <t>How to read it</t>
        </is>
      </c>
    </row>
    <row r="245" ht="22" customHeight="1" s="65">
      <c r="Q245" s="21" t="n"/>
      <c r="R245" s="14" t="n">
        <v>8</v>
      </c>
      <c r="S245" s="66" t="inlineStr">
        <is>
          <t>L3HAtriumCafe</t>
        </is>
      </c>
      <c r="W245" s="6" t="inlineStr">
        <is>
          <t>$2.59</t>
        </is>
      </c>
      <c r="Y245" s="66" t="inlineStr">
        <is>
          <t>Store series use the numbered color key. The x-axis uses month numbers. Match those month numbers to the month rows in the key. The total height of a column is total monthly spending; the colored portions show which stores made up that total.</t>
        </is>
      </c>
    </row>
    <row r="246" ht="22" customHeight="1" s="65">
      <c r="Q246" s="26" t="n"/>
      <c r="R246" s="14" t="n">
        <v>1</v>
      </c>
      <c r="S246" s="66" t="inlineStr">
        <is>
          <t>Month September 2026</t>
        </is>
      </c>
      <c r="W246" s="6" t="inlineStr">
        <is>
          <t>$929.62</t>
        </is>
      </c>
    </row>
    <row r="247"/>
    <row r="248"/>
    <row r="250">
      <c r="Y250" s="68" t="inlineStr">
        <is>
          <t>What it is useful for</t>
        </is>
      </c>
    </row>
    <row r="251">
      <c r="Y251" s="66" t="inlineStr">
        <is>
          <t>Use this to see whether changes in monthly spending are connected to a particular store and how your retailer mix changes over time.</t>
        </is>
      </c>
    </row>
    <row r="252"/>
    <row r="253"/>
    <row r="254"/>
    <row r="256">
      <c r="Y256" s="68" t="inlineStr">
        <is>
          <t>Notes</t>
        </is>
      </c>
    </row>
    <row r="257">
      <c r="Y257" s="66" t="inlineStr">
        <is>
          <t>All stores are retained. There is no catch-all 'Other' store series.</t>
        </is>
      </c>
    </row>
    <row r="258"/>
    <row r="259"/>
    <row r="260"/>
    <row r="272" ht="16" customHeight="1" s="65">
      <c r="Q272" s="69" t="inlineStr">
        <is>
          <t>Number / Sub-Category</t>
        </is>
      </c>
      <c r="Y272" s="69" t="inlineStr">
        <is>
          <t>How to Read This Graph</t>
        </is>
      </c>
    </row>
    <row r="273">
      <c r="Q273" s="12" t="n"/>
      <c r="R273" s="12" t="inlineStr">
        <is>
          <t>#</t>
        </is>
      </c>
      <c r="S273" s="12" t="inlineStr">
        <is>
          <t>Description</t>
        </is>
      </c>
      <c r="W273" s="12" t="inlineStr">
        <is>
          <t>Value</t>
        </is>
      </c>
    </row>
    <row r="274" ht="22" customHeight="1" s="65">
      <c r="Q274" s="13" t="n"/>
      <c r="R274" s="14" t="n">
        <v>1</v>
      </c>
      <c r="S274" s="66" t="inlineStr">
        <is>
          <t>Fresh Vegetables</t>
        </is>
      </c>
      <c r="W274" s="6" t="inlineStr">
        <is>
          <t>17</t>
        </is>
      </c>
      <c r="Y274" s="68" t="inlineStr">
        <is>
          <t>What it represents</t>
        </is>
      </c>
    </row>
    <row r="275" ht="22" customHeight="1" s="65">
      <c r="Q275" s="15" t="n"/>
      <c r="R275" s="14" t="n">
        <v>2</v>
      </c>
      <c r="S275" s="66" t="inlineStr">
        <is>
          <t>Fresh Fruit</t>
        </is>
      </c>
      <c r="W275" s="6" t="inlineStr">
        <is>
          <t>16</t>
        </is>
      </c>
      <c r="Y275" s="66" t="inlineStr">
        <is>
          <t>Counts how many valid purchase observations occurred in each sub-category. This measures frequency, not dollars.</t>
        </is>
      </c>
    </row>
    <row r="276" ht="22" customHeight="1" s="65">
      <c r="Q276" s="16" t="n"/>
      <c r="R276" s="14" t="n">
        <v>3</v>
      </c>
      <c r="S276" s="66" t="inlineStr">
        <is>
          <t>Yogurt</t>
        </is>
      </c>
      <c r="W276" s="6" t="inlineStr">
        <is>
          <t>13</t>
        </is>
      </c>
    </row>
    <row r="277" ht="22" customHeight="1" s="65">
      <c r="Q277" s="17" t="n"/>
      <c r="R277" s="14" t="n">
        <v>4</v>
      </c>
      <c r="S277" s="66" t="inlineStr">
        <is>
          <t>Fresh Poultry</t>
        </is>
      </c>
      <c r="W277" s="6" t="inlineStr">
        <is>
          <t>7</t>
        </is>
      </c>
    </row>
    <row r="278" ht="22" customHeight="1" s="65">
      <c r="Q278" s="18" t="n"/>
      <c r="R278" s="14" t="n">
        <v>5</v>
      </c>
      <c r="S278" s="66" t="inlineStr">
        <is>
          <t>Fees &amp; Charges</t>
        </is>
      </c>
      <c r="W278" s="6" t="inlineStr">
        <is>
          <t>6</t>
        </is>
      </c>
    </row>
    <row r="279" ht="22" customHeight="1" s="65">
      <c r="Q279" s="19" t="n"/>
      <c r="R279" s="14" t="n">
        <v>6</v>
      </c>
      <c r="S279" s="66" t="inlineStr">
        <is>
          <t>Prepared Meals</t>
        </is>
      </c>
      <c r="W279" s="6" t="inlineStr">
        <is>
          <t>6</t>
        </is>
      </c>
    </row>
    <row r="280" ht="22" customHeight="1" s="65">
      <c r="Q280" s="20" t="n"/>
      <c r="R280" s="14" t="n">
        <v>7</v>
      </c>
      <c r="S280" s="66" t="inlineStr">
        <is>
          <t>Salad Kits</t>
        </is>
      </c>
      <c r="W280" s="6" t="inlineStr">
        <is>
          <t>6</t>
        </is>
      </c>
      <c r="Y280" s="68" t="inlineStr">
        <is>
          <t>How to read it</t>
        </is>
      </c>
    </row>
    <row r="281" ht="22" customHeight="1" s="65">
      <c r="Q281" s="21" t="n"/>
      <c r="R281" s="14" t="n">
        <v>8</v>
      </c>
      <c r="S281" s="66" t="inlineStr">
        <is>
          <t>Bread</t>
        </is>
      </c>
      <c r="W281" s="6" t="inlineStr">
        <is>
          <t>5</t>
        </is>
      </c>
      <c r="Y281" s="66" t="inlineStr">
        <is>
          <t>Each sub-category is a numbered colored bar. Match the number and color to the key. A longer bar means the sub-category was purchased more frequently.</t>
        </is>
      </c>
    </row>
    <row r="282" ht="22" customHeight="1" s="65">
      <c r="Q282" s="22" t="n"/>
      <c r="R282" s="14" t="n">
        <v>9</v>
      </c>
      <c r="S282" s="66" t="inlineStr">
        <is>
          <t>Cheese</t>
        </is>
      </c>
      <c r="W282" s="6" t="inlineStr">
        <is>
          <t>5</t>
        </is>
      </c>
    </row>
    <row r="283" ht="22" customHeight="1" s="65">
      <c r="Q283" s="23" t="n"/>
      <c r="R283" s="14" t="n">
        <v>10</v>
      </c>
      <c r="S283" s="66" t="inlineStr">
        <is>
          <t>Cream &amp; Half-and-Half</t>
        </is>
      </c>
      <c r="W283" s="6" t="inlineStr">
        <is>
          <t>5</t>
        </is>
      </c>
    </row>
    <row r="284" ht="22" customHeight="1" s="65">
      <c r="Q284" s="24" t="n"/>
      <c r="R284" s="14" t="n">
        <v>11</v>
      </c>
      <c r="S284" s="66" t="inlineStr">
        <is>
          <t>Seasonings &amp; Spices</t>
        </is>
      </c>
      <c r="W284" s="6" t="inlineStr">
        <is>
          <t>4</t>
        </is>
      </c>
    </row>
    <row r="285" ht="22" customHeight="1" s="65">
      <c r="Q285" s="25" t="n"/>
      <c r="R285" s="14" t="n">
        <v>12</v>
      </c>
      <c r="S285" s="66" t="inlineStr">
        <is>
          <t>Broth &amp; Stock</t>
        </is>
      </c>
      <c r="W285" s="6" t="inlineStr">
        <is>
          <t>3</t>
        </is>
      </c>
    </row>
    <row r="286" ht="22" customHeight="1" s="65">
      <c r="Q286" s="13" t="n"/>
      <c r="R286" s="14" t="n">
        <v>13</v>
      </c>
      <c r="S286" s="66" t="inlineStr">
        <is>
          <t>Frozen Desserts</t>
        </is>
      </c>
      <c r="W286" s="6" t="inlineStr">
        <is>
          <t>3</t>
        </is>
      </c>
      <c r="Y286" s="68" t="inlineStr">
        <is>
          <t>What it is useful for</t>
        </is>
      </c>
    </row>
    <row r="287" ht="22" customHeight="1" s="65">
      <c r="Q287" s="15" t="n"/>
      <c r="R287" s="14" t="n">
        <v>14</v>
      </c>
      <c r="S287" s="66" t="inlineStr">
        <is>
          <t>Plant-Based Milk</t>
        </is>
      </c>
      <c r="W287" s="6" t="inlineStr">
        <is>
          <t>3</t>
        </is>
      </c>
      <c r="Y287" s="66" t="inlineStr">
        <is>
          <t>Use this alongside Spending by Sub-Category to distinguish frequent routine purchases from sub-categories that are bought less often but cost more.</t>
        </is>
      </c>
    </row>
    <row r="288" ht="22" customHeight="1" s="65">
      <c r="Q288" s="16" t="n"/>
      <c r="R288" s="14" t="n">
        <v>15</v>
      </c>
      <c r="S288" s="66" t="inlineStr">
        <is>
          <t>Refrigerated Pasta</t>
        </is>
      </c>
      <c r="W288" s="6" t="inlineStr">
        <is>
          <t>3</t>
        </is>
      </c>
    </row>
    <row r="289" ht="22" customHeight="1" s="65">
      <c r="Q289" s="17" t="n"/>
      <c r="R289" s="14" t="n">
        <v>16</v>
      </c>
      <c r="S289" s="66" t="inlineStr">
        <is>
          <t>Antacids</t>
        </is>
      </c>
      <c r="W289" s="6" t="inlineStr">
        <is>
          <t>2</t>
        </is>
      </c>
    </row>
    <row r="290" ht="22" customHeight="1" s="65">
      <c r="Q290" s="18" t="n"/>
      <c r="R290" s="14" t="n">
        <v>17</v>
      </c>
      <c r="S290" s="66" t="inlineStr">
        <is>
          <t>Baby Care</t>
        </is>
      </c>
      <c r="W290" s="6" t="inlineStr">
        <is>
          <t>2</t>
        </is>
      </c>
    </row>
    <row r="291" ht="22" customHeight="1" s="65">
      <c r="Q291" s="19" t="n"/>
      <c r="R291" s="14" t="n">
        <v>18</v>
      </c>
      <c r="S291" s="66" t="inlineStr">
        <is>
          <t>Cakes &amp; Pies</t>
        </is>
      </c>
      <c r="W291" s="6" t="inlineStr">
        <is>
          <t>2</t>
        </is>
      </c>
    </row>
    <row r="292" ht="22" customHeight="1" s="65">
      <c r="Q292" s="20" t="n"/>
      <c r="R292" s="14" t="n">
        <v>19</v>
      </c>
      <c r="S292" s="66" t="inlineStr">
        <is>
          <t>Canned Tomatoes</t>
        </is>
      </c>
      <c r="W292" s="6" t="inlineStr">
        <is>
          <t>2</t>
        </is>
      </c>
    </row>
    <row r="293" ht="22" customHeight="1" s="65">
      <c r="Q293" s="21" t="n"/>
      <c r="R293" s="14" t="n">
        <v>20</v>
      </c>
      <c r="S293" s="66" t="inlineStr">
        <is>
          <t>Coffee Creamer</t>
        </is>
      </c>
      <c r="W293" s="6" t="inlineStr">
        <is>
          <t>2</t>
        </is>
      </c>
    </row>
    <row r="294" ht="22" customHeight="1" s="65">
      <c r="Q294" s="22" t="n"/>
      <c r="R294" s="14" t="n">
        <v>21</v>
      </c>
      <c r="S294" s="66" t="inlineStr">
        <is>
          <t>Dried Fruit</t>
        </is>
      </c>
      <c r="W294" s="6" t="inlineStr">
        <is>
          <t>2</t>
        </is>
      </c>
    </row>
    <row r="295" ht="22" customHeight="1" s="65">
      <c r="Q295" s="23" t="n"/>
      <c r="R295" s="14" t="n">
        <v>22</v>
      </c>
      <c r="S295" s="66" t="inlineStr">
        <is>
          <t>Eggs</t>
        </is>
      </c>
      <c r="W295" s="6" t="inlineStr">
        <is>
          <t>2</t>
        </is>
      </c>
    </row>
    <row r="296" ht="22" customHeight="1" s="65">
      <c r="Q296" s="24" t="n"/>
      <c r="R296" s="14" t="n">
        <v>23</v>
      </c>
      <c r="S296" s="66" t="inlineStr">
        <is>
          <t>Fresh Seafood</t>
        </is>
      </c>
      <c r="W296" s="6" t="inlineStr">
        <is>
          <t>2</t>
        </is>
      </c>
    </row>
    <row r="297" ht="22" customHeight="1" s="65">
      <c r="Q297" s="25" t="n"/>
      <c r="R297" s="14" t="n">
        <v>24</v>
      </c>
      <c r="S297" s="66" t="inlineStr">
        <is>
          <t>Refrigerated Dough</t>
        </is>
      </c>
      <c r="W297" s="6" t="inlineStr">
        <is>
          <t>2</t>
        </is>
      </c>
    </row>
    <row r="298" ht="22" customHeight="1" s="65">
      <c r="Q298" s="13" t="n"/>
      <c r="R298" s="14" t="n">
        <v>25</v>
      </c>
      <c r="S298" s="66" t="inlineStr">
        <is>
          <t>Rice Cakes &amp; Crisps</t>
        </is>
      </c>
      <c r="W298" s="6" t="inlineStr">
        <is>
          <t>2</t>
        </is>
      </c>
    </row>
    <row r="299" ht="22" customHeight="1" s="65">
      <c r="Q299" s="15" t="n"/>
      <c r="R299" s="14" t="n">
        <v>26</v>
      </c>
      <c r="S299" s="66" t="inlineStr">
        <is>
          <t>Wine</t>
        </is>
      </c>
      <c r="W299" s="6" t="inlineStr">
        <is>
          <t>2</t>
        </is>
      </c>
    </row>
    <row r="300" ht="22" customHeight="1" s="65">
      <c r="Q300" s="16" t="n"/>
      <c r="R300" s="14" t="n">
        <v>27</v>
      </c>
      <c r="S300" s="66" t="inlineStr">
        <is>
          <t>Applesauce</t>
        </is>
      </c>
      <c r="W300" s="6" t="inlineStr">
        <is>
          <t>1</t>
        </is>
      </c>
    </row>
    <row r="301" ht="22" customHeight="1" s="65">
      <c r="Q301" s="17" t="n"/>
      <c r="R301" s="14" t="n">
        <v>28</v>
      </c>
      <c r="S301" s="66" t="inlineStr">
        <is>
          <t>Baking Ingredients</t>
        </is>
      </c>
      <c r="W301" s="6" t="inlineStr">
        <is>
          <t>1</t>
        </is>
      </c>
    </row>
    <row r="302" ht="22" customHeight="1" s="65">
      <c r="Q302" s="18" t="n"/>
      <c r="R302" s="14" t="n">
        <v>29</v>
      </c>
      <c r="S302" s="66" t="inlineStr">
        <is>
          <t>Balloons</t>
        </is>
      </c>
      <c r="W302" s="6" t="inlineStr">
        <is>
          <t>1</t>
        </is>
      </c>
    </row>
    <row r="303" ht="22" customHeight="1" s="65">
      <c r="Q303" s="19" t="n"/>
      <c r="R303" s="14" t="n">
        <v>30</v>
      </c>
      <c r="S303" s="66" t="inlineStr">
        <is>
          <t>Beer</t>
        </is>
      </c>
      <c r="W303" s="6" t="inlineStr">
        <is>
          <t>1</t>
        </is>
      </c>
    </row>
    <row r="304" ht="22" customHeight="1" s="65">
      <c r="Q304" s="20" t="n"/>
      <c r="R304" s="14" t="n">
        <v>31</v>
      </c>
      <c r="S304" s="66" t="inlineStr">
        <is>
          <t>Canned Beans &amp; Legumes</t>
        </is>
      </c>
      <c r="W304" s="6" t="inlineStr">
        <is>
          <t>1</t>
        </is>
      </c>
    </row>
    <row r="305" ht="22" customHeight="1" s="65">
      <c r="Q305" s="21" t="n"/>
      <c r="R305" s="14" t="n">
        <v>32</v>
      </c>
      <c r="S305" s="66" t="inlineStr">
        <is>
          <t>Cat Litter</t>
        </is>
      </c>
      <c r="W305" s="6" t="inlineStr">
        <is>
          <t>1</t>
        </is>
      </c>
    </row>
    <row r="306" ht="22" customHeight="1" s="65">
      <c r="Q306" s="22" t="n"/>
      <c r="R306" s="14" t="n">
        <v>33</v>
      </c>
      <c r="S306" s="66" t="inlineStr">
        <is>
          <t>Cookies</t>
        </is>
      </c>
      <c r="W306" s="6" t="inlineStr">
        <is>
          <t>1</t>
        </is>
      </c>
    </row>
    <row r="307" ht="22" customHeight="1" s="65">
      <c r="Q307" s="23" t="n"/>
      <c r="R307" s="14" t="n">
        <v>34</v>
      </c>
      <c r="S307" s="66" t="inlineStr">
        <is>
          <t>Cream Cheese</t>
        </is>
      </c>
      <c r="W307" s="6" t="inlineStr">
        <is>
          <t>1</t>
        </is>
      </c>
    </row>
    <row r="308" ht="22" customHeight="1" s="65">
      <c r="Q308" s="24" t="n"/>
      <c r="R308" s="14" t="n">
        <v>35</v>
      </c>
      <c r="S308" s="66" t="inlineStr">
        <is>
          <t>Dips &amp; Spreads</t>
        </is>
      </c>
      <c r="W308" s="6" t="inlineStr">
        <is>
          <t>1</t>
        </is>
      </c>
    </row>
    <row r="309" ht="22" customHeight="1" s="65">
      <c r="Q309" s="25" t="n"/>
      <c r="R309" s="14" t="n">
        <v>36</v>
      </c>
      <c r="S309" s="66" t="inlineStr">
        <is>
          <t>Dishwashing Supplies</t>
        </is>
      </c>
      <c r="W309" s="6" t="inlineStr">
        <is>
          <t>1</t>
        </is>
      </c>
    </row>
    <row r="310" ht="22" customHeight="1" s="65">
      <c r="Q310" s="13" t="n"/>
      <c r="R310" s="14" t="n">
        <v>37</v>
      </c>
      <c r="S310" s="66" t="inlineStr">
        <is>
          <t>Disposable Tableware</t>
        </is>
      </c>
      <c r="W310" s="6" t="inlineStr">
        <is>
          <t>1</t>
        </is>
      </c>
    </row>
    <row r="311" ht="22" customHeight="1" s="65">
      <c r="Q311" s="15" t="n"/>
      <c r="R311" s="14" t="n">
        <v>38</v>
      </c>
      <c r="S311" s="66" t="inlineStr">
        <is>
          <t>Fresh Beef</t>
        </is>
      </c>
      <c r="W311" s="6" t="inlineStr">
        <is>
          <t>1</t>
        </is>
      </c>
    </row>
    <row r="312" ht="22" customHeight="1" s="65">
      <c r="Q312" s="16" t="n"/>
      <c r="R312" s="14" t="n">
        <v>39</v>
      </c>
      <c r="S312" s="66" t="inlineStr">
        <is>
          <t>Fresh-Cut Fruit</t>
        </is>
      </c>
      <c r="W312" s="6" t="inlineStr">
        <is>
          <t>1</t>
        </is>
      </c>
    </row>
    <row r="313" ht="22" customHeight="1" s="65">
      <c r="Q313" s="17" t="n"/>
      <c r="R313" s="14" t="n">
        <v>40</v>
      </c>
      <c r="S313" s="66" t="inlineStr">
        <is>
          <t>Frozen Appetizers</t>
        </is>
      </c>
      <c r="W313" s="6" t="inlineStr">
        <is>
          <t>1</t>
        </is>
      </c>
    </row>
    <row r="314" ht="22" customHeight="1" s="65">
      <c r="Q314" s="18" t="n"/>
      <c r="R314" s="14" t="n">
        <v>41</v>
      </c>
      <c r="S314" s="66" t="inlineStr">
        <is>
          <t>Frozen Pizza</t>
        </is>
      </c>
      <c r="W314" s="6" t="inlineStr">
        <is>
          <t>1</t>
        </is>
      </c>
    </row>
    <row r="315" ht="22" customHeight="1" s="65">
      <c r="Q315" s="19" t="n"/>
      <c r="R315" s="14" t="n">
        <v>42</v>
      </c>
      <c r="S315" s="66" t="inlineStr">
        <is>
          <t>Frozen Vegetables</t>
        </is>
      </c>
      <c r="W315" s="6" t="inlineStr">
        <is>
          <t>1</t>
        </is>
      </c>
    </row>
    <row r="316" ht="22" customHeight="1" s="65">
      <c r="Q316" s="20" t="n"/>
      <c r="R316" s="14" t="n">
        <v>43</v>
      </c>
      <c r="S316" s="66" t="inlineStr">
        <is>
          <t>Hair Care</t>
        </is>
      </c>
      <c r="W316" s="6" t="inlineStr">
        <is>
          <t>1</t>
        </is>
      </c>
    </row>
    <row r="317" ht="22" customHeight="1" s="65">
      <c r="Q317" s="21" t="n"/>
      <c r="R317" s="14" t="n">
        <v>44</v>
      </c>
      <c r="S317" s="66" t="inlineStr">
        <is>
          <t>Hand Soap</t>
        </is>
      </c>
      <c r="W317" s="6" t="inlineStr">
        <is>
          <t>1</t>
        </is>
      </c>
    </row>
    <row r="318" ht="22" customHeight="1" s="65">
      <c r="Q318" s="22" t="n"/>
      <c r="R318" s="14" t="n">
        <v>45</v>
      </c>
      <c r="S318" s="66" t="inlineStr">
        <is>
          <t>Hot Dogs &amp; Sausages</t>
        </is>
      </c>
      <c r="W318" s="6" t="inlineStr">
        <is>
          <t>1</t>
        </is>
      </c>
    </row>
    <row r="319" ht="22" customHeight="1" s="65">
      <c r="Q319" s="23" t="n"/>
      <c r="R319" s="14" t="n">
        <v>46</v>
      </c>
      <c r="S319" s="66" t="inlineStr">
        <is>
          <t>Household Cleaners</t>
        </is>
      </c>
      <c r="W319" s="6" t="inlineStr">
        <is>
          <t>1</t>
        </is>
      </c>
    </row>
    <row r="320" ht="22" customHeight="1" s="65">
      <c r="Q320" s="24" t="n"/>
      <c r="R320" s="14" t="n">
        <v>47</v>
      </c>
      <c r="S320" s="66" t="inlineStr">
        <is>
          <t>Muffins &amp; Pastries</t>
        </is>
      </c>
      <c r="W320" s="6" t="inlineStr">
        <is>
          <t>1</t>
        </is>
      </c>
    </row>
    <row r="321" ht="22" customHeight="1" s="65">
      <c r="Q321" s="25" t="n"/>
      <c r="R321" s="14" t="n">
        <v>48</v>
      </c>
      <c r="S321" s="66" t="inlineStr">
        <is>
          <t>Paper Towels</t>
        </is>
      </c>
      <c r="W321" s="6" t="inlineStr">
        <is>
          <t>1</t>
        </is>
      </c>
    </row>
    <row r="322" ht="22" customHeight="1" s="65">
      <c r="Q322" s="13" t="n"/>
      <c r="R322" s="14" t="n">
        <v>49</v>
      </c>
      <c r="S322" s="66" t="inlineStr">
        <is>
          <t>Pasta</t>
        </is>
      </c>
      <c r="W322" s="6" t="inlineStr">
        <is>
          <t>1</t>
        </is>
      </c>
    </row>
    <row r="323" ht="22" customHeight="1" s="65">
      <c r="Q323" s="15" t="n"/>
      <c r="R323" s="14" t="n">
        <v>50</v>
      </c>
      <c r="S323" s="66" t="inlineStr">
        <is>
          <t>Popcorn</t>
        </is>
      </c>
      <c r="W323" s="6" t="inlineStr">
        <is>
          <t>1</t>
        </is>
      </c>
    </row>
    <row r="324" ht="22" customHeight="1" s="65">
      <c r="Q324" s="16" t="n"/>
      <c r="R324" s="14" t="n">
        <v>51</v>
      </c>
      <c r="S324" s="66" t="inlineStr">
        <is>
          <t>Sauces &amp; Condiments</t>
        </is>
      </c>
      <c r="W324" s="6" t="inlineStr">
        <is>
          <t>1</t>
        </is>
      </c>
    </row>
    <row r="325" ht="22" customHeight="1" s="65">
      <c r="Q325" s="17" t="n"/>
      <c r="R325" s="14" t="n">
        <v>52</v>
      </c>
      <c r="S325" s="66" t="inlineStr">
        <is>
          <t>Smoked Seafood</t>
        </is>
      </c>
      <c r="W325" s="6" t="inlineStr">
        <is>
          <t>1</t>
        </is>
      </c>
    </row>
    <row r="326" ht="22" customHeight="1" s="65">
      <c r="Q326" s="18" t="n"/>
      <c r="R326" s="14" t="n">
        <v>53</v>
      </c>
      <c r="S326" s="66" t="inlineStr">
        <is>
          <t>Snack Bars</t>
        </is>
      </c>
      <c r="W326" s="6" t="inlineStr">
        <is>
          <t>1</t>
        </is>
      </c>
    </row>
    <row r="327" ht="22" customHeight="1" s="65">
      <c r="Q327" s="19" t="n"/>
      <c r="R327" s="14" t="n">
        <v>54</v>
      </c>
      <c r="S327" s="66" t="inlineStr">
        <is>
          <t>Snack Cakes</t>
        </is>
      </c>
      <c r="W327" s="6" t="inlineStr">
        <is>
          <t>1</t>
        </is>
      </c>
    </row>
    <row r="328" ht="22" customHeight="1" s="65">
      <c r="Q328" s="20" t="n"/>
      <c r="R328" s="14" t="n">
        <v>55</v>
      </c>
      <c r="S328" s="66" t="inlineStr">
        <is>
          <t>Storage &amp; Organization</t>
        </is>
      </c>
      <c r="W328" s="6" t="inlineStr">
        <is>
          <t>1</t>
        </is>
      </c>
    </row>
  </sheetData>
  <mergeCells count="260">
    <mergeCell ref="S207:V207"/>
    <mergeCell ref="S158:V158"/>
    <mergeCell ref="S210:V210"/>
    <mergeCell ref="S281:V281"/>
    <mergeCell ref="Y10:AG10"/>
    <mergeCell ref="S108:V108"/>
    <mergeCell ref="Y250:AG250"/>
    <mergeCell ref="S95:V95"/>
    <mergeCell ref="S147:V147"/>
    <mergeCell ref="S178:V178"/>
    <mergeCell ref="Y16:AG16"/>
    <mergeCell ref="S79:V79"/>
    <mergeCell ref="S306:V306"/>
    <mergeCell ref="S321:V321"/>
    <mergeCell ref="S193:V193"/>
    <mergeCell ref="S150:V150"/>
    <mergeCell ref="Y52:AG52"/>
    <mergeCell ref="S144:V144"/>
    <mergeCell ref="S159:V159"/>
    <mergeCell ref="S202:V202"/>
    <mergeCell ref="S153:V153"/>
    <mergeCell ref="S242:V242"/>
    <mergeCell ref="S302:V302"/>
    <mergeCell ref="S315:V315"/>
    <mergeCell ref="Y140:AG140"/>
    <mergeCell ref="S72:V72"/>
    <mergeCell ref="S177:V177"/>
    <mergeCell ref="S192:V192"/>
    <mergeCell ref="Y214:AG214"/>
    <mergeCell ref="S81:V81"/>
    <mergeCell ref="S305:V305"/>
    <mergeCell ref="S323:V323"/>
    <mergeCell ref="S164:V164"/>
    <mergeCell ref="S292:V292"/>
    <mergeCell ref="S161:V161"/>
    <mergeCell ref="S173:V173"/>
    <mergeCell ref="S62:V62"/>
    <mergeCell ref="S96:V96"/>
    <mergeCell ref="A1:AG2"/>
    <mergeCell ref="S71:V71"/>
    <mergeCell ref="S241:V241"/>
    <mergeCell ref="S145:V145"/>
    <mergeCell ref="S58:V58"/>
    <mergeCell ref="S176:V176"/>
    <mergeCell ref="Y160:AG160"/>
    <mergeCell ref="S307:V307"/>
    <mergeCell ref="Q272:W272"/>
    <mergeCell ref="Y251:AG254"/>
    <mergeCell ref="S322:V322"/>
    <mergeCell ref="S98:V98"/>
    <mergeCell ref="S73:V73"/>
    <mergeCell ref="S191:V191"/>
    <mergeCell ref="Q200:W200"/>
    <mergeCell ref="S107:V107"/>
    <mergeCell ref="S243:V243"/>
    <mergeCell ref="S278:V278"/>
    <mergeCell ref="Y275:AG278"/>
    <mergeCell ref="Y17:AG20"/>
    <mergeCell ref="S57:V57"/>
    <mergeCell ref="Y256:AG256"/>
    <mergeCell ref="Y11:AG14"/>
    <mergeCell ref="Y112:AG112"/>
    <mergeCell ref="S293:V293"/>
    <mergeCell ref="Y59:AG62"/>
    <mergeCell ref="S112:V112"/>
    <mergeCell ref="Q236:W236"/>
    <mergeCell ref="Y142:AG142"/>
    <mergeCell ref="S317:V317"/>
    <mergeCell ref="S204:V204"/>
    <mergeCell ref="S146:V146"/>
    <mergeCell ref="S99:V99"/>
    <mergeCell ref="S151:V151"/>
    <mergeCell ref="Y239:AG242"/>
    <mergeCell ref="S83:V83"/>
    <mergeCell ref="S325:V325"/>
    <mergeCell ref="S154:V154"/>
    <mergeCell ref="S92:V92"/>
    <mergeCell ref="S206:V206"/>
    <mergeCell ref="S163:V163"/>
    <mergeCell ref="S319:V319"/>
    <mergeCell ref="S309:V309"/>
    <mergeCell ref="S76:V76"/>
    <mergeCell ref="S85:V85"/>
    <mergeCell ref="S94:V94"/>
    <mergeCell ref="S183:V183"/>
    <mergeCell ref="S296:V296"/>
    <mergeCell ref="Q104:W104"/>
    <mergeCell ref="S246:V246"/>
    <mergeCell ref="S311:V311"/>
    <mergeCell ref="Y209:AG212"/>
    <mergeCell ref="S109:V109"/>
    <mergeCell ref="Q140:W140"/>
    <mergeCell ref="S320:V320"/>
    <mergeCell ref="S149:V149"/>
    <mergeCell ref="S167:V167"/>
    <mergeCell ref="S280:V280"/>
    <mergeCell ref="S75:V75"/>
    <mergeCell ref="S110:V110"/>
    <mergeCell ref="Y215:AG218"/>
    <mergeCell ref="S59:V59"/>
    <mergeCell ref="S47:V47"/>
    <mergeCell ref="S295:V295"/>
    <mergeCell ref="Y154:AG154"/>
    <mergeCell ref="S46:V46"/>
    <mergeCell ref="S169:V169"/>
    <mergeCell ref="S282:V282"/>
    <mergeCell ref="S297:V297"/>
    <mergeCell ref="S291:V291"/>
    <mergeCell ref="S165:V165"/>
    <mergeCell ref="S180:V180"/>
    <mergeCell ref="S61:V61"/>
    <mergeCell ref="S70:V70"/>
    <mergeCell ref="S48:V48"/>
    <mergeCell ref="Y8:AG8"/>
    <mergeCell ref="Y244:AG244"/>
    <mergeCell ref="S111:V111"/>
    <mergeCell ref="S194:V194"/>
    <mergeCell ref="S209:V209"/>
    <mergeCell ref="S203:V203"/>
    <mergeCell ref="S181:V181"/>
    <mergeCell ref="S274:V274"/>
    <mergeCell ref="S283:V283"/>
    <mergeCell ref="Y113:AG116"/>
    <mergeCell ref="S160:V160"/>
    <mergeCell ref="S175:V175"/>
    <mergeCell ref="S87:V87"/>
    <mergeCell ref="Y286:AG286"/>
    <mergeCell ref="S211:V211"/>
    <mergeCell ref="S245:V245"/>
    <mergeCell ref="S49:V49"/>
    <mergeCell ref="Y236:AG236"/>
    <mergeCell ref="S97:V97"/>
    <mergeCell ref="S10:V10"/>
    <mergeCell ref="Y118:AG118"/>
    <mergeCell ref="Y155:AG158"/>
    <mergeCell ref="S308:V308"/>
    <mergeCell ref="S195:V195"/>
    <mergeCell ref="Y149:AG152"/>
    <mergeCell ref="S89:V89"/>
    <mergeCell ref="S65:V65"/>
    <mergeCell ref="S74:V74"/>
    <mergeCell ref="S157:V157"/>
    <mergeCell ref="S310:V310"/>
    <mergeCell ref="S284:V284"/>
    <mergeCell ref="Y245:AG248"/>
    <mergeCell ref="Y22:AG22"/>
    <mergeCell ref="S294:V294"/>
    <mergeCell ref="S50:V50"/>
    <mergeCell ref="S286:V286"/>
    <mergeCell ref="S168:V168"/>
    <mergeCell ref="S51:V51"/>
    <mergeCell ref="S113:V113"/>
    <mergeCell ref="Y125:AG128"/>
    <mergeCell ref="S91:V91"/>
    <mergeCell ref="S184:V184"/>
    <mergeCell ref="S60:V60"/>
    <mergeCell ref="Y208:AG208"/>
    <mergeCell ref="S276:V276"/>
    <mergeCell ref="S327:V327"/>
    <mergeCell ref="S143:V143"/>
    <mergeCell ref="S100:V100"/>
    <mergeCell ref="Y53:AG56"/>
    <mergeCell ref="Y47:AG50"/>
    <mergeCell ref="S155:V155"/>
    <mergeCell ref="S93:V93"/>
    <mergeCell ref="Y272:AG272"/>
    <mergeCell ref="S77:V77"/>
    <mergeCell ref="S52:V52"/>
    <mergeCell ref="S170:V170"/>
    <mergeCell ref="Q8:W8"/>
    <mergeCell ref="S86:V86"/>
    <mergeCell ref="S179:V179"/>
    <mergeCell ref="S328:V328"/>
    <mergeCell ref="S166:V166"/>
    <mergeCell ref="S67:V67"/>
    <mergeCell ref="Y161:AG164"/>
    <mergeCell ref="S303:V303"/>
    <mergeCell ref="S185:V185"/>
    <mergeCell ref="S318:V318"/>
    <mergeCell ref="S312:V312"/>
    <mergeCell ref="S290:V290"/>
    <mergeCell ref="S326:V326"/>
    <mergeCell ref="S208:V208"/>
    <mergeCell ref="S186:V186"/>
    <mergeCell ref="S299:V299"/>
    <mergeCell ref="Y106:AG106"/>
    <mergeCell ref="Y281:AG284"/>
    <mergeCell ref="S69:V69"/>
    <mergeCell ref="S78:V78"/>
    <mergeCell ref="Y203:AG206"/>
    <mergeCell ref="Y220:AG220"/>
    <mergeCell ref="S205:V205"/>
    <mergeCell ref="S314:V314"/>
    <mergeCell ref="S53:V53"/>
    <mergeCell ref="Y148:AG148"/>
    <mergeCell ref="Q44:W44"/>
    <mergeCell ref="S298:V298"/>
    <mergeCell ref="S142:V142"/>
    <mergeCell ref="S313:V313"/>
    <mergeCell ref="S80:V80"/>
    <mergeCell ref="Y44:AG44"/>
    <mergeCell ref="S285:V285"/>
    <mergeCell ref="S172:V172"/>
    <mergeCell ref="S55:V55"/>
    <mergeCell ref="S64:V64"/>
    <mergeCell ref="S148:V148"/>
    <mergeCell ref="S162:V162"/>
    <mergeCell ref="S275:V275"/>
    <mergeCell ref="S54:V54"/>
    <mergeCell ref="S88:V88"/>
    <mergeCell ref="S63:V63"/>
    <mergeCell ref="S324:V324"/>
    <mergeCell ref="Y23:AG26"/>
    <mergeCell ref="S106:V106"/>
    <mergeCell ref="Y107:AG110"/>
    <mergeCell ref="Y124:AG124"/>
    <mergeCell ref="S277:V277"/>
    <mergeCell ref="Y46:AG46"/>
    <mergeCell ref="S187:V187"/>
    <mergeCell ref="Y28:AG28"/>
    <mergeCell ref="S56:V56"/>
    <mergeCell ref="Y221:AG224"/>
    <mergeCell ref="S90:V90"/>
    <mergeCell ref="S174:V174"/>
    <mergeCell ref="S156:V156"/>
    <mergeCell ref="S188:V188"/>
    <mergeCell ref="S301:V301"/>
    <mergeCell ref="Y143:AG146"/>
    <mergeCell ref="S316:V316"/>
    <mergeCell ref="S189:V189"/>
    <mergeCell ref="Y104:AG104"/>
    <mergeCell ref="S238:V238"/>
    <mergeCell ref="Y238:AG238"/>
    <mergeCell ref="Y29:AG32"/>
    <mergeCell ref="S244:V244"/>
    <mergeCell ref="S300:V300"/>
    <mergeCell ref="S182:V182"/>
    <mergeCell ref="S82:V82"/>
    <mergeCell ref="S287:V287"/>
    <mergeCell ref="S240:V240"/>
    <mergeCell ref="Y200:AG200"/>
    <mergeCell ref="Y257:AG260"/>
    <mergeCell ref="S66:V66"/>
    <mergeCell ref="Y280:AG280"/>
    <mergeCell ref="S190:V190"/>
    <mergeCell ref="Y274:AG274"/>
    <mergeCell ref="S289:V289"/>
    <mergeCell ref="S304:V304"/>
    <mergeCell ref="Y119:AG122"/>
    <mergeCell ref="Y202:AG202"/>
    <mergeCell ref="Y58:AG58"/>
    <mergeCell ref="S68:V68"/>
    <mergeCell ref="S152:V152"/>
    <mergeCell ref="S196:V196"/>
    <mergeCell ref="S239:V239"/>
    <mergeCell ref="S279:V279"/>
    <mergeCell ref="Y287:AG290"/>
    <mergeCell ref="S288:V288"/>
    <mergeCell ref="S171:V171"/>
    <mergeCell ref="S84:V8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10" defaultColWidth="8.83203125" defaultRowHeight="15"/>
  <sheetData>
    <row r="1">
      <c r="A1" s="8" t="inlineStr">
        <is>
          <t>Monthly Spending</t>
        </is>
      </c>
      <c r="E1" s="8" t="inlineStr">
        <is>
          <t>Spending by Sub-Category</t>
        </is>
      </c>
      <c r="I1" s="8" t="inlineStr">
        <is>
          <t>Spending by Store</t>
        </is>
      </c>
      <c r="M1" s="8" t="inlineStr">
        <is>
          <t>Spending Share by Sub-Category</t>
        </is>
      </c>
      <c r="Q1" s="8" t="inlineStr">
        <is>
          <t>Top Products by Spending</t>
        </is>
      </c>
      <c r="U1" s="8" t="inlineStr">
        <is>
          <t>Purchase Frequency by Sub-Category</t>
        </is>
      </c>
      <c r="Y1" s="8" t="inlineStr">
        <is>
          <t>Monthly Spending by Store</t>
        </is>
      </c>
    </row>
    <row r="2">
      <c r="A2" s="8" t="inlineStr">
        <is>
          <t>Number</t>
        </is>
      </c>
      <c r="B2" s="8" t="inlineStr">
        <is>
          <t>Month</t>
        </is>
      </c>
      <c r="C2" s="8" t="inlineStr">
        <is>
          <t>Spending</t>
        </is>
      </c>
      <c r="E2" s="8" t="inlineStr">
        <is>
          <t>Number</t>
        </is>
      </c>
      <c r="F2" s="8" t="inlineStr">
        <is>
          <t>Sub-Category</t>
        </is>
      </c>
      <c r="G2" s="8" t="inlineStr">
        <is>
          <t>Spending</t>
        </is>
      </c>
      <c r="I2" s="8" t="inlineStr">
        <is>
          <t>Number</t>
        </is>
      </c>
      <c r="J2" s="8" t="inlineStr">
        <is>
          <t>Store</t>
        </is>
      </c>
      <c r="K2" s="8" t="inlineStr">
        <is>
          <t>Spending</t>
        </is>
      </c>
      <c r="M2" s="8" t="inlineStr">
        <is>
          <t>Number</t>
        </is>
      </c>
      <c r="N2" s="8" t="inlineStr">
        <is>
          <t>Sub-Category</t>
        </is>
      </c>
      <c r="O2" s="8" t="inlineStr">
        <is>
          <t>Spending</t>
        </is>
      </c>
      <c r="Q2" s="8" t="inlineStr">
        <is>
          <t>Number</t>
        </is>
      </c>
      <c r="R2" s="8" t="inlineStr">
        <is>
          <t>Product</t>
        </is>
      </c>
      <c r="S2" s="8" t="inlineStr">
        <is>
          <t>Spending</t>
        </is>
      </c>
      <c r="U2" s="8" t="inlineStr">
        <is>
          <t>Number</t>
        </is>
      </c>
      <c r="V2" s="8" t="inlineStr">
        <is>
          <t>Sub-Category</t>
        </is>
      </c>
      <c r="W2" s="8" t="inlineStr">
        <is>
          <t>Purchases</t>
        </is>
      </c>
      <c r="Y2" s="8" t="inlineStr">
        <is>
          <t>Month Number</t>
        </is>
      </c>
      <c r="Z2" s="8" t="inlineStr">
        <is>
          <t>1</t>
        </is>
      </c>
      <c r="AA2" s="8" t="inlineStr">
        <is>
          <t>2</t>
        </is>
      </c>
      <c r="AB2" s="8" t="inlineStr">
        <is>
          <t>3</t>
        </is>
      </c>
      <c r="AC2" s="8" t="inlineStr">
        <is>
          <t>4</t>
        </is>
      </c>
      <c r="AD2" s="8" t="inlineStr">
        <is>
          <t>5</t>
        </is>
      </c>
      <c r="AE2" s="8" t="inlineStr">
        <is>
          <t>6</t>
        </is>
      </c>
      <c r="AF2" s="8" t="inlineStr">
        <is>
          <t>7</t>
        </is>
      </c>
      <c r="AG2" s="8" t="inlineStr">
        <is>
          <t>8</t>
        </is>
      </c>
    </row>
    <row r="3">
      <c r="A3" t="n">
        <v>1</v>
      </c>
      <c r="B3" s="4" t="n">
        <v>46266</v>
      </c>
      <c r="C3" s="5" t="n">
        <v>929.6200000000008</v>
      </c>
      <c r="E3" t="n">
        <v>1</v>
      </c>
      <c r="F3" t="inlineStr">
        <is>
          <t>Prepared Meals</t>
        </is>
      </c>
      <c r="G3" s="5" t="n">
        <v>71.78999999999999</v>
      </c>
      <c r="I3" t="n">
        <v>1</v>
      </c>
      <c r="J3" t="inlineStr">
        <is>
          <t>Publix</t>
        </is>
      </c>
      <c r="K3" s="5" t="n">
        <v>324.61</v>
      </c>
      <c r="M3" t="n">
        <v>1</v>
      </c>
      <c r="N3" t="inlineStr">
        <is>
          <t>Prepared Meals</t>
        </is>
      </c>
      <c r="O3" s="5" t="n">
        <v>71.78999999999999</v>
      </c>
      <c r="Q3" t="n">
        <v>1</v>
      </c>
      <c r="R3" t="inlineStr">
        <is>
          <t>Salmon Fillet</t>
        </is>
      </c>
      <c r="S3" s="5" t="n">
        <v>46.91</v>
      </c>
      <c r="U3" t="n">
        <v>1</v>
      </c>
      <c r="V3" t="inlineStr">
        <is>
          <t>Fresh Vegetables</t>
        </is>
      </c>
      <c r="W3" t="n">
        <v>17</v>
      </c>
      <c r="Y3" t="n">
        <v>1</v>
      </c>
      <c r="Z3" s="5" t="n">
        <v>324.61</v>
      </c>
      <c r="AA3" s="5" t="n">
        <v>262.9200000000001</v>
      </c>
      <c r="AB3" s="5" t="n">
        <v>125.58</v>
      </c>
      <c r="AC3" s="5" t="n">
        <v>97.13000000000001</v>
      </c>
      <c r="AD3" s="5" t="n">
        <v>56.7</v>
      </c>
      <c r="AE3" s="5" t="n">
        <v>46.79</v>
      </c>
      <c r="AF3" s="5" t="n">
        <v>13.3</v>
      </c>
      <c r="AG3" s="5" t="n">
        <v>2.59</v>
      </c>
    </row>
    <row r="4">
      <c r="E4" t="n">
        <v>2</v>
      </c>
      <c r="F4" t="inlineStr">
        <is>
          <t>Fresh Poultry</t>
        </is>
      </c>
      <c r="G4" s="5" t="n">
        <v>68.86</v>
      </c>
      <c r="I4" t="n">
        <v>2</v>
      </c>
      <c r="J4" t="inlineStr">
        <is>
          <t>Walmart</t>
        </is>
      </c>
      <c r="K4" s="5" t="n">
        <v>262.9200000000001</v>
      </c>
      <c r="M4" t="n">
        <v>2</v>
      </c>
      <c r="N4" t="inlineStr">
        <is>
          <t>Fresh Poultry</t>
        </is>
      </c>
      <c r="O4" s="5" t="n">
        <v>68.86</v>
      </c>
      <c r="Q4" t="n">
        <v>2</v>
      </c>
      <c r="R4" t="inlineStr">
        <is>
          <t>Pampers Swaddlers Diapers</t>
        </is>
      </c>
      <c r="S4" s="5" t="n">
        <v>46.79</v>
      </c>
      <c r="U4" t="n">
        <v>2</v>
      </c>
      <c r="V4" t="inlineStr">
        <is>
          <t>Fresh Fruit</t>
        </is>
      </c>
      <c r="W4" t="n">
        <v>16</v>
      </c>
    </row>
    <row r="5">
      <c r="E5" t="n">
        <v>3</v>
      </c>
      <c r="F5" t="inlineStr">
        <is>
          <t>Baby Care</t>
        </is>
      </c>
      <c r="G5" s="5" t="n">
        <v>59.78</v>
      </c>
      <c r="I5" t="n">
        <v>3</v>
      </c>
      <c r="J5" t="inlineStr">
        <is>
          <t>Trader Joe's</t>
        </is>
      </c>
      <c r="K5" s="5" t="n">
        <v>125.58</v>
      </c>
      <c r="M5" t="n">
        <v>3</v>
      </c>
      <c r="N5" t="inlineStr">
        <is>
          <t>Baby Care</t>
        </is>
      </c>
      <c r="O5" s="5" t="n">
        <v>59.78</v>
      </c>
      <c r="Q5" t="n">
        <v>3</v>
      </c>
      <c r="R5" t="inlineStr">
        <is>
          <t>Papa John's Pizza, Wings &amp; Cheesesticks</t>
        </is>
      </c>
      <c r="S5" s="5" t="n">
        <v>39.37</v>
      </c>
      <c r="U5" t="n">
        <v>3</v>
      </c>
      <c r="V5" t="inlineStr">
        <is>
          <t>Yogurt</t>
        </is>
      </c>
      <c r="W5" t="n">
        <v>13</v>
      </c>
    </row>
    <row r="6">
      <c r="E6" t="n">
        <v>4</v>
      </c>
      <c r="F6" t="inlineStr">
        <is>
          <t>Fresh Seafood</t>
        </is>
      </c>
      <c r="G6" s="5" t="n">
        <v>54.91</v>
      </c>
      <c r="I6" t="n">
        <v>4</v>
      </c>
      <c r="J6" t="inlineStr">
        <is>
          <t>Aldi</t>
        </is>
      </c>
      <c r="K6" s="5" t="n">
        <v>97.13000000000001</v>
      </c>
      <c r="M6" t="n">
        <v>4</v>
      </c>
      <c r="N6" t="inlineStr">
        <is>
          <t>Fresh Seafood</t>
        </is>
      </c>
      <c r="O6" s="5" t="n">
        <v>54.91</v>
      </c>
      <c r="Q6" t="n">
        <v>4</v>
      </c>
      <c r="R6" t="inlineStr">
        <is>
          <t>Kosher Ground Beef 85/15</t>
        </is>
      </c>
      <c r="S6" s="5" t="n">
        <v>35.97</v>
      </c>
      <c r="U6" t="n">
        <v>4</v>
      </c>
      <c r="V6" t="inlineStr">
        <is>
          <t>Fresh Poultry</t>
        </is>
      </c>
      <c r="W6" t="n">
        <v>7</v>
      </c>
    </row>
    <row r="7">
      <c r="E7" t="n">
        <v>5</v>
      </c>
      <c r="F7" t="inlineStr">
        <is>
          <t>Yogurt</t>
        </is>
      </c>
      <c r="G7" s="5" t="n">
        <v>52.83000000000001</v>
      </c>
      <c r="I7" t="n">
        <v>5</v>
      </c>
      <c r="J7" t="inlineStr">
        <is>
          <t>PapaJohns</t>
        </is>
      </c>
      <c r="K7" s="5" t="n">
        <v>56.7</v>
      </c>
      <c r="M7" t="n">
        <v>5</v>
      </c>
      <c r="N7" t="inlineStr">
        <is>
          <t>Yogurt</t>
        </is>
      </c>
      <c r="O7" s="5" t="n">
        <v>52.83000000000001</v>
      </c>
      <c r="Q7" t="n">
        <v>5</v>
      </c>
      <c r="R7" t="inlineStr">
        <is>
          <t>Empire Kosher Ground Turkey</t>
        </is>
      </c>
      <c r="S7" s="5" t="n">
        <v>27.96</v>
      </c>
      <c r="U7" t="n">
        <v>5</v>
      </c>
      <c r="V7" t="inlineStr">
        <is>
          <t>Fees &amp; Charges</t>
        </is>
      </c>
      <c r="W7" t="n">
        <v>6</v>
      </c>
    </row>
    <row r="8">
      <c r="E8" t="n">
        <v>6</v>
      </c>
      <c r="F8" t="inlineStr">
        <is>
          <t>Fresh Fruit</t>
        </is>
      </c>
      <c r="G8" s="5" t="n">
        <v>48.16999999999999</v>
      </c>
      <c r="I8" t="n">
        <v>6</v>
      </c>
      <c r="J8" t="inlineStr">
        <is>
          <t>Cosco</t>
        </is>
      </c>
      <c r="K8" s="5" t="n">
        <v>46.79</v>
      </c>
      <c r="M8" t="n">
        <v>6</v>
      </c>
      <c r="N8" t="inlineStr">
        <is>
          <t>Fresh Fruit</t>
        </is>
      </c>
      <c r="O8" s="5" t="n">
        <v>48.16999999999999</v>
      </c>
      <c r="Q8" t="n">
        <v>6</v>
      </c>
      <c r="R8" t="inlineStr">
        <is>
          <t>Purina Tidy Cats Free &amp; Clean Clumping Cat Litter</t>
        </is>
      </c>
      <c r="S8" s="5" t="n">
        <v>25.94</v>
      </c>
      <c r="U8" t="n">
        <v>6</v>
      </c>
      <c r="V8" t="inlineStr">
        <is>
          <t>Prepared Meals</t>
        </is>
      </c>
      <c r="W8" t="n">
        <v>6</v>
      </c>
    </row>
    <row r="9">
      <c r="E9" t="n">
        <v>7</v>
      </c>
      <c r="F9" t="inlineStr">
        <is>
          <t>Fresh Vegetables</t>
        </is>
      </c>
      <c r="G9" s="5" t="n">
        <v>43.72</v>
      </c>
      <c r="I9" t="n">
        <v>7</v>
      </c>
      <c r="J9" t="inlineStr">
        <is>
          <t>SurfinTurtle</t>
        </is>
      </c>
      <c r="K9" s="5" t="n">
        <v>13.3</v>
      </c>
      <c r="M9" t="n">
        <v>7</v>
      </c>
      <c r="N9" t="inlineStr">
        <is>
          <t>Fresh Vegetables</t>
        </is>
      </c>
      <c r="O9" s="5" t="n">
        <v>43.72</v>
      </c>
      <c r="Q9" t="n">
        <v>7</v>
      </c>
      <c r="R9" t="inlineStr">
        <is>
          <t>Driver Tip</t>
        </is>
      </c>
      <c r="S9" s="5" t="n">
        <v>22.11</v>
      </c>
      <c r="U9" t="n">
        <v>7</v>
      </c>
      <c r="V9" t="inlineStr">
        <is>
          <t>Salad Kits</t>
        </is>
      </c>
      <c r="W9" t="n">
        <v>6</v>
      </c>
    </row>
    <row r="10">
      <c r="E10" t="n">
        <v>8</v>
      </c>
      <c r="F10" t="inlineStr">
        <is>
          <t>Fresh Beef</t>
        </is>
      </c>
      <c r="G10" s="5" t="n">
        <v>35.97</v>
      </c>
      <c r="I10" t="n">
        <v>8</v>
      </c>
      <c r="J10" t="inlineStr">
        <is>
          <t>L3HAtriumCafe</t>
        </is>
      </c>
      <c r="K10" s="5" t="n">
        <v>2.59</v>
      </c>
      <c r="M10" t="n">
        <v>8</v>
      </c>
      <c r="N10" t="inlineStr">
        <is>
          <t>Fresh Beef</t>
        </is>
      </c>
      <c r="O10" s="5" t="n">
        <v>35.97</v>
      </c>
      <c r="Q10" t="n">
        <v>8</v>
      </c>
      <c r="R10" t="inlineStr">
        <is>
          <t>Chobani Protein Greek Yogurt Drink, Strawberries &amp; Cream</t>
        </is>
      </c>
      <c r="S10" s="5" t="n">
        <v>21.98</v>
      </c>
      <c r="U10" t="n">
        <v>8</v>
      </c>
      <c r="V10" t="inlineStr">
        <is>
          <t>Bread</t>
        </is>
      </c>
      <c r="W10" t="n">
        <v>5</v>
      </c>
    </row>
    <row r="11">
      <c r="E11" t="n">
        <v>9</v>
      </c>
      <c r="F11" t="inlineStr">
        <is>
          <t>Fees &amp; Charges</t>
        </is>
      </c>
      <c r="G11" s="5" t="n">
        <v>30.69</v>
      </c>
      <c r="M11" t="n">
        <v>9</v>
      </c>
      <c r="N11" t="inlineStr">
        <is>
          <t>Fees &amp; Charges</t>
        </is>
      </c>
      <c r="O11" s="5" t="n">
        <v>30.69</v>
      </c>
      <c r="Q11" t="n">
        <v>9</v>
      </c>
      <c r="R11" t="inlineStr">
        <is>
          <t>Empire Kosher Boneless Skinless Chicken Breast</t>
        </is>
      </c>
      <c r="S11" s="5" t="n">
        <v>21.74</v>
      </c>
      <c r="U11" t="n">
        <v>9</v>
      </c>
      <c r="V11" t="inlineStr">
        <is>
          <t>Cheese</t>
        </is>
      </c>
      <c r="W11" t="n">
        <v>5</v>
      </c>
    </row>
    <row r="12">
      <c r="E12" t="n">
        <v>10</v>
      </c>
      <c r="F12" t="inlineStr">
        <is>
          <t>Cream &amp; Half-and-Half</t>
        </is>
      </c>
      <c r="G12" s="5" t="n">
        <v>30.47</v>
      </c>
      <c r="M12" t="n">
        <v>10</v>
      </c>
      <c r="N12" t="inlineStr">
        <is>
          <t>Cream &amp; Half-and-Half</t>
        </is>
      </c>
      <c r="O12" s="5" t="n">
        <v>30.47</v>
      </c>
      <c r="Q12" t="n">
        <v>10</v>
      </c>
      <c r="R12" t="inlineStr">
        <is>
          <t>Silk Organic Unsweet Soymilk, Half Gallon</t>
        </is>
      </c>
      <c r="S12" s="5" t="n">
        <v>20.37</v>
      </c>
      <c r="U12" t="n">
        <v>10</v>
      </c>
      <c r="V12" t="inlineStr">
        <is>
          <t>Cream &amp; Half-and-Half</t>
        </is>
      </c>
      <c r="W12" t="n">
        <v>5</v>
      </c>
    </row>
    <row r="13">
      <c r="E13" t="n">
        <v>11</v>
      </c>
      <c r="F13" t="inlineStr">
        <is>
          <t>Cat Litter</t>
        </is>
      </c>
      <c r="G13" s="5" t="n">
        <v>25.94</v>
      </c>
      <c r="M13" t="n">
        <v>11</v>
      </c>
      <c r="N13" t="inlineStr">
        <is>
          <t>Cat Litter</t>
        </is>
      </c>
      <c r="O13" s="5" t="n">
        <v>25.94</v>
      </c>
      <c r="U13" t="n">
        <v>11</v>
      </c>
      <c r="V13" t="inlineStr">
        <is>
          <t>Seasonings &amp; Spices</t>
        </is>
      </c>
      <c r="W13" t="n">
        <v>4</v>
      </c>
    </row>
    <row r="14">
      <c r="E14" t="n">
        <v>12</v>
      </c>
      <c r="F14" t="inlineStr">
        <is>
          <t>Bread</t>
        </is>
      </c>
      <c r="G14" s="5" t="n">
        <v>25.82</v>
      </c>
      <c r="M14" t="n">
        <v>12</v>
      </c>
      <c r="N14" t="inlineStr">
        <is>
          <t>Bread</t>
        </is>
      </c>
      <c r="O14" s="5" t="n">
        <v>25.82</v>
      </c>
      <c r="U14" t="n">
        <v>12</v>
      </c>
      <c r="V14" t="inlineStr">
        <is>
          <t>Broth &amp; Stock</t>
        </is>
      </c>
      <c r="W14" t="n">
        <v>3</v>
      </c>
    </row>
    <row r="15">
      <c r="E15" t="n">
        <v>13</v>
      </c>
      <c r="F15" t="inlineStr">
        <is>
          <t>Salad Kits</t>
        </is>
      </c>
      <c r="G15" s="5" t="n">
        <v>24.18</v>
      </c>
      <c r="M15" t="n">
        <v>13</v>
      </c>
      <c r="N15" t="inlineStr">
        <is>
          <t>Salad Kits</t>
        </is>
      </c>
      <c r="O15" s="5" t="n">
        <v>24.18</v>
      </c>
      <c r="U15" t="n">
        <v>13</v>
      </c>
      <c r="V15" t="inlineStr">
        <is>
          <t>Frozen Desserts</t>
        </is>
      </c>
      <c r="W15" t="n">
        <v>3</v>
      </c>
    </row>
    <row r="16">
      <c r="E16" t="n">
        <v>14</v>
      </c>
      <c r="F16" t="inlineStr">
        <is>
          <t>Antacids</t>
        </is>
      </c>
      <c r="G16" s="5" t="n">
        <v>22.25</v>
      </c>
      <c r="M16" t="n">
        <v>14</v>
      </c>
      <c r="N16" t="inlineStr">
        <is>
          <t>Antacids</t>
        </is>
      </c>
      <c r="O16" s="5" t="n">
        <v>22.25</v>
      </c>
      <c r="U16" t="n">
        <v>14</v>
      </c>
      <c r="V16" t="inlineStr">
        <is>
          <t>Plant-Based Milk</t>
        </is>
      </c>
      <c r="W16" t="n">
        <v>3</v>
      </c>
    </row>
    <row r="17">
      <c r="E17" t="n">
        <v>15</v>
      </c>
      <c r="F17" t="inlineStr">
        <is>
          <t>Plant-Based Milk</t>
        </is>
      </c>
      <c r="G17" s="5" t="n">
        <v>20.37</v>
      </c>
      <c r="M17" t="n">
        <v>15</v>
      </c>
      <c r="N17" t="inlineStr">
        <is>
          <t>Plant-Based Milk</t>
        </is>
      </c>
      <c r="O17" s="5" t="n">
        <v>20.37</v>
      </c>
      <c r="U17" t="n">
        <v>15</v>
      </c>
      <c r="V17" t="inlineStr">
        <is>
          <t>Refrigerated Pasta</t>
        </is>
      </c>
      <c r="W17" t="n">
        <v>3</v>
      </c>
    </row>
    <row r="18">
      <c r="E18" t="n">
        <v>16</v>
      </c>
      <c r="F18" t="inlineStr">
        <is>
          <t>Frozen Desserts</t>
        </is>
      </c>
      <c r="G18" s="5" t="n">
        <v>19.57</v>
      </c>
      <c r="M18" t="n">
        <v>16</v>
      </c>
      <c r="N18" t="inlineStr">
        <is>
          <t>Frozen Desserts</t>
        </is>
      </c>
      <c r="O18" s="5" t="n">
        <v>19.57</v>
      </c>
      <c r="U18" t="n">
        <v>16</v>
      </c>
      <c r="V18" t="inlineStr">
        <is>
          <t>Antacids</t>
        </is>
      </c>
      <c r="W18" t="n">
        <v>2</v>
      </c>
    </row>
    <row r="19">
      <c r="E19" t="n">
        <v>17</v>
      </c>
      <c r="F19" t="inlineStr">
        <is>
          <t>Cakes &amp; Pies</t>
        </is>
      </c>
      <c r="G19" s="5" t="n">
        <v>19.48</v>
      </c>
      <c r="M19" t="n">
        <v>17</v>
      </c>
      <c r="N19" t="inlineStr">
        <is>
          <t>Cakes &amp; Pies</t>
        </is>
      </c>
      <c r="O19" s="5" t="n">
        <v>19.48</v>
      </c>
      <c r="U19" t="n">
        <v>17</v>
      </c>
      <c r="V19" t="inlineStr">
        <is>
          <t>Baby Care</t>
        </is>
      </c>
      <c r="W19" t="n">
        <v>2</v>
      </c>
    </row>
    <row r="20">
      <c r="E20" t="n">
        <v>18</v>
      </c>
      <c r="F20" t="inlineStr">
        <is>
          <t>Refrigerated Pasta</t>
        </is>
      </c>
      <c r="G20" s="5" t="n">
        <v>18.74</v>
      </c>
      <c r="M20" t="n">
        <v>18</v>
      </c>
      <c r="N20" t="inlineStr">
        <is>
          <t>Refrigerated Pasta</t>
        </is>
      </c>
      <c r="O20" s="5" t="n">
        <v>18.74</v>
      </c>
      <c r="U20" t="n">
        <v>18</v>
      </c>
      <c r="V20" t="inlineStr">
        <is>
          <t>Cakes &amp; Pies</t>
        </is>
      </c>
      <c r="W20" t="n">
        <v>2</v>
      </c>
    </row>
    <row r="21">
      <c r="E21" t="n">
        <v>19</v>
      </c>
      <c r="F21" t="inlineStr">
        <is>
          <t>Cheese</t>
        </is>
      </c>
      <c r="G21" s="5" t="n">
        <v>18.04</v>
      </c>
      <c r="M21" t="n">
        <v>19</v>
      </c>
      <c r="N21" t="inlineStr">
        <is>
          <t>Cheese</t>
        </is>
      </c>
      <c r="O21" s="5" t="n">
        <v>18.04</v>
      </c>
      <c r="U21" t="n">
        <v>19</v>
      </c>
      <c r="V21" t="inlineStr">
        <is>
          <t>Canned Tomatoes</t>
        </is>
      </c>
      <c r="W21" t="n">
        <v>2</v>
      </c>
    </row>
    <row r="22">
      <c r="E22" t="n">
        <v>20</v>
      </c>
      <c r="F22" t="inlineStr">
        <is>
          <t>Beer</t>
        </is>
      </c>
      <c r="G22" s="5" t="n">
        <v>17.87</v>
      </c>
      <c r="M22" t="n">
        <v>20</v>
      </c>
      <c r="N22" t="inlineStr">
        <is>
          <t>Beer</t>
        </is>
      </c>
      <c r="O22" s="5" t="n">
        <v>17.87</v>
      </c>
      <c r="U22" t="n">
        <v>20</v>
      </c>
      <c r="V22" t="inlineStr">
        <is>
          <t>Coffee Creamer</t>
        </is>
      </c>
      <c r="W22" t="n">
        <v>2</v>
      </c>
    </row>
    <row r="23">
      <c r="E23" t="n">
        <v>21</v>
      </c>
      <c r="F23" t="inlineStr">
        <is>
          <t>Wine</t>
        </is>
      </c>
      <c r="G23" s="5" t="n">
        <v>14.38</v>
      </c>
      <c r="M23" t="n">
        <v>21</v>
      </c>
      <c r="N23" t="inlineStr">
        <is>
          <t>Wine</t>
        </is>
      </c>
      <c r="O23" s="5" t="n">
        <v>14.38</v>
      </c>
      <c r="U23" t="n">
        <v>21</v>
      </c>
      <c r="V23" t="inlineStr">
        <is>
          <t>Dried Fruit</t>
        </is>
      </c>
      <c r="W23" t="n">
        <v>2</v>
      </c>
    </row>
    <row r="24">
      <c r="E24" t="n">
        <v>22</v>
      </c>
      <c r="F24" t="inlineStr">
        <is>
          <t>Coffee Creamer</t>
        </is>
      </c>
      <c r="G24" s="5" t="n">
        <v>13.38</v>
      </c>
      <c r="M24" t="n">
        <v>22</v>
      </c>
      <c r="N24" t="inlineStr">
        <is>
          <t>Coffee Creamer</t>
        </is>
      </c>
      <c r="O24" s="5" t="n">
        <v>13.38</v>
      </c>
      <c r="U24" t="n">
        <v>22</v>
      </c>
      <c r="V24" t="inlineStr">
        <is>
          <t>Eggs</t>
        </is>
      </c>
      <c r="W24" t="n">
        <v>2</v>
      </c>
    </row>
    <row r="25">
      <c r="E25" t="n">
        <v>23</v>
      </c>
      <c r="F25" t="inlineStr">
        <is>
          <t>Broth &amp; Stock</t>
        </is>
      </c>
      <c r="G25" s="5" t="n">
        <v>11.72</v>
      </c>
      <c r="M25" t="n">
        <v>23</v>
      </c>
      <c r="N25" t="inlineStr">
        <is>
          <t>Broth &amp; Stock</t>
        </is>
      </c>
      <c r="O25" s="5" t="n">
        <v>11.72</v>
      </c>
      <c r="U25" t="n">
        <v>23</v>
      </c>
      <c r="V25" t="inlineStr">
        <is>
          <t>Fresh Seafood</t>
        </is>
      </c>
      <c r="W25" t="n">
        <v>2</v>
      </c>
    </row>
    <row r="26">
      <c r="E26" t="n">
        <v>24</v>
      </c>
      <c r="F26" t="inlineStr">
        <is>
          <t>Baking Ingredients</t>
        </is>
      </c>
      <c r="G26" s="5" t="n">
        <v>11.59</v>
      </c>
      <c r="M26" t="n">
        <v>24</v>
      </c>
      <c r="N26" t="inlineStr">
        <is>
          <t>Baking Ingredients</t>
        </is>
      </c>
      <c r="O26" s="5" t="n">
        <v>11.59</v>
      </c>
      <c r="U26" t="n">
        <v>24</v>
      </c>
      <c r="V26" t="inlineStr">
        <is>
          <t>Refrigerated Dough</t>
        </is>
      </c>
      <c r="W26" t="n">
        <v>2</v>
      </c>
    </row>
    <row r="27">
      <c r="E27" t="n">
        <v>25</v>
      </c>
      <c r="F27" t="inlineStr">
        <is>
          <t>Seasonings &amp; Spices</t>
        </is>
      </c>
      <c r="G27" s="5" t="n">
        <v>11.53</v>
      </c>
      <c r="M27" t="n">
        <v>25</v>
      </c>
      <c r="N27" t="inlineStr">
        <is>
          <t>Seasonings &amp; Spices</t>
        </is>
      </c>
      <c r="O27" s="5" t="n">
        <v>11.53</v>
      </c>
      <c r="U27" t="n">
        <v>25</v>
      </c>
      <c r="V27" t="inlineStr">
        <is>
          <t>Rice Cakes &amp; Crisps</t>
        </is>
      </c>
      <c r="W27" t="n">
        <v>2</v>
      </c>
    </row>
    <row r="28">
      <c r="E28" t="n">
        <v>26</v>
      </c>
      <c r="F28" t="inlineStr">
        <is>
          <t>Refrigerated Dough</t>
        </is>
      </c>
      <c r="G28" s="5" t="n">
        <v>9.960000000000001</v>
      </c>
      <c r="M28" t="n">
        <v>26</v>
      </c>
      <c r="N28" t="inlineStr">
        <is>
          <t>Refrigerated Dough</t>
        </is>
      </c>
      <c r="O28" s="5" t="n">
        <v>9.960000000000001</v>
      </c>
      <c r="U28" t="n">
        <v>26</v>
      </c>
      <c r="V28" t="inlineStr">
        <is>
          <t>Wine</t>
        </is>
      </c>
      <c r="W28" t="n">
        <v>2</v>
      </c>
    </row>
    <row r="29">
      <c r="E29" t="n">
        <v>27</v>
      </c>
      <c r="F29" t="inlineStr">
        <is>
          <t>Household Cleaners</t>
        </is>
      </c>
      <c r="G29" s="5" t="n">
        <v>9.94</v>
      </c>
      <c r="M29" t="n">
        <v>27</v>
      </c>
      <c r="N29" t="inlineStr">
        <is>
          <t>Household Cleaners</t>
        </is>
      </c>
      <c r="O29" s="5" t="n">
        <v>9.94</v>
      </c>
      <c r="U29" t="n">
        <v>27</v>
      </c>
      <c r="V29" t="inlineStr">
        <is>
          <t>Applesauce</t>
        </is>
      </c>
      <c r="W29" t="n">
        <v>1</v>
      </c>
    </row>
    <row r="30">
      <c r="E30" t="n">
        <v>28</v>
      </c>
      <c r="F30" t="inlineStr">
        <is>
          <t>Dried Fruit</t>
        </is>
      </c>
      <c r="G30" s="5" t="n">
        <v>8.42</v>
      </c>
      <c r="M30" t="n">
        <v>28</v>
      </c>
      <c r="N30" t="inlineStr">
        <is>
          <t>Dried Fruit</t>
        </is>
      </c>
      <c r="O30" s="5" t="n">
        <v>8.42</v>
      </c>
      <c r="U30" t="n">
        <v>28</v>
      </c>
      <c r="V30" t="inlineStr">
        <is>
          <t>Baking Ingredients</t>
        </is>
      </c>
      <c r="W30" t="n">
        <v>1</v>
      </c>
    </row>
    <row r="31">
      <c r="E31" t="n">
        <v>29</v>
      </c>
      <c r="F31" t="inlineStr">
        <is>
          <t>Frozen Pizza</t>
        </is>
      </c>
      <c r="G31" s="5" t="n">
        <v>8.289999999999999</v>
      </c>
      <c r="M31" t="n">
        <v>29</v>
      </c>
      <c r="N31" t="inlineStr">
        <is>
          <t>Frozen Pizza</t>
        </is>
      </c>
      <c r="O31" s="5" t="n">
        <v>8.289999999999999</v>
      </c>
      <c r="U31" t="n">
        <v>29</v>
      </c>
      <c r="V31" t="inlineStr">
        <is>
          <t>Balloons</t>
        </is>
      </c>
      <c r="W31" t="n">
        <v>1</v>
      </c>
    </row>
    <row r="32">
      <c r="E32" t="n">
        <v>30</v>
      </c>
      <c r="F32" t="inlineStr">
        <is>
          <t>Eggs</t>
        </is>
      </c>
      <c r="G32" s="5" t="n">
        <v>8.199999999999999</v>
      </c>
      <c r="M32" t="n">
        <v>30</v>
      </c>
      <c r="N32" t="inlineStr">
        <is>
          <t>Eggs</t>
        </is>
      </c>
      <c r="O32" s="5" t="n">
        <v>8.199999999999999</v>
      </c>
      <c r="U32" t="n">
        <v>30</v>
      </c>
      <c r="V32" t="inlineStr">
        <is>
          <t>Beer</t>
        </is>
      </c>
      <c r="W32" t="n">
        <v>1</v>
      </c>
    </row>
    <row r="33">
      <c r="E33" t="n">
        <v>31</v>
      </c>
      <c r="F33" t="inlineStr">
        <is>
          <t>Applesauce</t>
        </is>
      </c>
      <c r="G33" s="5" t="n">
        <v>7.97</v>
      </c>
      <c r="M33" t="n">
        <v>31</v>
      </c>
      <c r="N33" t="inlineStr">
        <is>
          <t>Applesauce</t>
        </is>
      </c>
      <c r="O33" s="5" t="n">
        <v>7.97</v>
      </c>
      <c r="U33" t="n">
        <v>31</v>
      </c>
      <c r="V33" t="inlineStr">
        <is>
          <t>Canned Beans &amp; Legumes</t>
        </is>
      </c>
      <c r="W33" t="n">
        <v>1</v>
      </c>
    </row>
    <row r="34">
      <c r="E34" t="n">
        <v>32</v>
      </c>
      <c r="F34" t="inlineStr">
        <is>
          <t>Rice Cakes &amp; Crisps</t>
        </is>
      </c>
      <c r="G34" s="5" t="n">
        <v>6.98</v>
      </c>
      <c r="M34" t="n">
        <v>32</v>
      </c>
      <c r="N34" t="inlineStr">
        <is>
          <t>Rice Cakes &amp; Crisps</t>
        </is>
      </c>
      <c r="O34" s="5" t="n">
        <v>6.98</v>
      </c>
      <c r="U34" t="n">
        <v>32</v>
      </c>
      <c r="V34" t="inlineStr">
        <is>
          <t>Cat Litter</t>
        </is>
      </c>
      <c r="W34" t="n">
        <v>1</v>
      </c>
    </row>
    <row r="35">
      <c r="E35" t="n">
        <v>33</v>
      </c>
      <c r="F35" t="inlineStr">
        <is>
          <t>Hair Care</t>
        </is>
      </c>
      <c r="G35" s="5" t="n">
        <v>6.97</v>
      </c>
      <c r="M35" t="n">
        <v>33</v>
      </c>
      <c r="N35" t="inlineStr">
        <is>
          <t>Hair Care</t>
        </is>
      </c>
      <c r="O35" s="5" t="n">
        <v>6.97</v>
      </c>
      <c r="U35" t="n">
        <v>33</v>
      </c>
      <c r="V35" t="inlineStr">
        <is>
          <t>Cookies</t>
        </is>
      </c>
      <c r="W35" t="n">
        <v>1</v>
      </c>
    </row>
    <row r="36">
      <c r="E36" t="n">
        <v>34</v>
      </c>
      <c r="F36" t="inlineStr">
        <is>
          <t>Muffins &amp; Pastries</t>
        </is>
      </c>
      <c r="G36" s="5" t="n">
        <v>5.99</v>
      </c>
      <c r="M36" t="n">
        <v>34</v>
      </c>
      <c r="N36" t="inlineStr">
        <is>
          <t>Muffins &amp; Pastries</t>
        </is>
      </c>
      <c r="O36" s="5" t="n">
        <v>5.99</v>
      </c>
      <c r="U36" t="n">
        <v>34</v>
      </c>
      <c r="V36" t="inlineStr">
        <is>
          <t>Cream Cheese</t>
        </is>
      </c>
      <c r="W36" t="n">
        <v>1</v>
      </c>
    </row>
    <row r="37">
      <c r="E37" t="n">
        <v>35</v>
      </c>
      <c r="F37" t="inlineStr">
        <is>
          <t>Smoked Seafood</t>
        </is>
      </c>
      <c r="G37" s="5" t="n">
        <v>5.99</v>
      </c>
      <c r="M37" t="n">
        <v>35</v>
      </c>
      <c r="N37" t="inlineStr">
        <is>
          <t>Smoked Seafood</t>
        </is>
      </c>
      <c r="O37" s="5" t="n">
        <v>5.99</v>
      </c>
      <c r="U37" t="n">
        <v>35</v>
      </c>
      <c r="V37" t="inlineStr">
        <is>
          <t>Dips &amp; Spreads</t>
        </is>
      </c>
      <c r="W37" t="n">
        <v>1</v>
      </c>
    </row>
    <row r="38">
      <c r="E38" t="n">
        <v>36</v>
      </c>
      <c r="F38" t="inlineStr">
        <is>
          <t>Snack Bars</t>
        </is>
      </c>
      <c r="G38" s="5" t="n">
        <v>5.97</v>
      </c>
      <c r="M38" t="n">
        <v>36</v>
      </c>
      <c r="N38" t="inlineStr">
        <is>
          <t>Snack Bars</t>
        </is>
      </c>
      <c r="O38" s="5" t="n">
        <v>5.97</v>
      </c>
      <c r="U38" t="n">
        <v>36</v>
      </c>
      <c r="V38" t="inlineStr">
        <is>
          <t>Dishwashing Supplies</t>
        </is>
      </c>
      <c r="W38" t="n">
        <v>1</v>
      </c>
    </row>
    <row r="39">
      <c r="E39" t="n">
        <v>37</v>
      </c>
      <c r="F39" t="inlineStr">
        <is>
          <t>Dips &amp; Spreads</t>
        </is>
      </c>
      <c r="G39" s="5" t="n">
        <v>5.78</v>
      </c>
      <c r="M39" t="n">
        <v>37</v>
      </c>
      <c r="N39" t="inlineStr">
        <is>
          <t>Dips &amp; Spreads</t>
        </is>
      </c>
      <c r="O39" s="5" t="n">
        <v>5.78</v>
      </c>
      <c r="U39" t="n">
        <v>37</v>
      </c>
      <c r="V39" t="inlineStr">
        <is>
          <t>Disposable Tableware</t>
        </is>
      </c>
      <c r="W39" t="n">
        <v>1</v>
      </c>
    </row>
    <row r="40">
      <c r="E40" t="n">
        <v>38</v>
      </c>
      <c r="F40" t="inlineStr">
        <is>
          <t>Hot Dogs &amp; Sausages</t>
        </is>
      </c>
      <c r="G40" s="5" t="n">
        <v>5.74</v>
      </c>
      <c r="M40" t="n">
        <v>38</v>
      </c>
      <c r="N40" t="inlineStr">
        <is>
          <t>Hot Dogs &amp; Sausages</t>
        </is>
      </c>
      <c r="O40" s="5" t="n">
        <v>5.74</v>
      </c>
      <c r="U40" t="n">
        <v>38</v>
      </c>
      <c r="V40" t="inlineStr">
        <is>
          <t>Fresh Beef</t>
        </is>
      </c>
      <c r="W40" t="n">
        <v>1</v>
      </c>
    </row>
    <row r="41">
      <c r="E41" t="n">
        <v>39</v>
      </c>
      <c r="F41" t="inlineStr">
        <is>
          <t>Disposable Tableware</t>
        </is>
      </c>
      <c r="G41" s="5" t="n">
        <v>5.58</v>
      </c>
      <c r="M41" t="n">
        <v>39</v>
      </c>
      <c r="N41" t="inlineStr">
        <is>
          <t>Disposable Tableware</t>
        </is>
      </c>
      <c r="O41" s="5" t="n">
        <v>5.58</v>
      </c>
      <c r="U41" t="n">
        <v>39</v>
      </c>
      <c r="V41" t="inlineStr">
        <is>
          <t>Fresh-Cut Fruit</t>
        </is>
      </c>
      <c r="W41" t="n">
        <v>1</v>
      </c>
    </row>
    <row r="42">
      <c r="E42" t="n">
        <v>40</v>
      </c>
      <c r="F42" t="inlineStr">
        <is>
          <t>Pasta</t>
        </is>
      </c>
      <c r="G42" s="5" t="n">
        <v>5.34</v>
      </c>
      <c r="M42" t="n">
        <v>40</v>
      </c>
      <c r="N42" t="inlineStr">
        <is>
          <t>Pasta</t>
        </is>
      </c>
      <c r="O42" s="5" t="n">
        <v>5.34</v>
      </c>
      <c r="U42" t="n">
        <v>40</v>
      </c>
      <c r="V42" t="inlineStr">
        <is>
          <t>Frozen Appetizers</t>
        </is>
      </c>
      <c r="W42" t="n">
        <v>1</v>
      </c>
    </row>
    <row r="43">
      <c r="E43" t="n">
        <v>41</v>
      </c>
      <c r="F43" t="inlineStr">
        <is>
          <t>Hand Soap</t>
        </is>
      </c>
      <c r="G43" s="5" t="n">
        <v>4.99</v>
      </c>
      <c r="M43" t="n">
        <v>41</v>
      </c>
      <c r="N43" t="inlineStr">
        <is>
          <t>Hand Soap</t>
        </is>
      </c>
      <c r="O43" s="5" t="n">
        <v>4.99</v>
      </c>
      <c r="U43" t="n">
        <v>41</v>
      </c>
      <c r="V43" t="inlineStr">
        <is>
          <t>Frozen Pizza</t>
        </is>
      </c>
      <c r="W43" t="n">
        <v>1</v>
      </c>
    </row>
    <row r="44">
      <c r="E44" t="n">
        <v>42</v>
      </c>
      <c r="F44" t="inlineStr">
        <is>
          <t>Frozen Appetizers</t>
        </is>
      </c>
      <c r="G44" s="5" t="n">
        <v>4.49</v>
      </c>
      <c r="M44" t="n">
        <v>42</v>
      </c>
      <c r="N44" t="inlineStr">
        <is>
          <t>Frozen Appetizers</t>
        </is>
      </c>
      <c r="O44" s="5" t="n">
        <v>4.49</v>
      </c>
      <c r="U44" t="n">
        <v>42</v>
      </c>
      <c r="V44" t="inlineStr">
        <is>
          <t>Frozen Vegetables</t>
        </is>
      </c>
      <c r="W44" t="n">
        <v>1</v>
      </c>
    </row>
    <row r="45">
      <c r="E45" t="n">
        <v>43</v>
      </c>
      <c r="F45" t="inlineStr">
        <is>
          <t>Popcorn</t>
        </is>
      </c>
      <c r="G45" s="5" t="n">
        <v>4.25</v>
      </c>
      <c r="M45" t="n">
        <v>43</v>
      </c>
      <c r="N45" t="inlineStr">
        <is>
          <t>Popcorn</t>
        </is>
      </c>
      <c r="O45" s="5" t="n">
        <v>4.25</v>
      </c>
      <c r="U45" t="n">
        <v>43</v>
      </c>
      <c r="V45" t="inlineStr">
        <is>
          <t>Hair Care</t>
        </is>
      </c>
      <c r="W45" t="n">
        <v>1</v>
      </c>
    </row>
    <row r="46">
      <c r="E46" t="n">
        <v>44</v>
      </c>
      <c r="F46" t="inlineStr">
        <is>
          <t>Balloons</t>
        </is>
      </c>
      <c r="G46" s="5" t="n">
        <v>3.99</v>
      </c>
      <c r="M46" t="n">
        <v>44</v>
      </c>
      <c r="N46" t="inlineStr">
        <is>
          <t>Balloons</t>
        </is>
      </c>
      <c r="O46" s="5" t="n">
        <v>3.99</v>
      </c>
      <c r="U46" t="n">
        <v>44</v>
      </c>
      <c r="V46" t="inlineStr">
        <is>
          <t>Hand Soap</t>
        </is>
      </c>
      <c r="W46" t="n">
        <v>1</v>
      </c>
    </row>
    <row r="47">
      <c r="E47" t="n">
        <v>45</v>
      </c>
      <c r="F47" t="inlineStr">
        <is>
          <t>Cookies</t>
        </is>
      </c>
      <c r="G47" s="5" t="n">
        <v>3.99</v>
      </c>
      <c r="M47" t="n">
        <v>45</v>
      </c>
      <c r="N47" t="inlineStr">
        <is>
          <t>Cookies</t>
        </is>
      </c>
      <c r="O47" s="5" t="n">
        <v>3.99</v>
      </c>
      <c r="U47" t="n">
        <v>45</v>
      </c>
      <c r="V47" t="inlineStr">
        <is>
          <t>Hot Dogs &amp; Sausages</t>
        </is>
      </c>
      <c r="W47" t="n">
        <v>1</v>
      </c>
    </row>
    <row r="48">
      <c r="E48" t="n">
        <v>46</v>
      </c>
      <c r="F48" t="inlineStr">
        <is>
          <t>Paper Towels</t>
        </is>
      </c>
      <c r="G48" s="5" t="n">
        <v>3.89</v>
      </c>
      <c r="M48" t="n">
        <v>46</v>
      </c>
      <c r="N48" t="inlineStr">
        <is>
          <t>Paper Towels</t>
        </is>
      </c>
      <c r="O48" s="5" t="n">
        <v>3.89</v>
      </c>
      <c r="U48" t="n">
        <v>46</v>
      </c>
      <c r="V48" t="inlineStr">
        <is>
          <t>Household Cleaners</t>
        </is>
      </c>
      <c r="W48" t="n">
        <v>1</v>
      </c>
    </row>
    <row r="49">
      <c r="E49" t="n">
        <v>47</v>
      </c>
      <c r="F49" t="inlineStr">
        <is>
          <t>Sauces &amp; Condiments</t>
        </is>
      </c>
      <c r="G49" s="5" t="n">
        <v>3.77</v>
      </c>
      <c r="M49" t="n">
        <v>47</v>
      </c>
      <c r="N49" t="inlineStr">
        <is>
          <t>Sauces &amp; Condiments</t>
        </is>
      </c>
      <c r="O49" s="5" t="n">
        <v>3.77</v>
      </c>
      <c r="U49" t="n">
        <v>47</v>
      </c>
      <c r="V49" t="inlineStr">
        <is>
          <t>Muffins &amp; Pastries</t>
        </is>
      </c>
      <c r="W49" t="n">
        <v>1</v>
      </c>
    </row>
    <row r="50">
      <c r="E50" t="n">
        <v>48</v>
      </c>
      <c r="F50" t="inlineStr">
        <is>
          <t>Dishwashing Supplies</t>
        </is>
      </c>
      <c r="G50" s="5" t="n">
        <v>3.58</v>
      </c>
      <c r="M50" t="n">
        <v>48</v>
      </c>
      <c r="N50" t="inlineStr">
        <is>
          <t>Dishwashing Supplies</t>
        </is>
      </c>
      <c r="O50" s="5" t="n">
        <v>3.58</v>
      </c>
      <c r="U50" t="n">
        <v>48</v>
      </c>
      <c r="V50" t="inlineStr">
        <is>
          <t>Paper Towels</t>
        </is>
      </c>
      <c r="W50" t="n">
        <v>1</v>
      </c>
    </row>
    <row r="51">
      <c r="E51" t="n">
        <v>49</v>
      </c>
      <c r="F51" t="inlineStr">
        <is>
          <t>Canned Tomatoes</t>
        </is>
      </c>
      <c r="G51" s="5" t="n">
        <v>3.38</v>
      </c>
      <c r="M51" t="n">
        <v>49</v>
      </c>
      <c r="N51" t="inlineStr">
        <is>
          <t>Canned Tomatoes</t>
        </is>
      </c>
      <c r="O51" s="5" t="n">
        <v>3.38</v>
      </c>
      <c r="U51" t="n">
        <v>49</v>
      </c>
      <c r="V51" t="inlineStr">
        <is>
          <t>Pasta</t>
        </is>
      </c>
      <c r="W51" t="n">
        <v>1</v>
      </c>
    </row>
    <row r="52">
      <c r="E52" t="n">
        <v>50</v>
      </c>
      <c r="F52" t="inlineStr">
        <is>
          <t>Fresh-Cut Fruit</t>
        </is>
      </c>
      <c r="G52" s="5" t="n">
        <v>3.32</v>
      </c>
      <c r="M52" t="n">
        <v>50</v>
      </c>
      <c r="N52" t="inlineStr">
        <is>
          <t>Fresh-Cut Fruit</t>
        </is>
      </c>
      <c r="O52" s="5" t="n">
        <v>3.32</v>
      </c>
      <c r="U52" t="n">
        <v>50</v>
      </c>
      <c r="V52" t="inlineStr">
        <is>
          <t>Popcorn</t>
        </is>
      </c>
      <c r="W52" t="n">
        <v>1</v>
      </c>
    </row>
    <row r="53">
      <c r="E53" t="n">
        <v>51</v>
      </c>
      <c r="F53" t="inlineStr">
        <is>
          <t>Snack Cakes</t>
        </is>
      </c>
      <c r="G53" s="5" t="n">
        <v>3.19</v>
      </c>
      <c r="M53" t="n">
        <v>51</v>
      </c>
      <c r="N53" t="inlineStr">
        <is>
          <t>Snack Cakes</t>
        </is>
      </c>
      <c r="O53" s="5" t="n">
        <v>3.19</v>
      </c>
      <c r="U53" t="n">
        <v>51</v>
      </c>
      <c r="V53" t="inlineStr">
        <is>
          <t>Sauces &amp; Condiments</t>
        </is>
      </c>
      <c r="W53" t="n">
        <v>1</v>
      </c>
    </row>
    <row r="54">
      <c r="E54" t="n">
        <v>52</v>
      </c>
      <c r="F54" t="inlineStr">
        <is>
          <t>Cream Cheese</t>
        </is>
      </c>
      <c r="G54" s="5" t="n">
        <v>2.79</v>
      </c>
      <c r="M54" t="n">
        <v>52</v>
      </c>
      <c r="N54" t="inlineStr">
        <is>
          <t>Cream Cheese</t>
        </is>
      </c>
      <c r="O54" s="5" t="n">
        <v>2.79</v>
      </c>
      <c r="U54" t="n">
        <v>52</v>
      </c>
      <c r="V54" t="inlineStr">
        <is>
          <t>Smoked Seafood</t>
        </is>
      </c>
      <c r="W54" t="n">
        <v>1</v>
      </c>
    </row>
    <row r="55">
      <c r="E55" t="n">
        <v>53</v>
      </c>
      <c r="F55" t="inlineStr">
        <is>
          <t>Storage &amp; Organization</t>
        </is>
      </c>
      <c r="G55" s="5" t="n">
        <v>2.56</v>
      </c>
      <c r="M55" t="n">
        <v>53</v>
      </c>
      <c r="N55" t="inlineStr">
        <is>
          <t>Storage &amp; Organization</t>
        </is>
      </c>
      <c r="O55" s="5" t="n">
        <v>2.56</v>
      </c>
      <c r="U55" t="n">
        <v>53</v>
      </c>
      <c r="V55" t="inlineStr">
        <is>
          <t>Snack Bars</t>
        </is>
      </c>
      <c r="W55" t="n">
        <v>1</v>
      </c>
    </row>
    <row r="56">
      <c r="E56" t="n">
        <v>54</v>
      </c>
      <c r="F56" t="inlineStr">
        <is>
          <t>Frozen Vegetables</t>
        </is>
      </c>
      <c r="G56" s="5" t="n">
        <v>1.27</v>
      </c>
      <c r="M56" t="n">
        <v>54</v>
      </c>
      <c r="N56" t="inlineStr">
        <is>
          <t>Frozen Vegetables</t>
        </is>
      </c>
      <c r="O56" s="5" t="n">
        <v>1.27</v>
      </c>
      <c r="U56" t="n">
        <v>54</v>
      </c>
      <c r="V56" t="inlineStr">
        <is>
          <t>Snack Cakes</t>
        </is>
      </c>
      <c r="W56" t="n">
        <v>1</v>
      </c>
    </row>
    <row r="57">
      <c r="E57" t="n">
        <v>55</v>
      </c>
      <c r="F57" t="inlineStr">
        <is>
          <t>Canned Beans &amp; Legumes</t>
        </is>
      </c>
      <c r="G57" s="5" t="n">
        <v>0.99</v>
      </c>
      <c r="M57" t="n">
        <v>55</v>
      </c>
      <c r="N57" t="inlineStr">
        <is>
          <t>Canned Beans &amp; Legumes</t>
        </is>
      </c>
      <c r="O57" s="5" t="n">
        <v>0.99</v>
      </c>
      <c r="U57" t="n">
        <v>55</v>
      </c>
      <c r="V57" t="inlineStr">
        <is>
          <t>Storage &amp; Organization</t>
        </is>
      </c>
      <c r="W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2" customWidth="1" style="65" min="1" max="1"/>
    <col width="16" customWidth="1" style="65" min="2" max="3"/>
    <col width="16" customWidth="1" style="65" min="3" max="3"/>
    <col width="22" customWidth="1" style="65" min="4" max="4"/>
  </cols>
  <sheetData>
    <row r="1">
      <c r="A1" s="84" t="inlineStr">
        <is>
          <t>Source OCR JSON</t>
        </is>
      </c>
      <c r="B1" s="84" t="inlineStr">
        <is>
          <t>Store Number</t>
        </is>
      </c>
      <c r="C1" s="84" t="inlineStr">
        <is>
          <t>Receipt Date</t>
        </is>
      </c>
      <c r="D1" s="84" t="inlineStr">
        <is>
          <t>Imported Timestamp</t>
        </is>
      </c>
    </row>
    <row r="2">
      <c r="A2" t="inlineStr">
        <is>
          <t>IMG_0250_raw_ocr.json</t>
        </is>
      </c>
      <c r="B2" t="inlineStr">
        <is>
          <t>1058</t>
        </is>
      </c>
      <c r="C2" s="2" t="n">
        <v>46259</v>
      </c>
      <c r="D2" s="3" t="n">
        <v>46260.7532078588</v>
      </c>
    </row>
    <row r="3">
      <c r="A3" t="inlineStr">
        <is>
          <t>IMG_0251_raw_ocr.json</t>
        </is>
      </c>
      <c r="B3" t="inlineStr">
        <is>
          <t>160</t>
        </is>
      </c>
      <c r="C3" s="2" t="n">
        <v>46257</v>
      </c>
      <c r="D3" s="3" t="n">
        <v>46260.87320475694</v>
      </c>
    </row>
    <row r="4">
      <c r="A4" t="inlineStr">
        <is>
          <t>IMG_0255_raw_ocr.json</t>
        </is>
      </c>
      <c r="B4" t="inlineStr">
        <is>
          <t>0848</t>
        </is>
      </c>
      <c r="C4" s="2" t="n">
        <v>46258</v>
      </c>
      <c r="D4" s="3" t="n">
        <v>46261.50935446759</v>
      </c>
    </row>
    <row r="5">
      <c r="A5" t="inlineStr">
        <is>
          <t>IMG_0257_raw_ocr.json</t>
        </is>
      </c>
      <c r="B5" t="inlineStr">
        <is>
          <t>NA</t>
        </is>
      </c>
      <c r="C5" s="2" t="n">
        <v>46261</v>
      </c>
      <c r="D5" s="3" t="n">
        <v>46261.69623483796</v>
      </c>
    </row>
    <row r="6">
      <c r="A6" t="inlineStr">
        <is>
          <t>walmart_aug_6_raw_ocr.json</t>
        </is>
      </c>
      <c r="B6" t="inlineStr">
        <is>
          <t>0</t>
        </is>
      </c>
      <c r="C6" s="2" t="n">
        <v>46240</v>
      </c>
      <c r="D6" s="3" t="n">
        <v>46261.87458537037</v>
      </c>
    </row>
    <row r="7">
      <c r="A7" t="inlineStr">
        <is>
          <t>080726_Walmart_0_raw_ocr.json</t>
        </is>
      </c>
      <c r="B7" t="inlineStr">
        <is>
          <t>0</t>
        </is>
      </c>
      <c r="C7" s="2" t="n">
        <v>46241</v>
      </c>
      <c r="D7" s="3" t="n">
        <v>46262.59873947917</v>
      </c>
    </row>
    <row r="8">
      <c r="A8" t="inlineStr">
        <is>
          <t>081326_Walmart_0_raw_ocr.json</t>
        </is>
      </c>
      <c r="B8" t="inlineStr">
        <is>
          <t>0</t>
        </is>
      </c>
      <c r="C8" s="2" t="n">
        <v>46247</v>
      </c>
      <c r="D8" s="3" t="n">
        <v>46262.65887388889</v>
      </c>
    </row>
    <row r="9">
      <c r="A9" t="inlineStr">
        <is>
          <t>081326_Walmart_0_B_raw_ocr.json</t>
        </is>
      </c>
      <c r="B9" t="inlineStr">
        <is>
          <t>0</t>
        </is>
      </c>
      <c r="C9" s="2" t="n">
        <v>46247</v>
      </c>
      <c r="D9" s="3" t="n">
        <v>46262.66004274305</v>
      </c>
    </row>
    <row r="10">
      <c r="A10" t="inlineStr">
        <is>
          <t>082626_Walmart_0_raw_ocr.json</t>
        </is>
      </c>
      <c r="B10" t="inlineStr">
        <is>
          <t>0</t>
        </is>
      </c>
      <c r="C10" s="2" t="n">
        <v>46260</v>
      </c>
      <c r="D10" s="3" t="n">
        <v>46262.676458125</v>
      </c>
    </row>
    <row r="11">
      <c r="A11" t="inlineStr">
        <is>
          <t>082826_Publix_120_raw_ocr.json</t>
        </is>
      </c>
      <c r="B11" t="inlineStr">
        <is>
          <t>120</t>
        </is>
      </c>
      <c r="C11" s="2" t="n">
        <v>46262</v>
      </c>
      <c r="D11" s="3" t="n">
        <v>46262.70075863426</v>
      </c>
    </row>
    <row r="12">
      <c r="A12" t="inlineStr">
        <is>
          <t>083026_ALDI_238_raw_ocr.json</t>
        </is>
      </c>
      <c r="B12" t="inlineStr">
        <is>
          <t>238</t>
        </is>
      </c>
      <c r="C12" s="2" t="n">
        <v>46264</v>
      </c>
      <c r="D12" s="3" t="n">
        <v>46264.69158432871</v>
      </c>
    </row>
    <row r="13">
      <c r="A13" t="inlineStr">
        <is>
          <t>083026_ALDI_238_raw_ocr.json</t>
        </is>
      </c>
      <c r="B13" t="inlineStr">
        <is>
          <t>238</t>
        </is>
      </c>
      <c r="C13" s="2" t="n">
        <v>46264</v>
      </c>
      <c r="D13" s="3" t="n">
        <v>46265.91204899306</v>
      </c>
    </row>
    <row r="14">
      <c r="A14" t="inlineStr">
        <is>
          <t>090326_Publix_120_raw_ocr.json</t>
        </is>
      </c>
      <c r="B14" t="inlineStr">
        <is>
          <t>120</t>
        </is>
      </c>
      <c r="C14" s="2" t="n">
        <v>46268</v>
      </c>
      <c r="D14" s="3" t="n">
        <v>46268.78732697917</v>
      </c>
    </row>
    <row r="15">
      <c r="A15" t="inlineStr">
        <is>
          <t>090626_ALDI_238_raw_ocr.json</t>
        </is>
      </c>
      <c r="B15" t="inlineStr">
        <is>
          <t>238</t>
        </is>
      </c>
      <c r="C15" s="2" t="n">
        <v>46271</v>
      </c>
      <c r="D15" s="3" t="n">
        <v>46271.6522190625</v>
      </c>
    </row>
    <row r="16">
      <c r="A16" t="inlineStr">
        <is>
          <t>090626_ALDI_238_B_raw_ocr.json</t>
        </is>
      </c>
      <c r="B16" t="inlineStr">
        <is>
          <t>238</t>
        </is>
      </c>
      <c r="C16" s="2" t="n">
        <v>46271</v>
      </c>
      <c r="D16" s="3" t="n">
        <v>46271.65845202546</v>
      </c>
    </row>
    <row r="17">
      <c r="A17" t="inlineStr">
        <is>
          <t>090626_ALDI_238_C_raw_ocr.json</t>
        </is>
      </c>
      <c r="B17" t="inlineStr">
        <is>
          <t>238</t>
        </is>
      </c>
      <c r="C17" s="2" t="n">
        <v>46271</v>
      </c>
      <c r="D17" s="3" t="n">
        <v>46271.66306559028</v>
      </c>
    </row>
    <row r="18">
      <c r="A18" t="inlineStr">
        <is>
          <t>090726_TraderJoes_0848_raw_ocr.json</t>
        </is>
      </c>
      <c r="B18" t="inlineStr">
        <is>
          <t>0848</t>
        </is>
      </c>
      <c r="C18" s="2" t="n">
        <v>46272</v>
      </c>
      <c r="D18" s="3" t="n">
        <v>46272.80318711806</v>
      </c>
    </row>
    <row r="19">
      <c r="A19" t="inlineStr">
        <is>
          <t>090726_TraderJoes_0848_raw_ocr.json</t>
        </is>
      </c>
      <c r="B19" t="inlineStr">
        <is>
          <t>0848</t>
        </is>
      </c>
      <c r="C19" s="2" t="n">
        <v>46272</v>
      </c>
      <c r="D19" s="3" t="n">
        <v>46272.81057715278</v>
      </c>
    </row>
    <row r="20">
      <c r="A20" t="inlineStr">
        <is>
          <t>090726_Publix_120_raw_ocr.json</t>
        </is>
      </c>
      <c r="B20" t="inlineStr">
        <is>
          <t>120</t>
        </is>
      </c>
      <c r="C20" s="2" t="n">
        <v>46272</v>
      </c>
      <c r="D20" s="3" t="n">
        <v>46272.83377583334</v>
      </c>
    </row>
    <row r="21">
      <c r="A21" t="inlineStr">
        <is>
          <t>091326_Publix_1058_ollama_raw_ocr.json</t>
        </is>
      </c>
      <c r="B21" t="inlineStr">
        <is>
          <t>1058</t>
        </is>
      </c>
      <c r="C21" s="2" t="n">
        <v>46278</v>
      </c>
      <c r="D21" s="3" t="n">
        <v>46278.91137050926</v>
      </c>
    </row>
    <row r="22">
      <c r="A22" t="inlineStr">
        <is>
          <t>091326_Walmart_0_page_001_ollama_raw_ocr.json</t>
        </is>
      </c>
      <c r="B22" t="inlineStr">
        <is>
          <t>0</t>
        </is>
      </c>
      <c r="C22" s="2" t="n">
        <v>46278</v>
      </c>
      <c r="D22" s="3" t="n">
        <v>46279.73545815972</v>
      </c>
    </row>
    <row r="23">
      <c r="A23" t="inlineStr">
        <is>
          <t>091326_Walmart_0_page_002_ollama_raw_ocr.json</t>
        </is>
      </c>
      <c r="B23" t="inlineStr">
        <is>
          <t>0</t>
        </is>
      </c>
      <c r="C23" s="2" t="n">
        <v>46278</v>
      </c>
      <c r="D23" s="3" t="n">
        <v>46279.73875363426</v>
      </c>
    </row>
    <row r="24">
      <c r="A24" t="inlineStr">
        <is>
          <t>090926_SurfinTurtle_0_ollama_raw_ocr.json</t>
        </is>
      </c>
      <c r="B24" t="inlineStr">
        <is>
          <t>0</t>
        </is>
      </c>
      <c r="C24" s="2" t="n">
        <v>46274</v>
      </c>
      <c r="D24" s="3" t="n">
        <v>46285.46345628472</v>
      </c>
    </row>
    <row r="25">
      <c r="A25" t="inlineStr">
        <is>
          <t>091726_L3HAtriumCafe_0_ollama_raw_ocr.json</t>
        </is>
      </c>
      <c r="B25" t="inlineStr">
        <is>
          <t>0</t>
        </is>
      </c>
      <c r="C25" s="2" t="n">
        <v>46282</v>
      </c>
      <c r="D25" s="3" t="n">
        <v>46285.46632934028</v>
      </c>
    </row>
    <row r="26">
      <c r="A26" t="inlineStr">
        <is>
          <t>091826_Publix_1058_ollama_raw_ocr.json</t>
        </is>
      </c>
      <c r="B26" t="inlineStr">
        <is>
          <t>1058</t>
        </is>
      </c>
      <c r="C26" s="2" t="n">
        <v>46283</v>
      </c>
      <c r="D26" s="3" t="n">
        <v>46285.47496314815</v>
      </c>
    </row>
    <row r="27">
      <c r="A27" t="inlineStr">
        <is>
          <t>091926_Publix_1688_ollama_raw_ocr.json</t>
        </is>
      </c>
      <c r="B27" t="inlineStr">
        <is>
          <t>1688</t>
        </is>
      </c>
      <c r="C27" s="2" t="n">
        <v>46284</v>
      </c>
      <c r="D27" s="3" t="n">
        <v>46285.48528675926</v>
      </c>
    </row>
    <row r="28">
      <c r="A28" t="inlineStr">
        <is>
          <t>092026_Cosco_0_ollama_raw_ocr.json</t>
        </is>
      </c>
      <c r="B28" t="inlineStr">
        <is>
          <t>0</t>
        </is>
      </c>
      <c r="C28" s="2" t="n">
        <v>46285</v>
      </c>
      <c r="D28" s="3" t="n">
        <v>46285.50362481482</v>
      </c>
    </row>
    <row r="29">
      <c r="A29" t="inlineStr">
        <is>
          <t>091326_Walmart_0_Contribution_ollama_raw_ocr.json</t>
        </is>
      </c>
      <c r="B29" t="inlineStr">
        <is>
          <t>0</t>
        </is>
      </c>
      <c r="C29" s="2" t="n">
        <v>46278</v>
      </c>
      <c r="D29" s="3" t="n">
        <v>46285.59361447916</v>
      </c>
    </row>
    <row r="30">
      <c r="A30" t="inlineStr">
        <is>
          <t>100426_Publix_1058_ollama_raw_ocr.json</t>
        </is>
      </c>
      <c r="B30" t="inlineStr">
        <is>
          <t>1058</t>
        </is>
      </c>
      <c r="C30" s="2" t="n">
        <v>46299</v>
      </c>
      <c r="D30" s="3" t="n">
        <v>46299.75710116898</v>
      </c>
    </row>
    <row r="31">
      <c r="A31" t="inlineStr">
        <is>
          <t>100426_ALDI_238_A_ollama_raw_ocr.json</t>
        </is>
      </c>
      <c r="B31" t="inlineStr">
        <is>
          <t>238</t>
        </is>
      </c>
      <c r="C31" s="2" t="n">
        <v>46299</v>
      </c>
      <c r="D31" s="86" t="n">
        <v>46299.88686986111</v>
      </c>
    </row>
    <row r="32">
      <c r="A32" t="inlineStr">
        <is>
          <t>100426_ALDI_238_B_ollama_raw_ocr.json</t>
        </is>
      </c>
      <c r="B32" t="inlineStr">
        <is>
          <t>238</t>
        </is>
      </c>
      <c r="C32" s="2" t="n">
        <v>46299</v>
      </c>
      <c r="D32" s="86" t="n">
        <v>46299.89284479167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F16"/>
  <sheetViews>
    <sheetView workbookViewId="0">
      <selection activeCell="D5" sqref="D5:E16"/>
    </sheetView>
  </sheetViews>
  <sheetFormatPr baseColWidth="10" defaultRowHeight="15"/>
  <cols>
    <col width="15.33203125" bestFit="1" customWidth="1" style="65" min="2" max="2"/>
    <col width="19.33203125" bestFit="1" customWidth="1" style="65" min="3" max="3"/>
    <col width="45.33203125" customWidth="1" style="65" min="4" max="4"/>
    <col width="38.5" customWidth="1" style="65" min="5" max="5"/>
    <col width="94.1640625" bestFit="1" customWidth="1" style="65" min="6" max="6"/>
    <col width="54.1640625" customWidth="1" style="65" min="7" max="7"/>
  </cols>
  <sheetData>
    <row r="4">
      <c r="A4" s="7" t="inlineStr">
        <is>
          <t>Excel Row</t>
        </is>
      </c>
      <c r="B4" s="7" t="inlineStr">
        <is>
          <t>Store</t>
        </is>
      </c>
      <c r="C4" s="7" t="inlineStr">
        <is>
          <t>Product</t>
        </is>
      </c>
      <c r="D4" s="7" t="inlineStr">
        <is>
          <t>New Common Name</t>
        </is>
      </c>
      <c r="E4" s="7" t="inlineStr">
        <is>
          <t>New Sub-Category</t>
        </is>
      </c>
      <c r="F4" s="7" t="inlineStr">
        <is>
          <t>Reason</t>
        </is>
      </c>
    </row>
    <row r="5">
      <c r="A5" t="n">
        <v>253</v>
      </c>
      <c r="B5" t="inlineStr">
        <is>
          <t>Publix</t>
        </is>
      </c>
      <c r="C5" t="inlineStr">
        <is>
          <t>Mogen David B1 Blackberry</t>
        </is>
      </c>
      <c r="D5" t="inlineStr">
        <is>
          <t>Mogen David Blackberry Wine</t>
        </is>
      </c>
      <c r="E5" t="inlineStr">
        <is>
          <t>Wine</t>
        </is>
      </c>
      <c r="F5" t="inlineStr">
        <is>
          <t>Same product family as the historical Magen David Blackberry Wine; reuse established Wine taxonomy.</t>
        </is>
      </c>
    </row>
    <row r="6" ht="16" customHeight="1" s="65">
      <c r="A6" t="n">
        <v>254</v>
      </c>
      <c r="B6" t="inlineStr">
        <is>
          <t>Publix</t>
        </is>
      </c>
      <c r="C6" t="inlineStr">
        <is>
          <t>Bananas</t>
        </is>
      </c>
      <c r="D6" t="inlineStr">
        <is>
          <t>Bananas</t>
        </is>
      </c>
      <c r="E6" t="inlineStr">
        <is>
          <t>Fresh Fruit</t>
        </is>
      </c>
      <c r="F6" t="inlineStr">
        <is>
          <t>Exact historical Common Name and Sub-Category precedent for bananas.</t>
        </is>
      </c>
    </row>
    <row r="7">
      <c r="A7" t="n">
        <v>255</v>
      </c>
      <c r="B7" t="inlineStr">
        <is>
          <t>Publix</t>
        </is>
      </c>
      <c r="C7" t="inlineStr">
        <is>
          <t>Gw Flourless Choc Truffle</t>
        </is>
      </c>
      <c r="D7" t="inlineStr">
        <is>
          <t>GreenWise Flourless Chocolate Truffle</t>
        </is>
      </c>
      <c r="E7" t="inlineStr">
        <is>
          <t>Cakes &amp; Pies</t>
        </is>
      </c>
      <c r="F7" t="inlineStr">
        <is>
          <t>A flourless chocolate truffle cake/dessert is distinct from cookies, snack cakes, and frozen desserts; creates a reusable Cakes &amp; Pies category.</t>
        </is>
      </c>
    </row>
    <row r="8">
      <c r="A8" t="n">
        <v>256</v>
      </c>
      <c r="B8" t="inlineStr">
        <is>
          <t>Publix</t>
        </is>
      </c>
      <c r="C8" t="inlineStr">
        <is>
          <t>Pamp Swaddler Sz5 Bag</t>
        </is>
      </c>
      <c r="D8" t="inlineStr">
        <is>
          <t>Pampers Swaddlers Size 5 Diapers</t>
        </is>
      </c>
      <c r="E8" t="inlineStr">
        <is>
          <t>Baby Care</t>
        </is>
      </c>
      <c r="F8" t="inlineStr">
        <is>
          <t>Historical ShopGraph already uses this exact Common Name/category for Pampers Swaddlers Size 5.</t>
        </is>
      </c>
    </row>
    <row r="9">
      <c r="A9" t="n">
        <v>257</v>
      </c>
      <c r="B9" t="inlineStr">
        <is>
          <t>Publix</t>
        </is>
      </c>
      <c r="C9" t="inlineStr">
        <is>
          <t>Chobani 20G Drk</t>
        </is>
      </c>
      <c r="D9" t="inlineStr">
        <is>
          <t>Chobani Protein Greek Yogurt Drink</t>
        </is>
      </c>
      <c r="E9" t="inlineStr">
        <is>
          <t>Yogurt</t>
        </is>
      </c>
      <c r="F9" t="inlineStr">
        <is>
          <t>Historical Chobani 20G drink products are classified as Yogurt; abbreviated receipt text does not safely establish a flavor.</t>
        </is>
      </c>
    </row>
    <row r="10">
      <c r="A10" t="n">
        <v>258</v>
      </c>
      <c r="B10" t="inlineStr">
        <is>
          <t>Publix</t>
        </is>
      </c>
      <c r="C10" t="inlineStr">
        <is>
          <t>Mini Pumpkin Cc Pie</t>
        </is>
      </c>
      <c r="D10" t="inlineStr">
        <is>
          <t>Mini Pumpkin Cream Cheese Pie</t>
        </is>
      </c>
      <c r="E10" t="inlineStr">
        <is>
          <t>Cakes &amp; Pies</t>
        </is>
      </c>
      <c r="F10" t="inlineStr">
        <is>
          <t>Receipt abbreviation reasonably expands CC to cream cheese; same newly needed product-type category as other cakes/pies.</t>
        </is>
      </c>
    </row>
    <row r="11">
      <c r="A11" t="n">
        <v>259</v>
      </c>
      <c r="B11" t="inlineStr">
        <is>
          <t>Publix</t>
        </is>
      </c>
      <c r="C11" t="inlineStr">
        <is>
          <t>18 Mylar Balloon</t>
        </is>
      </c>
      <c r="D11" t="inlineStr">
        <is>
          <t>18-Inch Mylar Balloon</t>
        </is>
      </c>
      <c r="E11" t="inlineStr">
        <is>
          <t>Balloons</t>
        </is>
      </c>
      <c r="F11" t="inlineStr">
        <is>
          <t>Genuinely new product domain; Balloons is specific, reusable, and describes what the item is.</t>
        </is>
      </c>
    </row>
    <row r="12">
      <c r="A12" t="n">
        <v>260</v>
      </c>
      <c r="B12" t="inlineStr">
        <is>
          <t>Publix</t>
        </is>
      </c>
      <c r="C12" t="inlineStr">
        <is>
          <t>Tax</t>
        </is>
      </c>
      <c r="D12" t="inlineStr">
        <is>
          <t>Tax</t>
        </is>
      </c>
      <c r="E12" t="inlineStr">
        <is>
          <t>Fees &amp; Charges</t>
        </is>
      </c>
      <c r="F12" t="inlineStr">
        <is>
          <t>Exact historical precedent: taxes are Fees &amp; Charges.</t>
        </is>
      </c>
    </row>
    <row r="13" ht="16" customHeight="1" s="65">
      <c r="A13" t="n">
        <v>261</v>
      </c>
      <c r="B13" t="inlineStr">
        <is>
          <t>Publix</t>
        </is>
      </c>
      <c r="C13" t="inlineStr">
        <is>
          <t>SB OAT BROWN SUGAR</t>
        </is>
      </c>
      <c r="D13" t="inlineStr">
        <is>
          <t>Starbucks Oatmilk Brown Sugar Creamer</t>
        </is>
      </c>
      <c r="E13" t="inlineStr">
        <is>
          <t>Coffee Creamer</t>
        </is>
      </c>
      <c r="F13" t="inlineStr">
        <is>
          <t>Exact historical product precedent: Starbucks Oatmilk Brown Sugar Creamer is already classified as Coffee Creamer.</t>
        </is>
      </c>
    </row>
    <row r="14">
      <c r="A14" t="n">
        <v>262</v>
      </c>
      <c r="B14" t="inlineStr">
        <is>
          <t>Publix</t>
        </is>
      </c>
      <c r="C14" t="inlineStr">
        <is>
          <t>RANA CHEESE TORTEL</t>
        </is>
      </c>
      <c r="D14" t="inlineStr">
        <is>
          <t>Giovanni Rana Cheese Tortellini</t>
        </is>
      </c>
      <c r="E14" t="inlineStr">
        <is>
          <t>Refrigerated Pasta</t>
        </is>
      </c>
      <c r="F14" t="inlineStr">
        <is>
          <t>Historical Giovanni Rana Tortellini establishes Refrigerated Pasta as the intended taxonomy.</t>
        </is>
      </c>
    </row>
    <row r="15">
      <c r="A15" t="n">
        <v>263</v>
      </c>
      <c r="B15" t="inlineStr">
        <is>
          <t>Publix</t>
        </is>
      </c>
      <c r="C15" t="inlineStr">
        <is>
          <t>PROG VEG BROTH</t>
        </is>
      </c>
      <c r="D15" t="inlineStr">
        <is>
          <t>Progresso Vegetable Broth</t>
        </is>
      </c>
      <c r="E15" t="inlineStr">
        <is>
          <t>Broth &amp; Stock</t>
        </is>
      </c>
      <c r="F15" t="inlineStr">
        <is>
          <t>Vegetable broth belongs in the already-established Broth &amp; Stock category rather than creating a new category.</t>
        </is>
      </c>
    </row>
    <row r="16">
      <c r="A16" t="n">
        <v>264</v>
      </c>
      <c r="B16" t="inlineStr">
        <is>
          <t>Publix</t>
        </is>
      </c>
      <c r="C16" t="inlineStr">
        <is>
          <t>LSR EVL SWT/SLT PN</t>
        </is>
      </c>
      <c r="D16" t="inlineStr">
        <is>
          <t>LesserEvil Sweet &amp; Salty Popcorn</t>
        </is>
      </c>
      <c r="E16" t="inlineStr">
        <is>
          <t>Popcorn</t>
        </is>
      </c>
      <c r="F16" t="inlineStr">
        <is>
          <t>Historical LesserEvil Popcorn establishes both the product family and Popcorn taxonomy.</t>
        </is>
      </c>
    </row>
    <row r="17" ht="16" customHeight="1" s="65"/>
    <row r="18" ht="16" customHeight="1" s="65"/>
    <row r="19" ht="16" customHeight="1" s="65"/>
    <row r="26" ht="16" customHeight="1" s="65"/>
    <row r="28" ht="16" customHeight="1" s="6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49"/>
  <sheetViews>
    <sheetView showGridLines="0" workbookViewId="0">
      <selection activeCell="F8" sqref="F8"/>
    </sheetView>
  </sheetViews>
  <sheetFormatPr baseColWidth="10" defaultColWidth="8.83203125" defaultRowHeight="15"/>
  <cols>
    <col width="38" customWidth="1" style="65" min="1" max="1"/>
    <col width="48" customWidth="1" style="65" min="2" max="2"/>
    <col width="6" customWidth="1" style="65" min="10" max="10"/>
    <col width="28" customWidth="1" style="65" min="11" max="11"/>
    <col width="14" customWidth="1" style="65" min="12" max="12"/>
    <col width="16" customWidth="1" style="65" min="28" max="59"/>
  </cols>
  <sheetData>
    <row r="1" ht="24" customHeight="1" s="65">
      <c r="A1" s="67" t="inlineStr">
        <is>
          <t>9_26</t>
        </is>
      </c>
      <c r="AB1" s="40" t="inlineStr">
        <is>
          <t>Date</t>
        </is>
      </c>
      <c r="AC1" s="40" t="inlineStr">
        <is>
          <t>Ideal Remaining Budget</t>
        </is>
      </c>
      <c r="AD1" s="40" t="inlineStr">
        <is>
          <t>Actual Remaining Budget</t>
        </is>
      </c>
      <c r="AE1" s="40" t="inlineStr">
        <is>
          <t>Cumulative Spending</t>
        </is>
      </c>
      <c r="AG1" s="40" t="inlineStr">
        <is>
          <t>Comparison</t>
        </is>
      </c>
      <c r="AH1" s="40" t="inlineStr">
        <is>
          <t>Budget</t>
        </is>
      </c>
      <c r="AI1" s="40" t="inlineStr">
        <is>
          <t>1</t>
        </is>
      </c>
      <c r="AJ1" s="40" t="inlineStr">
        <is>
          <t>2</t>
        </is>
      </c>
      <c r="AK1" s="40" t="inlineStr">
        <is>
          <t>3</t>
        </is>
      </c>
      <c r="AL1" s="40" t="inlineStr">
        <is>
          <t>4</t>
        </is>
      </c>
      <c r="AM1" s="40" t="inlineStr">
        <is>
          <t>5</t>
        </is>
      </c>
      <c r="AN1" s="40" t="inlineStr">
        <is>
          <t>6</t>
        </is>
      </c>
      <c r="AO1" s="40" t="inlineStr">
        <is>
          <t>7</t>
        </is>
      </c>
      <c r="AP1" s="40" t="inlineStr">
        <is>
          <t>8</t>
        </is>
      </c>
      <c r="AQ1" s="40" t="inlineStr">
        <is>
          <t>9</t>
        </is>
      </c>
      <c r="AR1" s="40" t="inlineStr">
        <is>
          <t>10</t>
        </is>
      </c>
      <c r="AS1" s="40" t="inlineStr">
        <is>
          <t>11</t>
        </is>
      </c>
      <c r="AT1" s="40" t="inlineStr">
        <is>
          <t>12</t>
        </is>
      </c>
      <c r="AU1" s="40" t="inlineStr">
        <is>
          <t>13</t>
        </is>
      </c>
      <c r="AV1" s="40" t="inlineStr">
        <is>
          <t>14</t>
        </is>
      </c>
      <c r="AW1" s="40" t="inlineStr">
        <is>
          <t>15</t>
        </is>
      </c>
      <c r="AX1" s="40" t="inlineStr">
        <is>
          <t>16</t>
        </is>
      </c>
      <c r="AY1" s="40" t="inlineStr">
        <is>
          <t>17</t>
        </is>
      </c>
      <c r="AZ1" s="40" t="inlineStr">
        <is>
          <t>18</t>
        </is>
      </c>
      <c r="BA1" s="40" t="inlineStr">
        <is>
          <t>19</t>
        </is>
      </c>
      <c r="BB1" s="40" t="inlineStr">
        <is>
          <t>20</t>
        </is>
      </c>
      <c r="BC1" s="40" t="inlineStr">
        <is>
          <t>21</t>
        </is>
      </c>
      <c r="BD1" s="40" t="inlineStr">
        <is>
          <t>22</t>
        </is>
      </c>
      <c r="BE1" s="40" t="inlineStr">
        <is>
          <t>23</t>
        </is>
      </c>
      <c r="BF1" s="40" t="inlineStr">
        <is>
          <t>24</t>
        </is>
      </c>
      <c r="BG1" s="40" t="inlineStr">
        <is>
          <t>25</t>
        </is>
      </c>
    </row>
    <row r="2">
      <c r="AB2" s="2" t="n">
        <v>46266</v>
      </c>
      <c r="AC2" s="5" t="n">
        <v>1400</v>
      </c>
      <c r="AD2" s="5" t="n">
        <v>1400</v>
      </c>
      <c r="AE2" s="5" t="n">
        <v>0</v>
      </c>
      <c r="AG2" t="inlineStr">
        <is>
          <t>Budget</t>
        </is>
      </c>
      <c r="AH2" s="5" t="n">
        <v>1400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</row>
    <row r="3">
      <c r="A3" s="41" t="inlineStr">
        <is>
          <t>Budget Plan</t>
        </is>
      </c>
      <c r="B3" t="inlineStr">
        <is>
          <t>9_26</t>
        </is>
      </c>
      <c r="AB3" s="2" t="n">
        <v>46267</v>
      </c>
      <c r="AC3" s="5" t="n">
        <v>1351.724137931035</v>
      </c>
      <c r="AD3" s="5" t="n">
        <v>1400</v>
      </c>
      <c r="AE3" s="5" t="n">
        <v>0</v>
      </c>
      <c r="AG3" t="inlineStr">
        <is>
          <t>Spent</t>
        </is>
      </c>
      <c r="AH3" s="5" t="n">
        <v>0</v>
      </c>
      <c r="AI3" s="5" t="n">
        <v>17.87</v>
      </c>
      <c r="AJ3" s="5" t="n">
        <v>59.78</v>
      </c>
      <c r="AK3" s="5" t="n">
        <v>31.81</v>
      </c>
      <c r="AL3" s="5" t="n">
        <v>3.99</v>
      </c>
      <c r="AM3" s="5" t="n">
        <v>19.48</v>
      </c>
      <c r="AN3" s="5" t="n">
        <v>21.08</v>
      </c>
      <c r="AO3" s="5" t="n">
        <v>-144.14</v>
      </c>
      <c r="AP3" s="5" t="n">
        <v>137.88</v>
      </c>
      <c r="AQ3" s="5" t="n">
        <v>36.71</v>
      </c>
      <c r="AR3" s="5" t="n">
        <v>8.199999999999999</v>
      </c>
      <c r="AS3" s="5" t="n">
        <v>30.69</v>
      </c>
      <c r="AT3" s="5" t="n">
        <v>60.9</v>
      </c>
      <c r="AU3" s="5" t="n">
        <v>0</v>
      </c>
      <c r="AV3" s="5" t="n">
        <v>14.05</v>
      </c>
      <c r="AW3" s="5" t="n">
        <v>0</v>
      </c>
      <c r="AX3" s="5" t="n">
        <v>110.57</v>
      </c>
      <c r="AY3" s="5" t="n">
        <v>0</v>
      </c>
      <c r="AZ3" s="5" t="n">
        <v>76.92999999999999</v>
      </c>
      <c r="BA3" s="5" t="n">
        <v>25.94</v>
      </c>
      <c r="BB3" s="5" t="n">
        <v>71.78999999999999</v>
      </c>
      <c r="BC3" s="5" t="n">
        <v>127.81</v>
      </c>
      <c r="BD3" s="5" t="n">
        <v>29.22</v>
      </c>
      <c r="BE3" s="5" t="n">
        <v>30.54</v>
      </c>
      <c r="BF3" s="5" t="n">
        <v>0</v>
      </c>
      <c r="BG3" s="5" t="n">
        <v>14.38</v>
      </c>
    </row>
    <row r="4">
      <c r="A4" s="41" t="inlineStr">
        <is>
          <t>Start Date</t>
        </is>
      </c>
      <c r="B4" s="2" t="n">
        <v>46266</v>
      </c>
      <c r="AB4" s="2" t="n">
        <v>46268</v>
      </c>
      <c r="AC4" s="5" t="n">
        <v>1303.448275862069</v>
      </c>
      <c r="AD4" s="5" t="n">
        <v>1238.01</v>
      </c>
      <c r="AE4" s="5" t="n">
        <v>161.99</v>
      </c>
    </row>
    <row r="5">
      <c r="A5" s="41" t="inlineStr">
        <is>
          <t>End Date</t>
        </is>
      </c>
      <c r="B5" s="2" t="n">
        <v>46295</v>
      </c>
      <c r="AB5" s="2" t="n">
        <v>46269</v>
      </c>
      <c r="AC5" s="5" t="n">
        <v>1255.172413793103</v>
      </c>
      <c r="AD5" s="5" t="n">
        <v>1238.01</v>
      </c>
      <c r="AE5" s="5" t="n">
        <v>161.99</v>
      </c>
    </row>
    <row r="6">
      <c r="A6" s="41" t="inlineStr">
        <is>
          <t>Category Scope</t>
        </is>
      </c>
      <c r="B6" t="inlineStr">
        <is>
          <t>All Categories</t>
        </is>
      </c>
      <c r="AB6" s="2" t="n">
        <v>46270</v>
      </c>
      <c r="AC6" s="5" t="n">
        <v>1206.896551724138</v>
      </c>
      <c r="AD6" s="5" t="n">
        <v>1238.01</v>
      </c>
      <c r="AE6" s="5" t="n">
        <v>161.99</v>
      </c>
    </row>
    <row r="7">
      <c r="A7" s="41" t="inlineStr">
        <is>
          <t>Categories</t>
        </is>
      </c>
      <c r="B7" t="inlineStr">
        <is>
          <t>All Categories</t>
        </is>
      </c>
      <c r="AB7" s="2" t="n">
        <v>46271</v>
      </c>
      <c r="AC7" s="5" t="n">
        <v>1158.620689655172</v>
      </c>
      <c r="AD7" s="5" t="n">
        <v>1140.88</v>
      </c>
      <c r="AE7" s="5" t="n">
        <v>259.12</v>
      </c>
    </row>
    <row r="8">
      <c r="A8" s="41" t="inlineStr">
        <is>
          <t>Budget</t>
        </is>
      </c>
      <c r="B8" s="5" t="n">
        <v>1400</v>
      </c>
      <c r="AB8" s="2" t="n">
        <v>46272</v>
      </c>
      <c r="AC8" s="5" t="n">
        <v>1110.344827586207</v>
      </c>
      <c r="AD8" s="5" t="n">
        <v>924.6800000000001</v>
      </c>
      <c r="AE8" s="5" t="n">
        <v>475.32</v>
      </c>
    </row>
    <row r="9">
      <c r="A9" s="41" t="inlineStr">
        <is>
          <t>Total Spent</t>
        </is>
      </c>
      <c r="B9" s="5" t="n">
        <v>785.4800000000001</v>
      </c>
      <c r="AB9" s="2" t="n">
        <v>46273</v>
      </c>
      <c r="AC9" s="5" t="n">
        <v>1062.068965517241</v>
      </c>
      <c r="AD9" s="5" t="n">
        <v>924.6800000000001</v>
      </c>
      <c r="AE9" s="5" t="n">
        <v>475.32</v>
      </c>
    </row>
    <row r="10">
      <c r="A10" s="41" t="inlineStr">
        <is>
          <t>Remaining Budget</t>
        </is>
      </c>
      <c r="B10" t="n">
        <v>614.5199999999999</v>
      </c>
      <c r="AB10" s="2" t="n">
        <v>46274</v>
      </c>
      <c r="AC10" s="5" t="n">
        <v>1013.793103448276</v>
      </c>
      <c r="AD10" s="5" t="n">
        <v>911.38</v>
      </c>
      <c r="AE10" s="5" t="n">
        <v>488.62</v>
      </c>
    </row>
    <row r="11">
      <c r="A11" s="41" t="inlineStr">
        <is>
          <t>Relevant Date</t>
        </is>
      </c>
      <c r="B11" s="2" t="n">
        <v>46285</v>
      </c>
      <c r="AB11" s="2" t="n">
        <v>46275</v>
      </c>
      <c r="AC11" s="5" t="n">
        <v>965.5172413793105</v>
      </c>
      <c r="AD11" s="5" t="n">
        <v>911.38</v>
      </c>
      <c r="AE11" s="5" t="n">
        <v>488.62</v>
      </c>
    </row>
    <row r="12">
      <c r="A12" s="41" t="inlineStr">
        <is>
          <t>Ideal Spending Through Relevant Date</t>
        </is>
      </c>
      <c r="B12" s="5" t="n">
        <v>917.2413793103448</v>
      </c>
      <c r="AB12" s="2" t="n">
        <v>46276</v>
      </c>
      <c r="AC12" s="5" t="n">
        <v>917.2413793103448</v>
      </c>
      <c r="AD12" s="5" t="n">
        <v>911.38</v>
      </c>
      <c r="AE12" s="5" t="n">
        <v>488.62</v>
      </c>
    </row>
    <row r="13">
      <c r="A13" s="41" t="inlineStr">
        <is>
          <t>Actual Spending Through Relevant Date</t>
        </is>
      </c>
      <c r="B13" s="5" t="n">
        <v>785.4800000000001</v>
      </c>
      <c r="AB13" s="2" t="n">
        <v>46277</v>
      </c>
      <c r="AC13" s="5" t="n">
        <v>868.9655172413793</v>
      </c>
      <c r="AD13" s="5" t="n">
        <v>911.38</v>
      </c>
      <c r="AE13" s="5" t="n">
        <v>488.62</v>
      </c>
    </row>
    <row r="14">
      <c r="A14" s="41" t="inlineStr">
        <is>
          <t>Ahead / Behind Budget</t>
        </is>
      </c>
      <c r="B14" t="inlineStr">
        <is>
          <t>Ahead by $131.76</t>
        </is>
      </c>
      <c r="AB14" s="2" t="n">
        <v>46278</v>
      </c>
      <c r="AC14" s="5" t="n">
        <v>820.6896551724138</v>
      </c>
      <c r="AD14" s="5" t="n">
        <v>753.6499999999999</v>
      </c>
      <c r="AE14" s="5" t="n">
        <v>646.3500000000001</v>
      </c>
    </row>
    <row r="15">
      <c r="AB15" s="2" t="n">
        <v>46279</v>
      </c>
      <c r="AC15" s="5" t="n">
        <v>772.4137931034483</v>
      </c>
      <c r="AD15" s="5" t="n">
        <v>753.6499999999999</v>
      </c>
      <c r="AE15" s="5" t="n">
        <v>646.3500000000001</v>
      </c>
    </row>
    <row r="16" ht="19" customHeight="1" s="65">
      <c r="A16" s="42" t="inlineStr">
        <is>
          <t>Budget vs Category Spending</t>
        </is>
      </c>
      <c r="AB16" s="2" t="n">
        <v>46280</v>
      </c>
      <c r="AC16" s="5" t="n">
        <v>724.1379310344827</v>
      </c>
      <c r="AD16" s="5" t="n">
        <v>753.6499999999999</v>
      </c>
      <c r="AE16" s="5" t="n">
        <v>646.3500000000001</v>
      </c>
    </row>
    <row r="17">
      <c r="AB17" s="2" t="n">
        <v>46281</v>
      </c>
      <c r="AC17" s="5" t="n">
        <v>675.8620689655172</v>
      </c>
      <c r="AD17" s="5" t="n">
        <v>753.6499999999999</v>
      </c>
      <c r="AE17" s="5" t="n">
        <v>646.3500000000001</v>
      </c>
    </row>
    <row r="18" ht="16" customHeight="1" s="65">
      <c r="J18" s="64" t="inlineStr">
        <is>
          <t>Category Key</t>
        </is>
      </c>
      <c r="AB18" s="2" t="n">
        <v>46282</v>
      </c>
      <c r="AC18" s="5" t="n">
        <v>627.5862068965517</v>
      </c>
      <c r="AD18" s="5" t="n">
        <v>751.0599999999998</v>
      </c>
      <c r="AE18" s="5" t="n">
        <v>648.9400000000002</v>
      </c>
    </row>
    <row r="19">
      <c r="J19" s="40" t="inlineStr">
        <is>
          <t>#</t>
        </is>
      </c>
      <c r="K19" s="40" t="inlineStr">
        <is>
          <t>Category</t>
        </is>
      </c>
      <c r="L19" s="40" t="inlineStr">
        <is>
          <t>Spent</t>
        </is>
      </c>
      <c r="AB19" s="2" t="n">
        <v>46283</v>
      </c>
      <c r="AC19" s="5" t="n">
        <v>579.3103448275863</v>
      </c>
      <c r="AD19" s="5" t="n">
        <v>688.0299999999999</v>
      </c>
      <c r="AE19" s="5" t="n">
        <v>711.9700000000001</v>
      </c>
    </row>
    <row r="20">
      <c r="J20" s="43" t="n">
        <v>1</v>
      </c>
      <c r="K20" t="inlineStr">
        <is>
          <t>Alcohol</t>
        </is>
      </c>
      <c r="L20" s="5" t="n">
        <v>17.87</v>
      </c>
      <c r="AB20" s="2" t="n">
        <v>46284</v>
      </c>
      <c r="AC20" s="5" t="n">
        <v>531.0344827586207</v>
      </c>
      <c r="AD20" s="5" t="n">
        <v>661.3099999999998</v>
      </c>
      <c r="AE20" s="5" t="n">
        <v>738.6900000000002</v>
      </c>
    </row>
    <row r="21">
      <c r="J21" s="44" t="n">
        <v>2</v>
      </c>
      <c r="K21" t="inlineStr">
        <is>
          <t>Baby Care</t>
        </is>
      </c>
      <c r="L21" s="5" t="n">
        <v>59.78</v>
      </c>
      <c r="AB21" s="2" t="n">
        <v>46285</v>
      </c>
      <c r="AC21" s="5" t="n">
        <v>482.7586206896552</v>
      </c>
      <c r="AD21" s="5" t="n">
        <v>614.5199999999999</v>
      </c>
      <c r="AE21" s="5" t="n">
        <v>785.4800000000001</v>
      </c>
    </row>
    <row r="22">
      <c r="J22" s="45" t="n">
        <v>3</v>
      </c>
      <c r="K22" t="inlineStr">
        <is>
          <t>Bakery</t>
        </is>
      </c>
      <c r="L22" s="5" t="n">
        <v>31.81</v>
      </c>
      <c r="AB22" s="2" t="n">
        <v>46286</v>
      </c>
      <c r="AC22" s="5" t="n">
        <v>434.4827586206896</v>
      </c>
      <c r="AD22" s="5" t="n">
        <v>614.5199999999999</v>
      </c>
      <c r="AE22" s="5" t="n">
        <v>785.4800000000001</v>
      </c>
    </row>
    <row r="23">
      <c r="J23" s="46" t="n">
        <v>4</v>
      </c>
      <c r="K23" t="inlineStr">
        <is>
          <t>Balloons</t>
        </is>
      </c>
      <c r="L23" s="5" t="n">
        <v>3.99</v>
      </c>
      <c r="AB23" s="2" t="n">
        <v>46287</v>
      </c>
      <c r="AC23" s="5" t="n">
        <v>386.2068965517241</v>
      </c>
      <c r="AD23" s="5" t="n">
        <v>614.5199999999999</v>
      </c>
      <c r="AE23" s="5" t="n">
        <v>785.4800000000001</v>
      </c>
    </row>
    <row r="24">
      <c r="J24" s="47" t="n">
        <v>5</v>
      </c>
      <c r="K24" t="inlineStr">
        <is>
          <t>Cakes &amp; Pies</t>
        </is>
      </c>
      <c r="L24" s="5" t="n">
        <v>19.48</v>
      </c>
      <c r="AB24" s="2" t="n">
        <v>46288</v>
      </c>
      <c r="AC24" s="5" t="n">
        <v>337.9310344827587</v>
      </c>
      <c r="AD24" s="5" t="n">
        <v>614.5199999999999</v>
      </c>
      <c r="AE24" s="5" t="n">
        <v>785.4800000000001</v>
      </c>
    </row>
    <row r="25">
      <c r="J25" s="48" t="n">
        <v>6</v>
      </c>
      <c r="K25" t="inlineStr">
        <is>
          <t>Condiments &amp; Seasonings</t>
        </is>
      </c>
      <c r="L25" s="5" t="n">
        <v>21.08</v>
      </c>
      <c r="AB25" s="2" t="n">
        <v>46289</v>
      </c>
      <c r="AC25" s="5" t="n">
        <v>289.6551724137931</v>
      </c>
      <c r="AD25" s="5" t="n">
        <v>614.5199999999999</v>
      </c>
      <c r="AE25" s="5" t="n">
        <v>785.4800000000001</v>
      </c>
    </row>
    <row r="26">
      <c r="J26" s="49" t="n">
        <v>7</v>
      </c>
      <c r="K26" t="inlineStr">
        <is>
          <t>Contribution</t>
        </is>
      </c>
      <c r="L26" s="5" t="n">
        <v>-144.14</v>
      </c>
      <c r="AB26" s="2" t="n">
        <v>46290</v>
      </c>
      <c r="AC26" s="5" t="n">
        <v>241.3793103448276</v>
      </c>
      <c r="AD26" s="5" t="n">
        <v>614.5199999999999</v>
      </c>
      <c r="AE26" s="5" t="n">
        <v>785.4800000000001</v>
      </c>
    </row>
    <row r="27">
      <c r="J27" s="50" t="n">
        <v>8</v>
      </c>
      <c r="K27" t="inlineStr">
        <is>
          <t>Dairy</t>
        </is>
      </c>
      <c r="L27" s="5" t="n">
        <v>137.88</v>
      </c>
      <c r="AB27" s="2" t="n">
        <v>46291</v>
      </c>
      <c r="AC27" s="5" t="n">
        <v>193.1034482758621</v>
      </c>
      <c r="AD27" s="5" t="n">
        <v>614.5199999999999</v>
      </c>
      <c r="AE27" s="5" t="n">
        <v>785.4800000000001</v>
      </c>
    </row>
    <row r="28">
      <c r="J28" s="51" t="n">
        <v>9</v>
      </c>
      <c r="K28" t="inlineStr">
        <is>
          <t>Dessert</t>
        </is>
      </c>
      <c r="L28" s="5" t="n">
        <v>36.71</v>
      </c>
      <c r="AB28" s="2" t="n">
        <v>46292</v>
      </c>
      <c r="AC28" s="5" t="n">
        <v>144.8275862068965</v>
      </c>
      <c r="AD28" s="5" t="n">
        <v>614.5199999999999</v>
      </c>
      <c r="AE28" s="5" t="n">
        <v>785.4800000000001</v>
      </c>
    </row>
    <row r="29">
      <c r="J29" s="52" t="n">
        <v>10</v>
      </c>
      <c r="K29" t="inlineStr">
        <is>
          <t>Eggs</t>
        </is>
      </c>
      <c r="L29" s="5" t="n">
        <v>8.199999999999999</v>
      </c>
      <c r="AB29" s="2" t="n">
        <v>46293</v>
      </c>
      <c r="AC29" s="5" t="n">
        <v>96.55172413793107</v>
      </c>
      <c r="AD29" s="5" t="n">
        <v>614.5199999999999</v>
      </c>
      <c r="AE29" s="5" t="n">
        <v>785.4800000000001</v>
      </c>
    </row>
    <row r="30">
      <c r="J30" s="53" t="n">
        <v>11</v>
      </c>
      <c r="K30" t="inlineStr">
        <is>
          <t>Fees</t>
        </is>
      </c>
      <c r="L30" s="5" t="n">
        <v>30.69</v>
      </c>
      <c r="AB30" s="2" t="n">
        <v>46294</v>
      </c>
      <c r="AC30" s="5" t="n">
        <v>48.27586206896546</v>
      </c>
      <c r="AD30" s="5" t="n">
        <v>614.5199999999999</v>
      </c>
      <c r="AE30" s="5" t="n">
        <v>785.4800000000001</v>
      </c>
    </row>
    <row r="31">
      <c r="J31" s="54" t="n">
        <v>12</v>
      </c>
      <c r="K31" t="inlineStr">
        <is>
          <t>Fish</t>
        </is>
      </c>
      <c r="L31" s="5" t="n">
        <v>60.9</v>
      </c>
      <c r="AB31" s="2" t="n">
        <v>46295</v>
      </c>
      <c r="AC31" s="5" t="n">
        <v>0</v>
      </c>
      <c r="AD31" s="5" t="n">
        <v>614.5199999999999</v>
      </c>
      <c r="AE31" s="5" t="n">
        <v>785.4800000000001</v>
      </c>
    </row>
    <row r="32">
      <c r="J32" s="55" t="n">
        <v>13</v>
      </c>
      <c r="K32" t="inlineStr">
        <is>
          <t>Frozen</t>
        </is>
      </c>
      <c r="L32" s="5" t="n">
        <v>0</v>
      </c>
    </row>
    <row r="33">
      <c r="J33" s="56" t="n">
        <v>14</v>
      </c>
      <c r="K33" t="inlineStr">
        <is>
          <t>Frozen Food</t>
        </is>
      </c>
      <c r="L33" s="5" t="n">
        <v>14.05</v>
      </c>
    </row>
    <row r="34">
      <c r="J34" s="57" t="n">
        <v>15</v>
      </c>
      <c r="K34" t="inlineStr">
        <is>
          <t>Home Improvement</t>
        </is>
      </c>
      <c r="L34" s="5" t="n">
        <v>0</v>
      </c>
    </row>
    <row r="35">
      <c r="J35" s="58" t="n">
        <v>16</v>
      </c>
      <c r="K35" t="inlineStr">
        <is>
          <t>Meat</t>
        </is>
      </c>
      <c r="L35" s="5" t="n">
        <v>110.57</v>
      </c>
    </row>
    <row r="36">
      <c r="J36" s="59" t="n">
        <v>17</v>
      </c>
      <c r="K36" t="inlineStr">
        <is>
          <t>Office Supplies</t>
        </is>
      </c>
      <c r="L36" s="5" t="n">
        <v>0</v>
      </c>
    </row>
    <row r="37">
      <c r="J37" s="60" t="n">
        <v>18</v>
      </c>
      <c r="K37" t="inlineStr">
        <is>
          <t>Pantry</t>
        </is>
      </c>
      <c r="L37" s="5" t="n">
        <v>76.92999999999999</v>
      </c>
    </row>
    <row r="38">
      <c r="J38" s="61" t="n">
        <v>19</v>
      </c>
      <c r="K38" t="inlineStr">
        <is>
          <t>Pets</t>
        </is>
      </c>
      <c r="L38" s="5" t="n">
        <v>25.94</v>
      </c>
    </row>
    <row r="39">
      <c r="J39" s="62" t="n">
        <v>20</v>
      </c>
      <c r="K39" t="inlineStr">
        <is>
          <t>Prepared Eating</t>
        </is>
      </c>
      <c r="L39" s="5" t="n">
        <v>71.78999999999999</v>
      </c>
    </row>
    <row r="40">
      <c r="J40" s="43" t="n">
        <v>21</v>
      </c>
      <c r="K40" t="inlineStr">
        <is>
          <t>Produce</t>
        </is>
      </c>
      <c r="L40" s="5" t="n">
        <v>127.81</v>
      </c>
    </row>
    <row r="41">
      <c r="J41" s="44" t="n">
        <v>22</v>
      </c>
      <c r="K41" t="inlineStr">
        <is>
          <t>Self Care</t>
        </is>
      </c>
      <c r="L41" s="5" t="n">
        <v>29.22</v>
      </c>
    </row>
    <row r="42">
      <c r="J42" s="45" t="n">
        <v>23</v>
      </c>
      <c r="K42" t="inlineStr">
        <is>
          <t>Toiletries, Cleaning and Disposables</t>
        </is>
      </c>
      <c r="L42" s="5" t="n">
        <v>30.54</v>
      </c>
    </row>
    <row r="43">
      <c r="J43" s="46" t="n">
        <v>24</v>
      </c>
      <c r="K43" t="inlineStr">
        <is>
          <t>Torah</t>
        </is>
      </c>
      <c r="L43" s="5" t="n">
        <v>0</v>
      </c>
    </row>
    <row r="44">
      <c r="J44" s="47" t="n">
        <v>25</v>
      </c>
      <c r="K44" t="inlineStr">
        <is>
          <t>Wine</t>
        </is>
      </c>
      <c r="L44" s="5" t="n">
        <v>14.38</v>
      </c>
    </row>
    <row r="47">
      <c r="A47" s="66" t="inlineStr">
        <is>
      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      </is>
      </c>
    </row>
    <row r="48"/>
    <row r="49"/>
  </sheetData>
  <mergeCells count="3">
    <mergeCell ref="J18:L18"/>
    <mergeCell ref="A47:H4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49"/>
  <sheetViews>
    <sheetView showGridLines="0" workbookViewId="0">
      <selection activeCell="A1" sqref="A1"/>
    </sheetView>
  </sheetViews>
  <sheetFormatPr baseColWidth="10" defaultColWidth="8.83203125" defaultRowHeight="15"/>
  <cols>
    <col width="38" customWidth="1" style="65" min="1" max="1"/>
    <col width="48" customWidth="1" style="65" min="2" max="2"/>
    <col width="6" customWidth="1" style="65" min="10" max="10"/>
    <col width="28" customWidth="1" style="65" min="11" max="11"/>
    <col width="14" customWidth="1" style="65" min="12" max="12"/>
    <col width="16" customWidth="1" style="65" min="28" max="59"/>
  </cols>
  <sheetData>
    <row r="1" ht="24" customHeight="1" s="65">
      <c r="A1" s="67" t="inlineStr">
        <is>
          <t>9_26w1</t>
        </is>
      </c>
      <c r="AB1" s="40" t="inlineStr">
        <is>
          <t>Date</t>
        </is>
      </c>
      <c r="AC1" s="40" t="inlineStr">
        <is>
          <t>Ideal Remaining Budget</t>
        </is>
      </c>
      <c r="AD1" s="40" t="inlineStr">
        <is>
          <t>Actual Remaining Budget</t>
        </is>
      </c>
      <c r="AE1" s="40" t="inlineStr">
        <is>
          <t>Cumulative Spending</t>
        </is>
      </c>
      <c r="AG1" s="40" t="inlineStr">
        <is>
          <t>Comparison</t>
        </is>
      </c>
      <c r="AH1" s="40" t="inlineStr">
        <is>
          <t>Budget</t>
        </is>
      </c>
      <c r="AI1" s="40" t="inlineStr">
        <is>
          <t>1</t>
        </is>
      </c>
      <c r="AJ1" s="40" t="inlineStr">
        <is>
          <t>2</t>
        </is>
      </c>
      <c r="AK1" s="40" t="inlineStr">
        <is>
          <t>3</t>
        </is>
      </c>
      <c r="AL1" s="40" t="inlineStr">
        <is>
          <t>4</t>
        </is>
      </c>
      <c r="AM1" s="40" t="inlineStr">
        <is>
          <t>5</t>
        </is>
      </c>
      <c r="AN1" s="40" t="inlineStr">
        <is>
          <t>6</t>
        </is>
      </c>
      <c r="AO1" s="40" t="inlineStr">
        <is>
          <t>7</t>
        </is>
      </c>
      <c r="AP1" s="40" t="inlineStr">
        <is>
          <t>8</t>
        </is>
      </c>
      <c r="AQ1" s="40" t="inlineStr">
        <is>
          <t>9</t>
        </is>
      </c>
      <c r="AR1" s="40" t="inlineStr">
        <is>
          <t>10</t>
        </is>
      </c>
      <c r="AS1" s="40" t="inlineStr">
        <is>
          <t>11</t>
        </is>
      </c>
      <c r="AT1" s="40" t="inlineStr">
        <is>
          <t>12</t>
        </is>
      </c>
      <c r="AU1" s="40" t="inlineStr">
        <is>
          <t>13</t>
        </is>
      </c>
      <c r="AV1" s="40" t="inlineStr">
        <is>
          <t>14</t>
        </is>
      </c>
      <c r="AW1" s="40" t="inlineStr">
        <is>
          <t>15</t>
        </is>
      </c>
      <c r="AX1" s="40" t="inlineStr">
        <is>
          <t>16</t>
        </is>
      </c>
      <c r="AY1" s="40" t="inlineStr">
        <is>
          <t>17</t>
        </is>
      </c>
      <c r="AZ1" s="40" t="inlineStr">
        <is>
          <t>18</t>
        </is>
      </c>
      <c r="BA1" s="40" t="inlineStr">
        <is>
          <t>19</t>
        </is>
      </c>
      <c r="BB1" s="40" t="inlineStr">
        <is>
          <t>20</t>
        </is>
      </c>
      <c r="BC1" s="40" t="inlineStr">
        <is>
          <t>21</t>
        </is>
      </c>
      <c r="BD1" s="40" t="inlineStr">
        <is>
          <t>22</t>
        </is>
      </c>
      <c r="BE1" s="40" t="inlineStr">
        <is>
          <t>23</t>
        </is>
      </c>
      <c r="BF1" s="40" t="inlineStr">
        <is>
          <t>24</t>
        </is>
      </c>
      <c r="BG1" s="40" t="inlineStr">
        <is>
          <t>25</t>
        </is>
      </c>
    </row>
    <row r="2">
      <c r="AB2" s="2" t="n">
        <v>46266</v>
      </c>
      <c r="AC2" s="5" t="n">
        <v>233</v>
      </c>
      <c r="AD2" s="5" t="n">
        <v>233</v>
      </c>
      <c r="AE2" s="5" t="n">
        <v>0</v>
      </c>
      <c r="AG2" t="inlineStr">
        <is>
          <t>Budget</t>
        </is>
      </c>
      <c r="AH2" s="5" t="n">
        <v>233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</row>
    <row r="3">
      <c r="A3" s="41" t="inlineStr">
        <is>
          <t>Budget Plan</t>
        </is>
      </c>
      <c r="B3" t="inlineStr">
        <is>
          <t>9_26w1</t>
        </is>
      </c>
      <c r="AB3" s="2" t="n">
        <v>46267</v>
      </c>
      <c r="AC3" s="5" t="n">
        <v>174.75</v>
      </c>
      <c r="AD3" s="5" t="n">
        <v>233</v>
      </c>
      <c r="AE3" s="5" t="n">
        <v>0</v>
      </c>
      <c r="AG3" t="inlineStr">
        <is>
          <t>Spent</t>
        </is>
      </c>
      <c r="AH3" s="5" t="n">
        <v>0</v>
      </c>
      <c r="AI3" s="5" t="n">
        <v>0</v>
      </c>
      <c r="AJ3" s="5" t="n">
        <v>0</v>
      </c>
      <c r="AK3" s="5" t="n">
        <v>6.79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26.16</v>
      </c>
      <c r="AQ3" s="5" t="n">
        <v>29.75</v>
      </c>
      <c r="AR3" s="5" t="n">
        <v>0</v>
      </c>
      <c r="AS3" s="5" t="n">
        <v>1.87</v>
      </c>
      <c r="AT3" s="5" t="n">
        <v>52.9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18.57</v>
      </c>
      <c r="BA3" s="5" t="n">
        <v>0</v>
      </c>
      <c r="BB3" s="5" t="n">
        <v>0</v>
      </c>
      <c r="BC3" s="5" t="n">
        <v>18.76</v>
      </c>
      <c r="BD3" s="5" t="n">
        <v>0</v>
      </c>
      <c r="BE3" s="5" t="n">
        <v>0</v>
      </c>
      <c r="BF3" s="5" t="n">
        <v>0</v>
      </c>
      <c r="BG3" s="5" t="n">
        <v>7.19</v>
      </c>
    </row>
    <row r="4">
      <c r="A4" s="41" t="inlineStr">
        <is>
          <t>Start Date</t>
        </is>
      </c>
      <c r="B4" s="2" t="n">
        <v>46266</v>
      </c>
      <c r="AB4" s="2" t="n">
        <v>46268</v>
      </c>
      <c r="AC4" s="5" t="n">
        <v>116.5</v>
      </c>
      <c r="AD4" s="5" t="n">
        <v>71.00999999999999</v>
      </c>
      <c r="AE4" s="5" t="n">
        <v>161.99</v>
      </c>
    </row>
    <row r="5">
      <c r="A5" s="41" t="inlineStr">
        <is>
          <t>End Date</t>
        </is>
      </c>
      <c r="B5" s="2" t="n">
        <v>46270</v>
      </c>
      <c r="AB5" s="2" t="n">
        <v>46269</v>
      </c>
      <c r="AC5" s="5" t="n">
        <v>58.25</v>
      </c>
      <c r="AD5" s="5" t="n">
        <v>71.00999999999999</v>
      </c>
      <c r="AE5" s="5" t="n">
        <v>161.99</v>
      </c>
    </row>
    <row r="6">
      <c r="A6" s="41" t="inlineStr">
        <is>
          <t>Category Scope</t>
        </is>
      </c>
      <c r="B6" t="inlineStr">
        <is>
          <t>All Categories</t>
        </is>
      </c>
      <c r="AB6" s="2" t="n">
        <v>46270</v>
      </c>
      <c r="AC6" s="5" t="n">
        <v>0</v>
      </c>
      <c r="AD6" s="5" t="n">
        <v>71.00999999999999</v>
      </c>
      <c r="AE6" s="5" t="n">
        <v>161.99</v>
      </c>
    </row>
    <row r="7">
      <c r="A7" s="41" t="inlineStr">
        <is>
          <t>Categories</t>
        </is>
      </c>
      <c r="B7" t="inlineStr">
        <is>
          <t>All Categories</t>
        </is>
      </c>
    </row>
    <row r="8">
      <c r="A8" s="41" t="inlineStr">
        <is>
          <t>Budget</t>
        </is>
      </c>
      <c r="B8" s="5" t="n">
        <v>233</v>
      </c>
    </row>
    <row r="9">
      <c r="A9" s="41" t="inlineStr">
        <is>
          <t>Total Spent</t>
        </is>
      </c>
      <c r="B9" s="5" t="n">
        <v>161.99</v>
      </c>
    </row>
    <row r="10">
      <c r="A10" s="41" t="inlineStr">
        <is>
          <t>Remaining Budget</t>
        </is>
      </c>
      <c r="B10" t="n">
        <v>71.00999999999999</v>
      </c>
    </row>
    <row r="11">
      <c r="A11" s="41" t="inlineStr">
        <is>
          <t>Relevant Date</t>
        </is>
      </c>
      <c r="B11" s="2" t="n">
        <v>46270</v>
      </c>
    </row>
    <row r="12">
      <c r="A12" s="41" t="inlineStr">
        <is>
          <t>Ideal Spending Through Relevant Date</t>
        </is>
      </c>
      <c r="B12" s="5" t="n">
        <v>233</v>
      </c>
    </row>
    <row r="13">
      <c r="A13" s="41" t="inlineStr">
        <is>
          <t>Actual Spending Through Relevant Date</t>
        </is>
      </c>
      <c r="B13" s="5" t="n">
        <v>161.99</v>
      </c>
    </row>
    <row r="14">
      <c r="A14" s="41" t="inlineStr">
        <is>
          <t>Ahead / Behind Budget</t>
        </is>
      </c>
      <c r="B14" t="inlineStr">
        <is>
          <t>Ahead by $71.01</t>
        </is>
      </c>
    </row>
    <row r="16" ht="19" customHeight="1" s="65">
      <c r="A16" s="42" t="inlineStr">
        <is>
          <t>Budget vs Category Spending</t>
        </is>
      </c>
    </row>
    <row r="18" ht="16" customHeight="1" s="65">
      <c r="J18" s="64" t="inlineStr">
        <is>
          <t>Category Key</t>
        </is>
      </c>
    </row>
    <row r="19">
      <c r="J19" s="40" t="inlineStr">
        <is>
          <t>#</t>
        </is>
      </c>
      <c r="K19" s="40" t="inlineStr">
        <is>
          <t>Category</t>
        </is>
      </c>
      <c r="L19" s="40" t="inlineStr">
        <is>
          <t>Spent</t>
        </is>
      </c>
    </row>
    <row r="20">
      <c r="J20" s="43" t="n">
        <v>1</v>
      </c>
      <c r="K20" t="inlineStr">
        <is>
          <t>Alcohol</t>
        </is>
      </c>
      <c r="L20" s="5" t="n">
        <v>0</v>
      </c>
    </row>
    <row r="21">
      <c r="J21" s="44" t="n">
        <v>2</v>
      </c>
      <c r="K21" t="inlineStr">
        <is>
          <t>Baby Care</t>
        </is>
      </c>
      <c r="L21" s="5" t="n">
        <v>0</v>
      </c>
    </row>
    <row r="22">
      <c r="J22" s="45" t="n">
        <v>3</v>
      </c>
      <c r="K22" t="inlineStr">
        <is>
          <t>Bakery</t>
        </is>
      </c>
      <c r="L22" s="5" t="n">
        <v>6.79</v>
      </c>
    </row>
    <row r="23">
      <c r="J23" s="46" t="n">
        <v>4</v>
      </c>
      <c r="K23" t="inlineStr">
        <is>
          <t>Balloons</t>
        </is>
      </c>
      <c r="L23" s="5" t="n">
        <v>0</v>
      </c>
    </row>
    <row r="24">
      <c r="J24" s="47" t="n">
        <v>5</v>
      </c>
      <c r="K24" t="inlineStr">
        <is>
          <t>Cakes &amp; Pies</t>
        </is>
      </c>
      <c r="L24" s="5" t="n">
        <v>0</v>
      </c>
    </row>
    <row r="25">
      <c r="J25" s="48" t="n">
        <v>6</v>
      </c>
      <c r="K25" t="inlineStr">
        <is>
          <t>Condiments &amp; Seasonings</t>
        </is>
      </c>
      <c r="L25" s="5" t="n">
        <v>0</v>
      </c>
    </row>
    <row r="26">
      <c r="J26" s="49" t="n">
        <v>7</v>
      </c>
      <c r="K26" t="inlineStr">
        <is>
          <t>Contribution</t>
        </is>
      </c>
      <c r="L26" s="5" t="n">
        <v>0</v>
      </c>
    </row>
    <row r="27">
      <c r="J27" s="50" t="n">
        <v>8</v>
      </c>
      <c r="K27" t="inlineStr">
        <is>
          <t>Dairy</t>
        </is>
      </c>
      <c r="L27" s="5" t="n">
        <v>26.16</v>
      </c>
    </row>
    <row r="28">
      <c r="J28" s="51" t="n">
        <v>9</v>
      </c>
      <c r="K28" t="inlineStr">
        <is>
          <t>Dessert</t>
        </is>
      </c>
      <c r="L28" s="5" t="n">
        <v>29.75</v>
      </c>
    </row>
    <row r="29">
      <c r="J29" s="52" t="n">
        <v>10</v>
      </c>
      <c r="K29" t="inlineStr">
        <is>
          <t>Eggs</t>
        </is>
      </c>
      <c r="L29" s="5" t="n">
        <v>0</v>
      </c>
    </row>
    <row r="30">
      <c r="J30" s="53" t="n">
        <v>11</v>
      </c>
      <c r="K30" t="inlineStr">
        <is>
          <t>Fees</t>
        </is>
      </c>
      <c r="L30" s="5" t="n">
        <v>1.87</v>
      </c>
    </row>
    <row r="31">
      <c r="J31" s="54" t="n">
        <v>12</v>
      </c>
      <c r="K31" t="inlineStr">
        <is>
          <t>Fish</t>
        </is>
      </c>
      <c r="L31" s="5" t="n">
        <v>52.9</v>
      </c>
    </row>
    <row r="32">
      <c r="J32" s="55" t="n">
        <v>13</v>
      </c>
      <c r="K32" t="inlineStr">
        <is>
          <t>Frozen</t>
        </is>
      </c>
      <c r="L32" s="5" t="n">
        <v>0</v>
      </c>
    </row>
    <row r="33">
      <c r="J33" s="56" t="n">
        <v>14</v>
      </c>
      <c r="K33" t="inlineStr">
        <is>
          <t>Frozen Food</t>
        </is>
      </c>
      <c r="L33" s="5" t="n">
        <v>0</v>
      </c>
    </row>
    <row r="34">
      <c r="J34" s="57" t="n">
        <v>15</v>
      </c>
      <c r="K34" t="inlineStr">
        <is>
          <t>Home Improvement</t>
        </is>
      </c>
      <c r="L34" s="5" t="n">
        <v>0</v>
      </c>
    </row>
    <row r="35">
      <c r="J35" s="58" t="n">
        <v>16</v>
      </c>
      <c r="K35" t="inlineStr">
        <is>
          <t>Meat</t>
        </is>
      </c>
      <c r="L35" s="5" t="n">
        <v>0</v>
      </c>
    </row>
    <row r="36">
      <c r="J36" s="59" t="n">
        <v>17</v>
      </c>
      <c r="K36" t="inlineStr">
        <is>
          <t>Office Supplies</t>
        </is>
      </c>
      <c r="L36" s="5" t="n">
        <v>0</v>
      </c>
    </row>
    <row r="37">
      <c r="J37" s="60" t="n">
        <v>18</v>
      </c>
      <c r="K37" t="inlineStr">
        <is>
          <t>Pantry</t>
        </is>
      </c>
      <c r="L37" s="5" t="n">
        <v>18.57</v>
      </c>
    </row>
    <row r="38">
      <c r="J38" s="61" t="n">
        <v>19</v>
      </c>
      <c r="K38" t="inlineStr">
        <is>
          <t>Pets</t>
        </is>
      </c>
      <c r="L38" s="5" t="n">
        <v>0</v>
      </c>
    </row>
    <row r="39">
      <c r="J39" s="62" t="n">
        <v>20</v>
      </c>
      <c r="K39" t="inlineStr">
        <is>
          <t>Prepared Eating</t>
        </is>
      </c>
      <c r="L39" s="5" t="n">
        <v>0</v>
      </c>
    </row>
    <row r="40">
      <c r="J40" s="43" t="n">
        <v>21</v>
      </c>
      <c r="K40" t="inlineStr">
        <is>
          <t>Produce</t>
        </is>
      </c>
      <c r="L40" s="5" t="n">
        <v>18.76</v>
      </c>
    </row>
    <row r="41">
      <c r="J41" s="44" t="n">
        <v>22</v>
      </c>
      <c r="K41" t="inlineStr">
        <is>
          <t>Self Care</t>
        </is>
      </c>
      <c r="L41" s="5" t="n">
        <v>0</v>
      </c>
    </row>
    <row r="42">
      <c r="J42" s="45" t="n">
        <v>23</v>
      </c>
      <c r="K42" t="inlineStr">
        <is>
          <t>Toiletries, Cleaning and Disposables</t>
        </is>
      </c>
      <c r="L42" s="5" t="n">
        <v>0</v>
      </c>
    </row>
    <row r="43">
      <c r="J43" s="46" t="n">
        <v>24</v>
      </c>
      <c r="K43" t="inlineStr">
        <is>
          <t>Torah</t>
        </is>
      </c>
      <c r="L43" s="5" t="n">
        <v>0</v>
      </c>
    </row>
    <row r="44">
      <c r="J44" s="47" t="n">
        <v>25</v>
      </c>
      <c r="K44" t="inlineStr">
        <is>
          <t>Wine</t>
        </is>
      </c>
      <c r="L44" s="5" t="n">
        <v>7.19</v>
      </c>
    </row>
    <row r="47">
      <c r="A47" s="66" t="inlineStr">
        <is>
      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      </is>
      </c>
    </row>
    <row r="48"/>
    <row r="49"/>
  </sheetData>
  <mergeCells count="3">
    <mergeCell ref="J18:L18"/>
    <mergeCell ref="A47:H4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49"/>
  <sheetViews>
    <sheetView showGridLines="0" workbookViewId="0">
      <selection activeCell="A1" sqref="A1"/>
    </sheetView>
  </sheetViews>
  <sheetFormatPr baseColWidth="10" defaultColWidth="8.83203125" defaultRowHeight="15"/>
  <cols>
    <col width="38" customWidth="1" style="65" min="1" max="1"/>
    <col width="48" customWidth="1" style="65" min="2" max="2"/>
    <col width="6" customWidth="1" style="65" min="10" max="10"/>
    <col width="28" customWidth="1" style="65" min="11" max="11"/>
    <col width="14" customWidth="1" style="65" min="12" max="12"/>
    <col width="16" customWidth="1" style="65" min="28" max="59"/>
  </cols>
  <sheetData>
    <row r="1" ht="24" customHeight="1" s="65">
      <c r="A1" s="67" t="inlineStr">
        <is>
          <t>9_26w2</t>
        </is>
      </c>
      <c r="AB1" s="40" t="inlineStr">
        <is>
          <t>Date</t>
        </is>
      </c>
      <c r="AC1" s="40" t="inlineStr">
        <is>
          <t>Ideal Remaining Budget</t>
        </is>
      </c>
      <c r="AD1" s="40" t="inlineStr">
        <is>
          <t>Actual Remaining Budget</t>
        </is>
      </c>
      <c r="AE1" s="40" t="inlineStr">
        <is>
          <t>Cumulative Spending</t>
        </is>
      </c>
      <c r="AG1" s="40" t="inlineStr">
        <is>
          <t>Comparison</t>
        </is>
      </c>
      <c r="AH1" s="40" t="inlineStr">
        <is>
          <t>Budget</t>
        </is>
      </c>
      <c r="AI1" s="40" t="inlineStr">
        <is>
          <t>1</t>
        </is>
      </c>
      <c r="AJ1" s="40" t="inlineStr">
        <is>
          <t>2</t>
        </is>
      </c>
      <c r="AK1" s="40" t="inlineStr">
        <is>
          <t>3</t>
        </is>
      </c>
      <c r="AL1" s="40" t="inlineStr">
        <is>
          <t>4</t>
        </is>
      </c>
      <c r="AM1" s="40" t="inlineStr">
        <is>
          <t>5</t>
        </is>
      </c>
      <c r="AN1" s="40" t="inlineStr">
        <is>
          <t>6</t>
        </is>
      </c>
      <c r="AO1" s="40" t="inlineStr">
        <is>
          <t>7</t>
        </is>
      </c>
      <c r="AP1" s="40" t="inlineStr">
        <is>
          <t>8</t>
        </is>
      </c>
      <c r="AQ1" s="40" t="inlineStr">
        <is>
          <t>9</t>
        </is>
      </c>
      <c r="AR1" s="40" t="inlineStr">
        <is>
          <t>10</t>
        </is>
      </c>
      <c r="AS1" s="40" t="inlineStr">
        <is>
          <t>11</t>
        </is>
      </c>
      <c r="AT1" s="40" t="inlineStr">
        <is>
          <t>12</t>
        </is>
      </c>
      <c r="AU1" s="40" t="inlineStr">
        <is>
          <t>13</t>
        </is>
      </c>
      <c r="AV1" s="40" t="inlineStr">
        <is>
          <t>14</t>
        </is>
      </c>
      <c r="AW1" s="40" t="inlineStr">
        <is>
          <t>15</t>
        </is>
      </c>
      <c r="AX1" s="40" t="inlineStr">
        <is>
          <t>16</t>
        </is>
      </c>
      <c r="AY1" s="40" t="inlineStr">
        <is>
          <t>17</t>
        </is>
      </c>
      <c r="AZ1" s="40" t="inlineStr">
        <is>
          <t>18</t>
        </is>
      </c>
      <c r="BA1" s="40" t="inlineStr">
        <is>
          <t>19</t>
        </is>
      </c>
      <c r="BB1" s="40" t="inlineStr">
        <is>
          <t>20</t>
        </is>
      </c>
      <c r="BC1" s="40" t="inlineStr">
        <is>
          <t>21</t>
        </is>
      </c>
      <c r="BD1" s="40" t="inlineStr">
        <is>
          <t>22</t>
        </is>
      </c>
      <c r="BE1" s="40" t="inlineStr">
        <is>
          <t>23</t>
        </is>
      </c>
      <c r="BF1" s="40" t="inlineStr">
        <is>
          <t>24</t>
        </is>
      </c>
      <c r="BG1" s="40" t="inlineStr">
        <is>
          <t>25</t>
        </is>
      </c>
    </row>
    <row r="2">
      <c r="AB2" s="2" t="n">
        <v>46271</v>
      </c>
      <c r="AC2" s="5" t="n">
        <v>326</v>
      </c>
      <c r="AD2" s="5" t="n">
        <v>228.87</v>
      </c>
      <c r="AE2" s="5" t="n">
        <v>97.13000000000001</v>
      </c>
      <c r="AG2" t="inlineStr">
        <is>
          <t>Budget</t>
        </is>
      </c>
      <c r="AH2" s="5" t="n">
        <v>326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</row>
    <row r="3">
      <c r="A3" s="41" t="inlineStr">
        <is>
          <t>Budget Plan</t>
        </is>
      </c>
      <c r="B3" t="inlineStr">
        <is>
          <t>9_26w2</t>
        </is>
      </c>
      <c r="AB3" s="2" t="n">
        <v>46272</v>
      </c>
      <c r="AC3" s="5" t="n">
        <v>271.6666666666667</v>
      </c>
      <c r="AD3" s="5" t="n">
        <v>12.67000000000002</v>
      </c>
      <c r="AE3" s="5" t="n">
        <v>313.33</v>
      </c>
      <c r="AG3" t="inlineStr">
        <is>
          <t>Spent</t>
        </is>
      </c>
      <c r="AH3" s="5" t="n">
        <v>0</v>
      </c>
      <c r="AI3" s="5" t="n">
        <v>0</v>
      </c>
      <c r="AJ3" s="5" t="n">
        <v>0</v>
      </c>
      <c r="AK3" s="5" t="n">
        <v>15.77</v>
      </c>
      <c r="AL3" s="5" t="n">
        <v>0</v>
      </c>
      <c r="AM3" s="5" t="n">
        <v>0</v>
      </c>
      <c r="AN3" s="5" t="n">
        <v>7.17</v>
      </c>
      <c r="AO3" s="5" t="n">
        <v>0</v>
      </c>
      <c r="AP3" s="5" t="n">
        <v>38.53</v>
      </c>
      <c r="AQ3" s="5" t="n">
        <v>6.960000000000001</v>
      </c>
      <c r="AR3" s="5" t="n">
        <v>3.32</v>
      </c>
      <c r="AS3" s="5" t="n">
        <v>1.56</v>
      </c>
      <c r="AT3" s="5" t="n">
        <v>8</v>
      </c>
      <c r="AU3" s="5" t="n">
        <v>0</v>
      </c>
      <c r="AV3" s="5" t="n">
        <v>12.78</v>
      </c>
      <c r="AW3" s="5" t="n">
        <v>0</v>
      </c>
      <c r="AX3" s="5" t="n">
        <v>104.83</v>
      </c>
      <c r="AY3" s="5" t="n">
        <v>0</v>
      </c>
      <c r="AZ3" s="5" t="n">
        <v>0.99</v>
      </c>
      <c r="BA3" s="5" t="n">
        <v>0</v>
      </c>
      <c r="BB3" s="5" t="n">
        <v>69.19999999999999</v>
      </c>
      <c r="BC3" s="5" t="n">
        <v>46.66</v>
      </c>
      <c r="BD3" s="5" t="n">
        <v>6.97</v>
      </c>
      <c r="BE3" s="5" t="n">
        <v>3.89</v>
      </c>
      <c r="BF3" s="5" t="n">
        <v>0</v>
      </c>
      <c r="BG3" s="5" t="n">
        <v>0</v>
      </c>
    </row>
    <row r="4">
      <c r="A4" s="41" t="inlineStr">
        <is>
          <t>Start Date</t>
        </is>
      </c>
      <c r="B4" s="2" t="n">
        <v>46271</v>
      </c>
      <c r="AB4" s="2" t="n">
        <v>46273</v>
      </c>
      <c r="AC4" s="5" t="n">
        <v>217.3333333333334</v>
      </c>
      <c r="AD4" s="5" t="n">
        <v>12.67000000000002</v>
      </c>
      <c r="AE4" s="5" t="n">
        <v>313.33</v>
      </c>
    </row>
    <row r="5">
      <c r="A5" s="41" t="inlineStr">
        <is>
          <t>End Date</t>
        </is>
      </c>
      <c r="B5" s="2" t="n">
        <v>46277</v>
      </c>
      <c r="AB5" s="2" t="n">
        <v>46274</v>
      </c>
      <c r="AC5" s="5" t="n">
        <v>163</v>
      </c>
      <c r="AD5" s="5" t="n">
        <v>-0.6299999999999955</v>
      </c>
      <c r="AE5" s="5" t="n">
        <v>326.63</v>
      </c>
    </row>
    <row r="6">
      <c r="A6" s="41" t="inlineStr">
        <is>
          <t>Category Scope</t>
        </is>
      </c>
      <c r="B6" t="inlineStr">
        <is>
          <t>All Categories</t>
        </is>
      </c>
      <c r="AB6" s="2" t="n">
        <v>46275</v>
      </c>
      <c r="AC6" s="5" t="n">
        <v>108.6666666666667</v>
      </c>
      <c r="AD6" s="5" t="n">
        <v>-0.6299999999999955</v>
      </c>
      <c r="AE6" s="5" t="n">
        <v>326.63</v>
      </c>
    </row>
    <row r="7">
      <c r="A7" s="41" t="inlineStr">
        <is>
          <t>Categories</t>
        </is>
      </c>
      <c r="B7" t="inlineStr">
        <is>
          <t>All Categories</t>
        </is>
      </c>
      <c r="AB7" s="2" t="n">
        <v>46276</v>
      </c>
      <c r="AC7" s="5" t="n">
        <v>54.33333333333332</v>
      </c>
      <c r="AD7" s="5" t="n">
        <v>-0.6299999999999955</v>
      </c>
      <c r="AE7" s="5" t="n">
        <v>326.63</v>
      </c>
    </row>
    <row r="8">
      <c r="A8" s="41" t="inlineStr">
        <is>
          <t>Budget</t>
        </is>
      </c>
      <c r="B8" s="5" t="n">
        <v>326</v>
      </c>
      <c r="AB8" s="2" t="n">
        <v>46277</v>
      </c>
      <c r="AC8" s="5" t="n">
        <v>0</v>
      </c>
      <c r="AD8" s="5" t="n">
        <v>-0.6299999999999955</v>
      </c>
      <c r="AE8" s="5" t="n">
        <v>326.63</v>
      </c>
    </row>
    <row r="9">
      <c r="A9" s="41" t="inlineStr">
        <is>
          <t>Total Spent</t>
        </is>
      </c>
      <c r="B9" s="5" t="n">
        <v>326.63</v>
      </c>
    </row>
    <row r="10">
      <c r="A10" s="41" t="inlineStr">
        <is>
          <t>Remaining Budget</t>
        </is>
      </c>
      <c r="B10" t="n">
        <v>-0.6299999999999955</v>
      </c>
    </row>
    <row r="11">
      <c r="A11" s="41" t="inlineStr">
        <is>
          <t>Relevant Date</t>
        </is>
      </c>
      <c r="B11" s="2" t="n">
        <v>46277</v>
      </c>
    </row>
    <row r="12">
      <c r="A12" s="41" t="inlineStr">
        <is>
          <t>Ideal Spending Through Relevant Date</t>
        </is>
      </c>
      <c r="B12" s="5" t="n">
        <v>326</v>
      </c>
    </row>
    <row r="13">
      <c r="A13" s="41" t="inlineStr">
        <is>
          <t>Actual Spending Through Relevant Date</t>
        </is>
      </c>
      <c r="B13" s="5" t="n">
        <v>326.63</v>
      </c>
    </row>
    <row r="14">
      <c r="A14" s="41" t="inlineStr">
        <is>
          <t>Ahead / Behind Budget</t>
        </is>
      </c>
      <c r="B14" t="inlineStr">
        <is>
          <t>Behind by $0.63</t>
        </is>
      </c>
    </row>
    <row r="16" ht="19" customHeight="1" s="65">
      <c r="A16" s="42" t="inlineStr">
        <is>
          <t>Budget vs Category Spending</t>
        </is>
      </c>
    </row>
    <row r="18" ht="16" customHeight="1" s="65">
      <c r="J18" s="64" t="inlineStr">
        <is>
          <t>Category Key</t>
        </is>
      </c>
    </row>
    <row r="19">
      <c r="J19" s="40" t="inlineStr">
        <is>
          <t>#</t>
        </is>
      </c>
      <c r="K19" s="40" t="inlineStr">
        <is>
          <t>Category</t>
        </is>
      </c>
      <c r="L19" s="40" t="inlineStr">
        <is>
          <t>Spent</t>
        </is>
      </c>
    </row>
    <row r="20">
      <c r="J20" s="43" t="n">
        <v>1</v>
      </c>
      <c r="K20" t="inlineStr">
        <is>
          <t>Alcohol</t>
        </is>
      </c>
      <c r="L20" s="5" t="n">
        <v>0</v>
      </c>
    </row>
    <row r="21">
      <c r="J21" s="44" t="n">
        <v>2</v>
      </c>
      <c r="K21" t="inlineStr">
        <is>
          <t>Baby Care</t>
        </is>
      </c>
      <c r="L21" s="5" t="n">
        <v>0</v>
      </c>
    </row>
    <row r="22">
      <c r="J22" s="45" t="n">
        <v>3</v>
      </c>
      <c r="K22" t="inlineStr">
        <is>
          <t>Bakery</t>
        </is>
      </c>
      <c r="L22" s="5" t="n">
        <v>15.77</v>
      </c>
    </row>
    <row r="23">
      <c r="J23" s="46" t="n">
        <v>4</v>
      </c>
      <c r="K23" t="inlineStr">
        <is>
          <t>Balloons</t>
        </is>
      </c>
      <c r="L23" s="5" t="n">
        <v>0</v>
      </c>
    </row>
    <row r="24">
      <c r="J24" s="47" t="n">
        <v>5</v>
      </c>
      <c r="K24" t="inlineStr">
        <is>
          <t>Cakes &amp; Pies</t>
        </is>
      </c>
      <c r="L24" s="5" t="n">
        <v>0</v>
      </c>
    </row>
    <row r="25">
      <c r="J25" s="48" t="n">
        <v>6</v>
      </c>
      <c r="K25" t="inlineStr">
        <is>
          <t>Condiments &amp; Seasonings</t>
        </is>
      </c>
      <c r="L25" s="5" t="n">
        <v>7.17</v>
      </c>
    </row>
    <row r="26">
      <c r="J26" s="49" t="n">
        <v>7</v>
      </c>
      <c r="K26" t="inlineStr">
        <is>
          <t>Contribution</t>
        </is>
      </c>
      <c r="L26" s="5" t="n">
        <v>0</v>
      </c>
    </row>
    <row r="27">
      <c r="J27" s="50" t="n">
        <v>8</v>
      </c>
      <c r="K27" t="inlineStr">
        <is>
          <t>Dairy</t>
        </is>
      </c>
      <c r="L27" s="5" t="n">
        <v>38.53</v>
      </c>
    </row>
    <row r="28">
      <c r="J28" s="51" t="n">
        <v>9</v>
      </c>
      <c r="K28" t="inlineStr">
        <is>
          <t>Dessert</t>
        </is>
      </c>
      <c r="L28" s="5" t="n">
        <v>6.960000000000001</v>
      </c>
    </row>
    <row r="29">
      <c r="J29" s="52" t="n">
        <v>10</v>
      </c>
      <c r="K29" t="inlineStr">
        <is>
          <t>Eggs</t>
        </is>
      </c>
      <c r="L29" s="5" t="n">
        <v>3.32</v>
      </c>
    </row>
    <row r="30">
      <c r="J30" s="53" t="n">
        <v>11</v>
      </c>
      <c r="K30" t="inlineStr">
        <is>
          <t>Fees</t>
        </is>
      </c>
      <c r="L30" s="5" t="n">
        <v>1.56</v>
      </c>
    </row>
    <row r="31">
      <c r="J31" s="54" t="n">
        <v>12</v>
      </c>
      <c r="K31" t="inlineStr">
        <is>
          <t>Fish</t>
        </is>
      </c>
      <c r="L31" s="5" t="n">
        <v>8</v>
      </c>
    </row>
    <row r="32">
      <c r="J32" s="55" t="n">
        <v>13</v>
      </c>
      <c r="K32" t="inlineStr">
        <is>
          <t>Frozen</t>
        </is>
      </c>
      <c r="L32" s="5" t="n">
        <v>0</v>
      </c>
    </row>
    <row r="33">
      <c r="J33" s="56" t="n">
        <v>14</v>
      </c>
      <c r="K33" t="inlineStr">
        <is>
          <t>Frozen Food</t>
        </is>
      </c>
      <c r="L33" s="5" t="n">
        <v>12.78</v>
      </c>
    </row>
    <row r="34">
      <c r="J34" s="57" t="n">
        <v>15</v>
      </c>
      <c r="K34" t="inlineStr">
        <is>
          <t>Home Improvement</t>
        </is>
      </c>
      <c r="L34" s="5" t="n">
        <v>0</v>
      </c>
    </row>
    <row r="35">
      <c r="J35" s="58" t="n">
        <v>16</v>
      </c>
      <c r="K35" t="inlineStr">
        <is>
          <t>Meat</t>
        </is>
      </c>
      <c r="L35" s="5" t="n">
        <v>104.83</v>
      </c>
    </row>
    <row r="36">
      <c r="J36" s="59" t="n">
        <v>17</v>
      </c>
      <c r="K36" t="inlineStr">
        <is>
          <t>Office Supplies</t>
        </is>
      </c>
      <c r="L36" s="5" t="n">
        <v>0</v>
      </c>
    </row>
    <row r="37">
      <c r="J37" s="60" t="n">
        <v>18</v>
      </c>
      <c r="K37" t="inlineStr">
        <is>
          <t>Pantry</t>
        </is>
      </c>
      <c r="L37" s="5" t="n">
        <v>0.99</v>
      </c>
    </row>
    <row r="38">
      <c r="J38" s="61" t="n">
        <v>19</v>
      </c>
      <c r="K38" t="inlineStr">
        <is>
          <t>Pets</t>
        </is>
      </c>
      <c r="L38" s="5" t="n">
        <v>0</v>
      </c>
    </row>
    <row r="39">
      <c r="J39" s="62" t="n">
        <v>20</v>
      </c>
      <c r="K39" t="inlineStr">
        <is>
          <t>Prepared Eating</t>
        </is>
      </c>
      <c r="L39" s="5" t="n">
        <v>69.19999999999999</v>
      </c>
    </row>
    <row r="40">
      <c r="J40" s="43" t="n">
        <v>21</v>
      </c>
      <c r="K40" t="inlineStr">
        <is>
          <t>Produce</t>
        </is>
      </c>
      <c r="L40" s="5" t="n">
        <v>46.66</v>
      </c>
    </row>
    <row r="41">
      <c r="J41" s="44" t="n">
        <v>22</v>
      </c>
      <c r="K41" t="inlineStr">
        <is>
          <t>Self Care</t>
        </is>
      </c>
      <c r="L41" s="5" t="n">
        <v>6.97</v>
      </c>
    </row>
    <row r="42">
      <c r="J42" s="45" t="n">
        <v>23</v>
      </c>
      <c r="K42" t="inlineStr">
        <is>
          <t>Toiletries, Cleaning and Disposables</t>
        </is>
      </c>
      <c r="L42" s="5" t="n">
        <v>3.89</v>
      </c>
    </row>
    <row r="43">
      <c r="J43" s="46" t="n">
        <v>24</v>
      </c>
      <c r="K43" t="inlineStr">
        <is>
          <t>Torah</t>
        </is>
      </c>
      <c r="L43" s="5" t="n">
        <v>0</v>
      </c>
    </row>
    <row r="44">
      <c r="J44" s="47" t="n">
        <v>25</v>
      </c>
      <c r="K44" t="inlineStr">
        <is>
          <t>Wine</t>
        </is>
      </c>
      <c r="L44" s="5" t="n">
        <v>0</v>
      </c>
    </row>
    <row r="47">
      <c r="A47" s="66" t="inlineStr">
        <is>
      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      </is>
      </c>
    </row>
    <row r="48"/>
    <row r="49"/>
  </sheetData>
  <mergeCells count="3">
    <mergeCell ref="J18:L18"/>
    <mergeCell ref="A47:H4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49"/>
  <sheetViews>
    <sheetView showGridLines="0" workbookViewId="0">
      <selection activeCell="A1" sqref="A1"/>
    </sheetView>
  </sheetViews>
  <sheetFormatPr baseColWidth="10" defaultColWidth="8.83203125" defaultRowHeight="15"/>
  <cols>
    <col width="38" customWidth="1" style="65" min="1" max="1"/>
    <col width="48" customWidth="1" style="65" min="2" max="2"/>
    <col width="6" customWidth="1" style="65" min="10" max="10"/>
    <col width="28" customWidth="1" style="65" min="11" max="11"/>
    <col width="14" customWidth="1" style="65" min="12" max="12"/>
    <col width="16" customWidth="1" style="65" min="28" max="59"/>
  </cols>
  <sheetData>
    <row r="1" ht="24" customHeight="1" s="65">
      <c r="A1" s="67" t="inlineStr">
        <is>
          <t>9_26w3</t>
        </is>
      </c>
      <c r="AB1" s="40" t="inlineStr">
        <is>
          <t>Date</t>
        </is>
      </c>
      <c r="AC1" s="40" t="inlineStr">
        <is>
          <t>Ideal Remaining Budget</t>
        </is>
      </c>
      <c r="AD1" s="40" t="inlineStr">
        <is>
          <t>Actual Remaining Budget</t>
        </is>
      </c>
      <c r="AE1" s="40" t="inlineStr">
        <is>
          <t>Cumulative Spending</t>
        </is>
      </c>
      <c r="AG1" s="40" t="inlineStr">
        <is>
          <t>Comparison</t>
        </is>
      </c>
      <c r="AH1" s="40" t="inlineStr">
        <is>
          <t>Budget</t>
        </is>
      </c>
      <c r="AI1" s="40" t="inlineStr">
        <is>
          <t>1</t>
        </is>
      </c>
      <c r="AJ1" s="40" t="inlineStr">
        <is>
          <t>2</t>
        </is>
      </c>
      <c r="AK1" s="40" t="inlineStr">
        <is>
          <t>3</t>
        </is>
      </c>
      <c r="AL1" s="40" t="inlineStr">
        <is>
          <t>4</t>
        </is>
      </c>
      <c r="AM1" s="40" t="inlineStr">
        <is>
          <t>5</t>
        </is>
      </c>
      <c r="AN1" s="40" t="inlineStr">
        <is>
          <t>6</t>
        </is>
      </c>
      <c r="AO1" s="40" t="inlineStr">
        <is>
          <t>7</t>
        </is>
      </c>
      <c r="AP1" s="40" t="inlineStr">
        <is>
          <t>8</t>
        </is>
      </c>
      <c r="AQ1" s="40" t="inlineStr">
        <is>
          <t>9</t>
        </is>
      </c>
      <c r="AR1" s="40" t="inlineStr">
        <is>
          <t>10</t>
        </is>
      </c>
      <c r="AS1" s="40" t="inlineStr">
        <is>
          <t>11</t>
        </is>
      </c>
      <c r="AT1" s="40" t="inlineStr">
        <is>
          <t>12</t>
        </is>
      </c>
      <c r="AU1" s="40" t="inlineStr">
        <is>
          <t>13</t>
        </is>
      </c>
      <c r="AV1" s="40" t="inlineStr">
        <is>
          <t>14</t>
        </is>
      </c>
      <c r="AW1" s="40" t="inlineStr">
        <is>
          <t>15</t>
        </is>
      </c>
      <c r="AX1" s="40" t="inlineStr">
        <is>
          <t>16</t>
        </is>
      </c>
      <c r="AY1" s="40" t="inlineStr">
        <is>
          <t>17</t>
        </is>
      </c>
      <c r="AZ1" s="40" t="inlineStr">
        <is>
          <t>18</t>
        </is>
      </c>
      <c r="BA1" s="40" t="inlineStr">
        <is>
          <t>19</t>
        </is>
      </c>
      <c r="BB1" s="40" t="inlineStr">
        <is>
          <t>20</t>
        </is>
      </c>
      <c r="BC1" s="40" t="inlineStr">
        <is>
          <t>21</t>
        </is>
      </c>
      <c r="BD1" s="40" t="inlineStr">
        <is>
          <t>22</t>
        </is>
      </c>
      <c r="BE1" s="40" t="inlineStr">
        <is>
          <t>23</t>
        </is>
      </c>
      <c r="BF1" s="40" t="inlineStr">
        <is>
          <t>24</t>
        </is>
      </c>
      <c r="BG1" s="40" t="inlineStr">
        <is>
          <t>25</t>
        </is>
      </c>
    </row>
    <row r="2">
      <c r="AB2" s="2" t="n">
        <v>46278</v>
      </c>
      <c r="AC2" s="5" t="n">
        <v>326</v>
      </c>
      <c r="AD2" s="5" t="n">
        <v>168.2699999999999</v>
      </c>
      <c r="AE2" s="5" t="n">
        <v>157.7300000000001</v>
      </c>
      <c r="AG2" t="inlineStr">
        <is>
          <t>Budget</t>
        </is>
      </c>
      <c r="AH2" s="5" t="n">
        <v>326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</row>
    <row r="3">
      <c r="A3" s="41" t="inlineStr">
        <is>
          <t>Budget Plan</t>
        </is>
      </c>
      <c r="B3" t="inlineStr">
        <is>
          <t>9_26w3</t>
        </is>
      </c>
      <c r="AB3" s="2" t="n">
        <v>46279</v>
      </c>
      <c r="AC3" s="5" t="n">
        <v>271.6666666666667</v>
      </c>
      <c r="AD3" s="5" t="n">
        <v>168.2699999999999</v>
      </c>
      <c r="AE3" s="5" t="n">
        <v>157.7300000000001</v>
      </c>
      <c r="AG3" t="inlineStr">
        <is>
          <t>Spent</t>
        </is>
      </c>
      <c r="AH3" s="5" t="n">
        <v>0</v>
      </c>
      <c r="AI3" s="5" t="n">
        <v>17.87</v>
      </c>
      <c r="AJ3" s="5" t="n">
        <v>12.99</v>
      </c>
      <c r="AK3" s="5" t="n">
        <v>9.25</v>
      </c>
      <c r="AL3" s="5" t="n">
        <v>3.99</v>
      </c>
      <c r="AM3" s="5" t="n">
        <v>19.48</v>
      </c>
      <c r="AN3" s="5" t="n">
        <v>13.91</v>
      </c>
      <c r="AO3" s="5" t="n">
        <v>-144.14</v>
      </c>
      <c r="AP3" s="5" t="n">
        <v>73.19</v>
      </c>
      <c r="AQ3" s="5" t="n">
        <v>0</v>
      </c>
      <c r="AR3" s="5" t="n">
        <v>4.88</v>
      </c>
      <c r="AS3" s="5" t="n">
        <v>27.26</v>
      </c>
      <c r="AT3" s="5" t="n">
        <v>0</v>
      </c>
      <c r="AU3" s="5" t="n">
        <v>0</v>
      </c>
      <c r="AV3" s="5" t="n">
        <v>1.27</v>
      </c>
      <c r="AW3" s="5" t="n">
        <v>0</v>
      </c>
      <c r="AX3" s="5" t="n">
        <v>5.74</v>
      </c>
      <c r="AY3" s="5" t="n">
        <v>0</v>
      </c>
      <c r="AZ3" s="5" t="n">
        <v>57.37</v>
      </c>
      <c r="BA3" s="5" t="n">
        <v>25.94</v>
      </c>
      <c r="BB3" s="5" t="n">
        <v>2.59</v>
      </c>
      <c r="BC3" s="5" t="n">
        <v>62.38999999999999</v>
      </c>
      <c r="BD3" s="5" t="n">
        <v>22.25</v>
      </c>
      <c r="BE3" s="5" t="n">
        <v>26.65</v>
      </c>
      <c r="BF3" s="5" t="n">
        <v>0</v>
      </c>
      <c r="BG3" s="5" t="n">
        <v>7.19</v>
      </c>
    </row>
    <row r="4">
      <c r="A4" s="41" t="inlineStr">
        <is>
          <t>Start Date</t>
        </is>
      </c>
      <c r="B4" s="2" t="n">
        <v>46278</v>
      </c>
      <c r="AB4" s="2" t="n">
        <v>46280</v>
      </c>
      <c r="AC4" s="5" t="n">
        <v>217.3333333333334</v>
      </c>
      <c r="AD4" s="5" t="n">
        <v>168.2699999999999</v>
      </c>
      <c r="AE4" s="5" t="n">
        <v>157.7300000000001</v>
      </c>
    </row>
    <row r="5">
      <c r="A5" s="41" t="inlineStr">
        <is>
          <t>End Date</t>
        </is>
      </c>
      <c r="B5" s="2" t="n">
        <v>46284</v>
      </c>
      <c r="AB5" s="2" t="n">
        <v>46281</v>
      </c>
      <c r="AC5" s="5" t="n">
        <v>163</v>
      </c>
      <c r="AD5" s="5" t="n">
        <v>168.2699999999999</v>
      </c>
      <c r="AE5" s="5" t="n">
        <v>157.7300000000001</v>
      </c>
    </row>
    <row r="6">
      <c r="A6" s="41" t="inlineStr">
        <is>
          <t>Category Scope</t>
        </is>
      </c>
      <c r="B6" t="inlineStr">
        <is>
          <t>All Categories</t>
        </is>
      </c>
      <c r="AB6" s="2" t="n">
        <v>46282</v>
      </c>
      <c r="AC6" s="5" t="n">
        <v>108.6666666666667</v>
      </c>
      <c r="AD6" s="5" t="n">
        <v>165.6799999999999</v>
      </c>
      <c r="AE6" s="5" t="n">
        <v>160.3200000000001</v>
      </c>
    </row>
    <row r="7">
      <c r="A7" s="41" t="inlineStr">
        <is>
          <t>Categories</t>
        </is>
      </c>
      <c r="B7" t="inlineStr">
        <is>
          <t>All Categories</t>
        </is>
      </c>
      <c r="AB7" s="2" t="n">
        <v>46283</v>
      </c>
      <c r="AC7" s="5" t="n">
        <v>54.33333333333332</v>
      </c>
      <c r="AD7" s="5" t="n">
        <v>102.6499999999999</v>
      </c>
      <c r="AE7" s="5" t="n">
        <v>223.3500000000001</v>
      </c>
    </row>
    <row r="8">
      <c r="A8" s="41" t="inlineStr">
        <is>
          <t>Budget</t>
        </is>
      </c>
      <c r="B8" s="5" t="n">
        <v>326</v>
      </c>
      <c r="AB8" s="2" t="n">
        <v>46284</v>
      </c>
      <c r="AC8" s="5" t="n">
        <v>0</v>
      </c>
      <c r="AD8" s="5" t="n">
        <v>75.92999999999992</v>
      </c>
      <c r="AE8" s="5" t="n">
        <v>250.0700000000001</v>
      </c>
    </row>
    <row r="9">
      <c r="A9" s="41" t="inlineStr">
        <is>
          <t>Total Spent</t>
        </is>
      </c>
      <c r="B9" s="5" t="n">
        <v>250.0700000000001</v>
      </c>
    </row>
    <row r="10">
      <c r="A10" s="41" t="inlineStr">
        <is>
          <t>Remaining Budget</t>
        </is>
      </c>
      <c r="B10" t="n">
        <v>75.92999999999992</v>
      </c>
    </row>
    <row r="11">
      <c r="A11" s="41" t="inlineStr">
        <is>
          <t>Relevant Date</t>
        </is>
      </c>
      <c r="B11" s="2" t="n">
        <v>46284</v>
      </c>
    </row>
    <row r="12">
      <c r="A12" s="41" t="inlineStr">
        <is>
          <t>Ideal Spending Through Relevant Date</t>
        </is>
      </c>
      <c r="B12" s="5" t="n">
        <v>326</v>
      </c>
    </row>
    <row r="13">
      <c r="A13" s="41" t="inlineStr">
        <is>
          <t>Actual Spending Through Relevant Date</t>
        </is>
      </c>
      <c r="B13" s="5" t="n">
        <v>250.0700000000001</v>
      </c>
    </row>
    <row r="14">
      <c r="A14" s="41" t="inlineStr">
        <is>
          <t>Ahead / Behind Budget</t>
        </is>
      </c>
      <c r="B14" t="inlineStr">
        <is>
          <t>Ahead by $75.93</t>
        </is>
      </c>
    </row>
    <row r="16" ht="19" customHeight="1" s="65">
      <c r="A16" s="42" t="inlineStr">
        <is>
          <t>Budget vs Category Spending</t>
        </is>
      </c>
    </row>
    <row r="18" ht="16" customHeight="1" s="65">
      <c r="J18" s="64" t="inlineStr">
        <is>
          <t>Category Key</t>
        </is>
      </c>
    </row>
    <row r="19">
      <c r="J19" s="40" t="inlineStr">
        <is>
          <t>#</t>
        </is>
      </c>
      <c r="K19" s="40" t="inlineStr">
        <is>
          <t>Category</t>
        </is>
      </c>
      <c r="L19" s="40" t="inlineStr">
        <is>
          <t>Spent</t>
        </is>
      </c>
    </row>
    <row r="20">
      <c r="J20" s="43" t="n">
        <v>1</v>
      </c>
      <c r="K20" t="inlineStr">
        <is>
          <t>Alcohol</t>
        </is>
      </c>
      <c r="L20" s="5" t="n">
        <v>17.87</v>
      </c>
    </row>
    <row r="21">
      <c r="J21" s="44" t="n">
        <v>2</v>
      </c>
      <c r="K21" t="inlineStr">
        <is>
          <t>Baby Care</t>
        </is>
      </c>
      <c r="L21" s="5" t="n">
        <v>12.99</v>
      </c>
    </row>
    <row r="22">
      <c r="J22" s="45" t="n">
        <v>3</v>
      </c>
      <c r="K22" t="inlineStr">
        <is>
          <t>Bakery</t>
        </is>
      </c>
      <c r="L22" s="5" t="n">
        <v>9.25</v>
      </c>
    </row>
    <row r="23">
      <c r="J23" s="46" t="n">
        <v>4</v>
      </c>
      <c r="K23" t="inlineStr">
        <is>
          <t>Balloons</t>
        </is>
      </c>
      <c r="L23" s="5" t="n">
        <v>3.99</v>
      </c>
    </row>
    <row r="24">
      <c r="J24" s="47" t="n">
        <v>5</v>
      </c>
      <c r="K24" t="inlineStr">
        <is>
          <t>Cakes &amp; Pies</t>
        </is>
      </c>
      <c r="L24" s="5" t="n">
        <v>19.48</v>
      </c>
    </row>
    <row r="25">
      <c r="J25" s="48" t="n">
        <v>6</v>
      </c>
      <c r="K25" t="inlineStr">
        <is>
          <t>Condiments &amp; Seasonings</t>
        </is>
      </c>
      <c r="L25" s="5" t="n">
        <v>13.91</v>
      </c>
    </row>
    <row r="26">
      <c r="J26" s="49" t="n">
        <v>7</v>
      </c>
      <c r="K26" t="inlineStr">
        <is>
          <t>Contribution</t>
        </is>
      </c>
      <c r="L26" s="5" t="n">
        <v>-144.14</v>
      </c>
    </row>
    <row r="27">
      <c r="J27" s="50" t="n">
        <v>8</v>
      </c>
      <c r="K27" t="inlineStr">
        <is>
          <t>Dairy</t>
        </is>
      </c>
      <c r="L27" s="5" t="n">
        <v>73.19</v>
      </c>
    </row>
    <row r="28">
      <c r="J28" s="51" t="n">
        <v>9</v>
      </c>
      <c r="K28" t="inlineStr">
        <is>
          <t>Dessert</t>
        </is>
      </c>
      <c r="L28" s="5" t="n">
        <v>0</v>
      </c>
    </row>
    <row r="29">
      <c r="J29" s="52" t="n">
        <v>10</v>
      </c>
      <c r="K29" t="inlineStr">
        <is>
          <t>Eggs</t>
        </is>
      </c>
      <c r="L29" s="5" t="n">
        <v>4.88</v>
      </c>
    </row>
    <row r="30">
      <c r="J30" s="53" t="n">
        <v>11</v>
      </c>
      <c r="K30" t="inlineStr">
        <is>
          <t>Fees</t>
        </is>
      </c>
      <c r="L30" s="5" t="n">
        <v>27.26</v>
      </c>
    </row>
    <row r="31">
      <c r="J31" s="54" t="n">
        <v>12</v>
      </c>
      <c r="K31" t="inlineStr">
        <is>
          <t>Fish</t>
        </is>
      </c>
      <c r="L31" s="5" t="n">
        <v>0</v>
      </c>
    </row>
    <row r="32">
      <c r="J32" s="55" t="n">
        <v>13</v>
      </c>
      <c r="K32" t="inlineStr">
        <is>
          <t>Frozen</t>
        </is>
      </c>
      <c r="L32" s="5" t="n">
        <v>0</v>
      </c>
    </row>
    <row r="33">
      <c r="J33" s="56" t="n">
        <v>14</v>
      </c>
      <c r="K33" t="inlineStr">
        <is>
          <t>Frozen Food</t>
        </is>
      </c>
      <c r="L33" s="5" t="n">
        <v>1.27</v>
      </c>
    </row>
    <row r="34">
      <c r="J34" s="57" t="n">
        <v>15</v>
      </c>
      <c r="K34" t="inlineStr">
        <is>
          <t>Home Improvement</t>
        </is>
      </c>
      <c r="L34" s="5" t="n">
        <v>0</v>
      </c>
    </row>
    <row r="35">
      <c r="J35" s="58" t="n">
        <v>16</v>
      </c>
      <c r="K35" t="inlineStr">
        <is>
          <t>Meat</t>
        </is>
      </c>
      <c r="L35" s="5" t="n">
        <v>5.74</v>
      </c>
    </row>
    <row r="36">
      <c r="J36" s="59" t="n">
        <v>17</v>
      </c>
      <c r="K36" t="inlineStr">
        <is>
          <t>Office Supplies</t>
        </is>
      </c>
      <c r="L36" s="5" t="n">
        <v>0</v>
      </c>
    </row>
    <row r="37">
      <c r="J37" s="60" t="n">
        <v>18</v>
      </c>
      <c r="K37" t="inlineStr">
        <is>
          <t>Pantry</t>
        </is>
      </c>
      <c r="L37" s="5" t="n">
        <v>57.37</v>
      </c>
    </row>
    <row r="38">
      <c r="J38" s="61" t="n">
        <v>19</v>
      </c>
      <c r="K38" t="inlineStr">
        <is>
          <t>Pets</t>
        </is>
      </c>
      <c r="L38" s="5" t="n">
        <v>25.94</v>
      </c>
    </row>
    <row r="39">
      <c r="J39" s="62" t="n">
        <v>20</v>
      </c>
      <c r="K39" t="inlineStr">
        <is>
          <t>Prepared Eating</t>
        </is>
      </c>
      <c r="L39" s="5" t="n">
        <v>2.59</v>
      </c>
    </row>
    <row r="40">
      <c r="J40" s="43" t="n">
        <v>21</v>
      </c>
      <c r="K40" t="inlineStr">
        <is>
          <t>Produce</t>
        </is>
      </c>
      <c r="L40" s="5" t="n">
        <v>62.38999999999999</v>
      </c>
    </row>
    <row r="41">
      <c r="J41" s="44" t="n">
        <v>22</v>
      </c>
      <c r="K41" t="inlineStr">
        <is>
          <t>Self Care</t>
        </is>
      </c>
      <c r="L41" s="5" t="n">
        <v>22.25</v>
      </c>
    </row>
    <row r="42">
      <c r="J42" s="45" t="n">
        <v>23</v>
      </c>
      <c r="K42" t="inlineStr">
        <is>
          <t>Toiletries, Cleaning and Disposables</t>
        </is>
      </c>
      <c r="L42" s="5" t="n">
        <v>26.65</v>
      </c>
    </row>
    <row r="43">
      <c r="J43" s="46" t="n">
        <v>24</v>
      </c>
      <c r="K43" t="inlineStr">
        <is>
          <t>Torah</t>
        </is>
      </c>
      <c r="L43" s="5" t="n">
        <v>0</v>
      </c>
    </row>
    <row r="44">
      <c r="J44" s="47" t="n">
        <v>25</v>
      </c>
      <c r="K44" t="inlineStr">
        <is>
          <t>Wine</t>
        </is>
      </c>
      <c r="L44" s="5" t="n">
        <v>7.19</v>
      </c>
    </row>
    <row r="47">
      <c r="A47" s="66" t="inlineStr">
        <is>
      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      </is>
      </c>
    </row>
    <row r="48"/>
    <row r="49"/>
  </sheetData>
  <mergeCells count="3">
    <mergeCell ref="J18:L18"/>
    <mergeCell ref="A47:H4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49"/>
  <sheetViews>
    <sheetView showGridLines="0" workbookViewId="0">
      <selection activeCell="A1" sqref="A1"/>
    </sheetView>
  </sheetViews>
  <sheetFormatPr baseColWidth="10" defaultColWidth="8.83203125" defaultRowHeight="15"/>
  <cols>
    <col width="38" customWidth="1" style="65" min="1" max="1"/>
    <col width="48" customWidth="1" style="65" min="2" max="2"/>
    <col width="6" customWidth="1" style="65" min="10" max="10"/>
    <col width="28" customWidth="1" style="65" min="11" max="11"/>
    <col width="14" customWidth="1" style="65" min="12" max="12"/>
    <col width="16" customWidth="1" style="65" min="28" max="59"/>
  </cols>
  <sheetData>
    <row r="1" ht="24" customHeight="1" s="65">
      <c r="A1" s="67" t="inlineStr">
        <is>
          <t>9_26w4</t>
        </is>
      </c>
      <c r="AB1" s="40" t="inlineStr">
        <is>
          <t>Date</t>
        </is>
      </c>
      <c r="AC1" s="40" t="inlineStr">
        <is>
          <t>Ideal Remaining Budget</t>
        </is>
      </c>
      <c r="AD1" s="40" t="inlineStr">
        <is>
          <t>Actual Remaining Budget</t>
        </is>
      </c>
      <c r="AE1" s="40" t="inlineStr">
        <is>
          <t>Cumulative Spending</t>
        </is>
      </c>
      <c r="AG1" s="40" t="inlineStr">
        <is>
          <t>Comparison</t>
        </is>
      </c>
      <c r="AH1" s="40" t="inlineStr">
        <is>
          <t>Budget</t>
        </is>
      </c>
      <c r="AI1" s="40" t="inlineStr">
        <is>
          <t>1</t>
        </is>
      </c>
      <c r="AJ1" s="40" t="inlineStr">
        <is>
          <t>2</t>
        </is>
      </c>
      <c r="AK1" s="40" t="inlineStr">
        <is>
          <t>3</t>
        </is>
      </c>
      <c r="AL1" s="40" t="inlineStr">
        <is>
          <t>4</t>
        </is>
      </c>
      <c r="AM1" s="40" t="inlineStr">
        <is>
          <t>5</t>
        </is>
      </c>
      <c r="AN1" s="40" t="inlineStr">
        <is>
          <t>6</t>
        </is>
      </c>
      <c r="AO1" s="40" t="inlineStr">
        <is>
          <t>7</t>
        </is>
      </c>
      <c r="AP1" s="40" t="inlineStr">
        <is>
          <t>8</t>
        </is>
      </c>
      <c r="AQ1" s="40" t="inlineStr">
        <is>
          <t>9</t>
        </is>
      </c>
      <c r="AR1" s="40" t="inlineStr">
        <is>
          <t>10</t>
        </is>
      </c>
      <c r="AS1" s="40" t="inlineStr">
        <is>
          <t>11</t>
        </is>
      </c>
      <c r="AT1" s="40" t="inlineStr">
        <is>
          <t>12</t>
        </is>
      </c>
      <c r="AU1" s="40" t="inlineStr">
        <is>
          <t>13</t>
        </is>
      </c>
      <c r="AV1" s="40" t="inlineStr">
        <is>
          <t>14</t>
        </is>
      </c>
      <c r="AW1" s="40" t="inlineStr">
        <is>
          <t>15</t>
        </is>
      </c>
      <c r="AX1" s="40" t="inlineStr">
        <is>
          <t>16</t>
        </is>
      </c>
      <c r="AY1" s="40" t="inlineStr">
        <is>
          <t>17</t>
        </is>
      </c>
      <c r="AZ1" s="40" t="inlineStr">
        <is>
          <t>18</t>
        </is>
      </c>
      <c r="BA1" s="40" t="inlineStr">
        <is>
          <t>19</t>
        </is>
      </c>
      <c r="BB1" s="40" t="inlineStr">
        <is>
          <t>20</t>
        </is>
      </c>
      <c r="BC1" s="40" t="inlineStr">
        <is>
          <t>21</t>
        </is>
      </c>
      <c r="BD1" s="40" t="inlineStr">
        <is>
          <t>22</t>
        </is>
      </c>
      <c r="BE1" s="40" t="inlineStr">
        <is>
          <t>23</t>
        </is>
      </c>
      <c r="BF1" s="40" t="inlineStr">
        <is>
          <t>24</t>
        </is>
      </c>
      <c r="BG1" s="40" t="inlineStr">
        <is>
          <t>25</t>
        </is>
      </c>
    </row>
    <row r="2">
      <c r="AB2" s="2" t="n">
        <v>46285</v>
      </c>
      <c r="AC2" s="5" t="n">
        <v>326</v>
      </c>
      <c r="AD2" s="5" t="n">
        <v>279.21</v>
      </c>
      <c r="AE2" s="5" t="n">
        <v>46.79</v>
      </c>
      <c r="AG2" t="inlineStr">
        <is>
          <t>Budget</t>
        </is>
      </c>
      <c r="AH2" s="5" t="n">
        <v>326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</row>
    <row r="3">
      <c r="A3" s="41" t="inlineStr">
        <is>
          <t>Budget Plan</t>
        </is>
      </c>
      <c r="B3" t="inlineStr">
        <is>
          <t>9_26w4</t>
        </is>
      </c>
      <c r="AB3" s="2" t="n">
        <v>46286</v>
      </c>
      <c r="AC3" s="5" t="n">
        <v>271.6666666666667</v>
      </c>
      <c r="AD3" s="5" t="n">
        <v>279.21</v>
      </c>
      <c r="AE3" s="5" t="n">
        <v>46.79</v>
      </c>
      <c r="AG3" t="inlineStr">
        <is>
          <t>Spent</t>
        </is>
      </c>
      <c r="AH3" s="5" t="n">
        <v>0</v>
      </c>
      <c r="AI3" s="5" t="n">
        <v>0</v>
      </c>
      <c r="AJ3" s="5" t="n">
        <v>46.79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</row>
    <row r="4">
      <c r="A4" s="41" t="inlineStr">
        <is>
          <t>Start Date</t>
        </is>
      </c>
      <c r="B4" s="2" t="n">
        <v>46285</v>
      </c>
      <c r="AB4" s="2" t="n">
        <v>46287</v>
      </c>
      <c r="AC4" s="5" t="n">
        <v>217.3333333333334</v>
      </c>
      <c r="AD4" s="5" t="n">
        <v>279.21</v>
      </c>
      <c r="AE4" s="5" t="n">
        <v>46.79</v>
      </c>
    </row>
    <row r="5">
      <c r="A5" s="41" t="inlineStr">
        <is>
          <t>End Date</t>
        </is>
      </c>
      <c r="B5" s="2" t="n">
        <v>46291</v>
      </c>
      <c r="AB5" s="2" t="n">
        <v>46288</v>
      </c>
      <c r="AC5" s="5" t="n">
        <v>163</v>
      </c>
      <c r="AD5" s="5" t="n">
        <v>279.21</v>
      </c>
      <c r="AE5" s="5" t="n">
        <v>46.79</v>
      </c>
    </row>
    <row r="6">
      <c r="A6" s="41" t="inlineStr">
        <is>
          <t>Category Scope</t>
        </is>
      </c>
      <c r="B6" t="inlineStr">
        <is>
          <t>All Categories</t>
        </is>
      </c>
      <c r="AB6" s="2" t="n">
        <v>46289</v>
      </c>
      <c r="AC6" s="5" t="n">
        <v>108.6666666666667</v>
      </c>
      <c r="AD6" s="5" t="n">
        <v>279.21</v>
      </c>
      <c r="AE6" s="5" t="n">
        <v>46.79</v>
      </c>
    </row>
    <row r="7">
      <c r="A7" s="41" t="inlineStr">
        <is>
          <t>Categories</t>
        </is>
      </c>
      <c r="B7" t="inlineStr">
        <is>
          <t>All Categories</t>
        </is>
      </c>
      <c r="AB7" s="2" t="n">
        <v>46290</v>
      </c>
      <c r="AC7" s="5" t="n">
        <v>54.33333333333332</v>
      </c>
      <c r="AD7" s="5" t="n">
        <v>279.21</v>
      </c>
      <c r="AE7" s="5" t="n">
        <v>46.79</v>
      </c>
    </row>
    <row r="8">
      <c r="A8" s="41" t="inlineStr">
        <is>
          <t>Budget</t>
        </is>
      </c>
      <c r="B8" s="5" t="n">
        <v>326</v>
      </c>
      <c r="AB8" s="2" t="n">
        <v>46291</v>
      </c>
      <c r="AC8" s="5" t="n">
        <v>0</v>
      </c>
      <c r="AD8" s="5" t="n">
        <v>279.21</v>
      </c>
      <c r="AE8" s="5" t="n">
        <v>46.79</v>
      </c>
    </row>
    <row r="9">
      <c r="A9" s="41" t="inlineStr">
        <is>
          <t>Total Spent</t>
        </is>
      </c>
      <c r="B9" s="5" t="n">
        <v>46.79</v>
      </c>
    </row>
    <row r="10">
      <c r="A10" s="41" t="inlineStr">
        <is>
          <t>Remaining Budget</t>
        </is>
      </c>
      <c r="B10" t="n">
        <v>279.21</v>
      </c>
    </row>
    <row r="11">
      <c r="A11" s="41" t="inlineStr">
        <is>
          <t>Relevant Date</t>
        </is>
      </c>
      <c r="B11" s="2" t="n">
        <v>46285</v>
      </c>
    </row>
    <row r="12">
      <c r="A12" s="41" t="inlineStr">
        <is>
          <t>Ideal Spending Through Relevant Date</t>
        </is>
      </c>
      <c r="B12" s="5" t="n">
        <v>0</v>
      </c>
    </row>
    <row r="13">
      <c r="A13" s="41" t="inlineStr">
        <is>
          <t>Actual Spending Through Relevant Date</t>
        </is>
      </c>
      <c r="B13" s="5" t="n">
        <v>46.79</v>
      </c>
    </row>
    <row r="14">
      <c r="A14" s="41" t="inlineStr">
        <is>
          <t>Ahead / Behind Budget</t>
        </is>
      </c>
      <c r="B14" t="inlineStr">
        <is>
          <t>Behind by $46.79</t>
        </is>
      </c>
    </row>
    <row r="16" ht="19" customHeight="1" s="65">
      <c r="A16" s="42" t="inlineStr">
        <is>
          <t>Budget vs Category Spending</t>
        </is>
      </c>
    </row>
    <row r="18" ht="16" customHeight="1" s="65">
      <c r="J18" s="64" t="inlineStr">
        <is>
          <t>Category Key</t>
        </is>
      </c>
    </row>
    <row r="19">
      <c r="J19" s="40" t="inlineStr">
        <is>
          <t>#</t>
        </is>
      </c>
      <c r="K19" s="40" t="inlineStr">
        <is>
          <t>Category</t>
        </is>
      </c>
      <c r="L19" s="40" t="inlineStr">
        <is>
          <t>Spent</t>
        </is>
      </c>
    </row>
    <row r="20">
      <c r="J20" s="43" t="n">
        <v>1</v>
      </c>
      <c r="K20" t="inlineStr">
        <is>
          <t>Alcohol</t>
        </is>
      </c>
      <c r="L20" s="5" t="n">
        <v>0</v>
      </c>
    </row>
    <row r="21">
      <c r="J21" s="44" t="n">
        <v>2</v>
      </c>
      <c r="K21" t="inlineStr">
        <is>
          <t>Baby Care</t>
        </is>
      </c>
      <c r="L21" s="5" t="n">
        <v>46.79</v>
      </c>
    </row>
    <row r="22">
      <c r="J22" s="45" t="n">
        <v>3</v>
      </c>
      <c r="K22" t="inlineStr">
        <is>
          <t>Bakery</t>
        </is>
      </c>
      <c r="L22" s="5" t="n">
        <v>0</v>
      </c>
    </row>
    <row r="23">
      <c r="J23" s="46" t="n">
        <v>4</v>
      </c>
      <c r="K23" t="inlineStr">
        <is>
          <t>Balloons</t>
        </is>
      </c>
      <c r="L23" s="5" t="n">
        <v>0</v>
      </c>
    </row>
    <row r="24">
      <c r="J24" s="47" t="n">
        <v>5</v>
      </c>
      <c r="K24" t="inlineStr">
        <is>
          <t>Cakes &amp; Pies</t>
        </is>
      </c>
      <c r="L24" s="5" t="n">
        <v>0</v>
      </c>
    </row>
    <row r="25">
      <c r="J25" s="48" t="n">
        <v>6</v>
      </c>
      <c r="K25" t="inlineStr">
        <is>
          <t>Condiments &amp; Seasonings</t>
        </is>
      </c>
      <c r="L25" s="5" t="n">
        <v>0</v>
      </c>
    </row>
    <row r="26">
      <c r="J26" s="49" t="n">
        <v>7</v>
      </c>
      <c r="K26" t="inlineStr">
        <is>
          <t>Contribution</t>
        </is>
      </c>
      <c r="L26" s="5" t="n">
        <v>0</v>
      </c>
    </row>
    <row r="27">
      <c r="J27" s="50" t="n">
        <v>8</v>
      </c>
      <c r="K27" t="inlineStr">
        <is>
          <t>Dairy</t>
        </is>
      </c>
      <c r="L27" s="5" t="n">
        <v>0</v>
      </c>
    </row>
    <row r="28">
      <c r="J28" s="51" t="n">
        <v>9</v>
      </c>
      <c r="K28" t="inlineStr">
        <is>
          <t>Dessert</t>
        </is>
      </c>
      <c r="L28" s="5" t="n">
        <v>0</v>
      </c>
    </row>
    <row r="29">
      <c r="J29" s="52" t="n">
        <v>10</v>
      </c>
      <c r="K29" t="inlineStr">
        <is>
          <t>Eggs</t>
        </is>
      </c>
      <c r="L29" s="5" t="n">
        <v>0</v>
      </c>
    </row>
    <row r="30">
      <c r="J30" s="53" t="n">
        <v>11</v>
      </c>
      <c r="K30" t="inlineStr">
        <is>
          <t>Fees</t>
        </is>
      </c>
      <c r="L30" s="5" t="n">
        <v>0</v>
      </c>
    </row>
    <row r="31">
      <c r="J31" s="54" t="n">
        <v>12</v>
      </c>
      <c r="K31" t="inlineStr">
        <is>
          <t>Fish</t>
        </is>
      </c>
      <c r="L31" s="5" t="n">
        <v>0</v>
      </c>
    </row>
    <row r="32">
      <c r="J32" s="55" t="n">
        <v>13</v>
      </c>
      <c r="K32" t="inlineStr">
        <is>
          <t>Frozen</t>
        </is>
      </c>
      <c r="L32" s="5" t="n">
        <v>0</v>
      </c>
    </row>
    <row r="33">
      <c r="J33" s="56" t="n">
        <v>14</v>
      </c>
      <c r="K33" t="inlineStr">
        <is>
          <t>Frozen Food</t>
        </is>
      </c>
      <c r="L33" s="5" t="n">
        <v>0</v>
      </c>
    </row>
    <row r="34">
      <c r="J34" s="57" t="n">
        <v>15</v>
      </c>
      <c r="K34" t="inlineStr">
        <is>
          <t>Home Improvement</t>
        </is>
      </c>
      <c r="L34" s="5" t="n">
        <v>0</v>
      </c>
    </row>
    <row r="35">
      <c r="J35" s="58" t="n">
        <v>16</v>
      </c>
      <c r="K35" t="inlineStr">
        <is>
          <t>Meat</t>
        </is>
      </c>
      <c r="L35" s="5" t="n">
        <v>0</v>
      </c>
    </row>
    <row r="36">
      <c r="J36" s="59" t="n">
        <v>17</v>
      </c>
      <c r="K36" t="inlineStr">
        <is>
          <t>Office Supplies</t>
        </is>
      </c>
      <c r="L36" s="5" t="n">
        <v>0</v>
      </c>
    </row>
    <row r="37">
      <c r="J37" s="60" t="n">
        <v>18</v>
      </c>
      <c r="K37" t="inlineStr">
        <is>
          <t>Pantry</t>
        </is>
      </c>
      <c r="L37" s="5" t="n">
        <v>0</v>
      </c>
    </row>
    <row r="38">
      <c r="J38" s="61" t="n">
        <v>19</v>
      </c>
      <c r="K38" t="inlineStr">
        <is>
          <t>Pets</t>
        </is>
      </c>
      <c r="L38" s="5" t="n">
        <v>0</v>
      </c>
    </row>
    <row r="39">
      <c r="J39" s="62" t="n">
        <v>20</v>
      </c>
      <c r="K39" t="inlineStr">
        <is>
          <t>Prepared Eating</t>
        </is>
      </c>
      <c r="L39" s="5" t="n">
        <v>0</v>
      </c>
    </row>
    <row r="40">
      <c r="J40" s="43" t="n">
        <v>21</v>
      </c>
      <c r="K40" t="inlineStr">
        <is>
          <t>Produce</t>
        </is>
      </c>
      <c r="L40" s="5" t="n">
        <v>0</v>
      </c>
    </row>
    <row r="41">
      <c r="J41" s="44" t="n">
        <v>22</v>
      </c>
      <c r="K41" t="inlineStr">
        <is>
          <t>Self Care</t>
        </is>
      </c>
      <c r="L41" s="5" t="n">
        <v>0</v>
      </c>
    </row>
    <row r="42">
      <c r="J42" s="45" t="n">
        <v>23</v>
      </c>
      <c r="K42" t="inlineStr">
        <is>
          <t>Toiletries, Cleaning and Disposables</t>
        </is>
      </c>
      <c r="L42" s="5" t="n">
        <v>0</v>
      </c>
    </row>
    <row r="43">
      <c r="J43" s="46" t="n">
        <v>24</v>
      </c>
      <c r="K43" t="inlineStr">
        <is>
          <t>Torah</t>
        </is>
      </c>
      <c r="L43" s="5" t="n">
        <v>0</v>
      </c>
    </row>
    <row r="44">
      <c r="J44" s="47" t="n">
        <v>25</v>
      </c>
      <c r="K44" t="inlineStr">
        <is>
          <t>Wine</t>
        </is>
      </c>
      <c r="L44" s="5" t="n">
        <v>0</v>
      </c>
    </row>
    <row r="47">
      <c r="A47" s="66" t="inlineStr">
        <is>
      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      </is>
      </c>
    </row>
    <row r="48"/>
    <row r="49"/>
  </sheetData>
  <mergeCells count="3">
    <mergeCell ref="J18:L18"/>
    <mergeCell ref="A47:H49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2026-08-26T22:04:37Z</dcterms:created>
  <dcterms:modified xmlns:dcterms="http://purl.org/dc/terms/" xmlns:xsi="http://www.w3.org/2001/XMLSchema-instance" xsi:type="dcterms:W3CDTF">2026-10-05T01:28:38Z</dcterms:modified>
  <cp:lastModifiedBy>garzoncarlosandres@gmail.com</cp:lastModifiedBy>
</cp:coreProperties>
</file>