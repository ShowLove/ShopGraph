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3_ncr:1_{DEEC37D8-F518-234F-95EA-1217A1CCF8D4}" xr6:coauthVersionLast="47" xr6:coauthVersionMax="47" xr10:uidLastSave="{00000000-0000-0000-0000-000000000000}"/>
  <bookViews>
    <workbookView xWindow="940" yWindow="760" windowWidth="33620" windowHeight="21580" xr2:uid="{00000000-000D-0000-FFFF-FFFF00000000}"/>
  </bookViews>
  <sheets>
    <sheet name="Purchase History" sheetId="1" r:id="rId1"/>
    <sheet name="Analytics" sheetId="2" r:id="rId2"/>
    <sheet name="_AnalyticsData" sheetId="3" state="hidden" r:id="rId3"/>
    <sheet name="Imported Receipts" sheetId="4" state="hidden" r:id="rId4"/>
  </sheets>
  <definedNames>
    <definedName name="_xlnm._FilterDatabase" localSheetId="0" hidden="1">'Purchase History'!$A$1:$S$122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" i="1" l="1"/>
  <c r="A124" i="1"/>
  <c r="A125" i="1"/>
  <c r="A126" i="1"/>
  <c r="A127" i="1"/>
  <c r="A128" i="1"/>
  <c r="A129" i="1"/>
  <c r="A130" i="1"/>
  <c r="A131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<sst xmlns="http://schemas.openxmlformats.org/spreadsheetml/2006/main" count="1412" uniqueCount="408">
  <si>
    <t>Total</t>
  </si>
  <si>
    <t>Store</t>
  </si>
  <si>
    <t>Six-Digit SKU</t>
  </si>
  <si>
    <t>Product</t>
  </si>
  <si>
    <t>Tax Code</t>
  </si>
  <si>
    <t>Store Number</t>
  </si>
  <si>
    <t>Common Name</t>
  </si>
  <si>
    <t>Category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</si>
  <si>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</si>
  <si>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</si>
  <si>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</si>
  <si>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</si>
  <si>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</si>
  <si>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</si>
  <si>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</si>
  <si>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</si>
  <si>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</si>
  <si>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</si>
  <si>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Publix</t>
  </si>
  <si>
    <t>NA</t>
  </si>
  <si>
    <t>Stony Yobaby Pouch Peach</t>
  </si>
  <si>
    <t>F</t>
  </si>
  <si>
    <t>1058</t>
  </si>
  <si>
    <t>Stonyfield Organic YoBaby Yogurt Pouch, Peach</t>
  </si>
  <si>
    <t>Yogurt</t>
  </si>
  <si>
    <t>Stony Yobaby Pouch Banana</t>
  </si>
  <si>
    <t>Stonyfield Organic YoBaby Yogurt Pouch, Banana</t>
  </si>
  <si>
    <t>Sweet Loren's Gf Brownie</t>
  </si>
  <si>
    <t>Sweet Loren's Gluten Free Brownie Cookie Dough</t>
  </si>
  <si>
    <t>Refrigerated Dough</t>
  </si>
  <si>
    <t>Vans Waffle Blueberry Gf</t>
  </si>
  <si>
    <t>Van's Gluten Free Blueberry Waffles</t>
  </si>
  <si>
    <t>Frozen Breakfast</t>
  </si>
  <si>
    <t>Chobani 4Pk Hero Batch</t>
  </si>
  <si>
    <t>Chobani Greek Yogurt 4-Pack, Hero Batch</t>
  </si>
  <si>
    <t>Silk Soy Organic Nsa Hg</t>
  </si>
  <si>
    <t>Silk Organic Unsweet Soymilk, Half Gallon</t>
  </si>
  <si>
    <t>Plant-Based Milk</t>
  </si>
  <si>
    <t>Publix Half&amp;Half Hg</t>
  </si>
  <si>
    <t>Publix Half &amp; Half, Half Gallon</t>
  </si>
  <si>
    <t>Cream &amp; Half-and-Half</t>
  </si>
  <si>
    <t>Aldi</t>
  </si>
  <si>
    <t>383212</t>
  </si>
  <si>
    <t>GF Wide Pan Bread</t>
  </si>
  <si>
    <t>160</t>
  </si>
  <si>
    <t>Gluten-Free Wide Pan Bread</t>
  </si>
  <si>
    <t>Bread</t>
  </si>
  <si>
    <t>356691</t>
  </si>
  <si>
    <t>Zucchini</t>
  </si>
  <si>
    <t>Fresh Vegetables</t>
  </si>
  <si>
    <t>356689</t>
  </si>
  <si>
    <t>Yellow Squash</t>
  </si>
  <si>
    <t>356421</t>
  </si>
  <si>
    <t>Medley Potatoes</t>
  </si>
  <si>
    <t>356537</t>
  </si>
  <si>
    <t>Cilantro</t>
  </si>
  <si>
    <t>Fresh Herbs</t>
  </si>
  <si>
    <t>856508</t>
  </si>
  <si>
    <t>Broccoli Crowns</t>
  </si>
  <si>
    <t>356496</t>
  </si>
  <si>
    <t>Beefsteak Tomatoes</t>
  </si>
  <si>
    <t>344280</t>
  </si>
  <si>
    <t>Cauli Crust Pizza</t>
  </si>
  <si>
    <t>Cauliflower Crust Pizza</t>
  </si>
  <si>
    <t>Frozen Pizza</t>
  </si>
  <si>
    <t>356427</t>
  </si>
  <si>
    <t>Multi-Peppers 3pk</t>
  </si>
  <si>
    <t>Multi-Color Peppers, 3-Pack</t>
  </si>
  <si>
    <t>356591</t>
  </si>
  <si>
    <t>Pink Lady Apple</t>
  </si>
  <si>
    <t>Pink Lady Apples</t>
  </si>
  <si>
    <t>Fresh Fruit</t>
  </si>
  <si>
    <t>356488</t>
  </si>
  <si>
    <t>Baby Carrots</t>
  </si>
  <si>
    <t>341979</t>
  </si>
  <si>
    <t>Pine/Water Spears</t>
  </si>
  <si>
    <t>Pineapple &amp; Watermelon Spears</t>
  </si>
  <si>
    <t>Fresh-Cut Fruit</t>
  </si>
  <si>
    <t>356504</t>
  </si>
  <si>
    <t>Blueberries</t>
  </si>
  <si>
    <t>356374</t>
  </si>
  <si>
    <t>Golden Kiwi</t>
  </si>
  <si>
    <t>343738</t>
  </si>
  <si>
    <t>Humus Mini Cups</t>
  </si>
  <si>
    <t>Hummus Mini Cups</t>
  </si>
  <si>
    <t>Dips &amp; Spreads</t>
  </si>
  <si>
    <t>LesserEvil Popcorn</t>
  </si>
  <si>
    <t>Popcorn</t>
  </si>
  <si>
    <t>262747</t>
  </si>
  <si>
    <t>Bananas LRW</t>
  </si>
  <si>
    <t>Bananas</t>
  </si>
  <si>
    <t>328752</t>
  </si>
  <si>
    <t>Fruit &amp; Grain Bars</t>
  </si>
  <si>
    <t>Snack Bars</t>
  </si>
  <si>
    <t>856609</t>
  </si>
  <si>
    <t>Red Onions</t>
  </si>
  <si>
    <t>739153</t>
  </si>
  <si>
    <t>Organic Chickpeas</t>
  </si>
  <si>
    <t>Canned Beans &amp; Legumes</t>
  </si>
  <si>
    <t>381343</t>
  </si>
  <si>
    <t>Dark Red Kidney</t>
  </si>
  <si>
    <t>Dark Red Kidney Beans</t>
  </si>
  <si>
    <t>381359</t>
  </si>
  <si>
    <t>Vinaigrette Drssng</t>
  </si>
  <si>
    <t>Vinaigrette Dressing</t>
  </si>
  <si>
    <t>Salad Dressing</t>
  </si>
  <si>
    <t>356578</t>
  </si>
  <si>
    <t>Parsley each</t>
  </si>
  <si>
    <t>Parsley</t>
  </si>
  <si>
    <t>400462</t>
  </si>
  <si>
    <t>OG Croutons</t>
  </si>
  <si>
    <t>Organic Croutons</t>
  </si>
  <si>
    <t>Croutons</t>
  </si>
  <si>
    <t>344583</t>
  </si>
  <si>
    <t>Evryd Plate 8.5in</t>
  </si>
  <si>
    <t>Everyday Paper Plates, 8.5 Inch</t>
  </si>
  <si>
    <t>Disposable Tableware</t>
  </si>
  <si>
    <t>384545</t>
  </si>
  <si>
    <t>NO Honey Wheat Brd</t>
  </si>
  <si>
    <t>No [or possibly Nature's Own] Honey Wheat Bread</t>
  </si>
  <si>
    <t>730325</t>
  </si>
  <si>
    <t>3pk_Gel Pens</t>
  </si>
  <si>
    <t>Gel Pens, 3-Pack</t>
  </si>
  <si>
    <t>Writing Supplies</t>
  </si>
  <si>
    <t>720921</t>
  </si>
  <si>
    <t>PB Toast Crackers FA</t>
  </si>
  <si>
    <t>Peanut Butter Toast Crackers</t>
  </si>
  <si>
    <t>Crackers</t>
  </si>
  <si>
    <t>383548</t>
  </si>
  <si>
    <t>Goat Cheese Logs</t>
  </si>
  <si>
    <t>Specialty Cheese</t>
  </si>
  <si>
    <t>713372</t>
  </si>
  <si>
    <t>Feta Crumbles</t>
  </si>
  <si>
    <t>Feta Cheese Crumbles</t>
  </si>
  <si>
    <t>CollapsibleStorage</t>
  </si>
  <si>
    <t>Collapsible Storage Container/Bin</t>
  </si>
  <si>
    <t>Storage &amp; Organization</t>
  </si>
  <si>
    <t>Trader Joe's</t>
  </si>
  <si>
    <t>EMPIRE KOSHER GROUND TRK</t>
  </si>
  <si>
    <t>0848</t>
  </si>
  <si>
    <t>Empire Kosher Ground Turkey</t>
  </si>
  <si>
    <t>Fresh Poultry</t>
  </si>
  <si>
    <t>R-STRAWBERRIES 1 LB</t>
  </si>
  <si>
    <t>Strawberries, 1 lb</t>
  </si>
  <si>
    <t>FIRE ROASTED RED PEPPERS</t>
  </si>
  <si>
    <t>Fire Roasted Red Peppers</t>
  </si>
  <si>
    <t>Jarred Vegetables</t>
  </si>
  <si>
    <t>PASTA CHICKPEA FUSILLI</t>
  </si>
  <si>
    <t>Chickpea Fusilli Pasta</t>
  </si>
  <si>
    <t>Pasta</t>
  </si>
  <si>
    <t>MUFFIN BLUEBERRY GLUTEN</t>
  </si>
  <si>
    <t>Gluten-Free Blueberry Muffins</t>
  </si>
  <si>
    <t>Muffins &amp; Pastries</t>
  </si>
  <si>
    <t>Honey Pineapple</t>
  </si>
  <si>
    <t>1 Caramel Macchiato</t>
  </si>
  <si>
    <t>Prepared Coffee</t>
  </si>
  <si>
    <t>1 Iced Caramel Macchiato</t>
  </si>
  <si>
    <t>1 Frenchy Plate</t>
  </si>
  <si>
    <t>LF</t>
  </si>
  <si>
    <t>Prepared Meals</t>
  </si>
  <si>
    <t>1 Chicken N French Toast</t>
  </si>
  <si>
    <t>T</t>
  </si>
  <si>
    <t>Tax</t>
  </si>
  <si>
    <t>Fees &amp; Charges</t>
  </si>
  <si>
    <t>Tip</t>
  </si>
  <si>
    <t>Walmart</t>
  </si>
  <si>
    <t>Safety 1 Soft Grip Brush &amp; Comb, Artic Blue</t>
  </si>
  <si>
    <t>0</t>
  </si>
  <si>
    <t>The Honest Company Conditioning Detangler Sweet Cream Comfort 4 floz</t>
  </si>
  <si>
    <t>Dairy</t>
  </si>
  <si>
    <t>Nestle Toll House Organic Allergen Free Dark Chocolate Regular Baking Chips, Morsels for Baking, 9 oz Bag</t>
  </si>
  <si>
    <t>Snacks</t>
  </si>
  <si>
    <t>GHIRARDELLI Gluten Free Double Chocolate Brownie Mix, Gluten Free Baking Mix, Includes Chocolate Chips, 18 oz Box 20 shopped Qty1</t>
  </si>
  <si>
    <t>Purina Tidy Cats With Glade Clear Springs Scented, Odor Control, Clumping Multi-Cat Litter 20 shopped Qty2</t>
  </si>
  <si>
    <t>Pet</t>
  </si>
  <si>
    <t>Lawry's Kosher Coarse Ground With Parsley Garlic Salt, 6.0 oz Bottle</t>
  </si>
  <si>
    <t>Meat &amp; Seafood</t>
  </si>
  <si>
    <t>Huggies Natural Care Sensitive Baby Wipes, Unscented, 3 Flip-Top Packs, 168 Count 20 shopped Qty1</t>
  </si>
  <si>
    <t>Baby</t>
  </si>
  <si>
    <t>Pampers Swaddlers Fragrance Free Baby Diapers Size 5, 100 Count (Select for More Options) 20 shopped Qty1</t>
  </si>
  <si>
    <t>Chobani Oatmilk Extra Creamy 52 floz Carton 20 shopped aty1</t>
  </si>
  <si>
    <t>Desitin Maximum Strength Diaper Rash Cream, 40% Zinc Oxide, 4.8 oz</t>
  </si>
  <si>
    <t>fairlife Lactose Free Reduced Fat Chocolate Ultra Filtered Milk, 52 floz</t>
  </si>
  <si>
    <t>Nestle Toll House Dark Chocolate Regular Baking Chips, 10 oz Bag 20 shopped Qty1</t>
  </si>
  <si>
    <t>Dove Body Wash For 24hr Lotion-Soft Skin Sensitive Skin Moisturizing Skin Cleanser Gentle Hypoallergenic Formula With</t>
  </si>
  <si>
    <t>No Sulfates No Parabens, 11 Floz</t>
  </si>
  <si>
    <t>Great Value Large White Eggs 36 Count 20 shopped Qty1</t>
  </si>
  <si>
    <t>Chobani 20G Protein Low-Fat Greek Yogurt Drink, Strawberries and Cream 10 fl oz Bottle, 4 Pack</t>
  </si>
  <si>
    <t>Produce</t>
  </si>
  <si>
    <t>McCormick Sea Salt Grinder, oz Bottle 20 shopped aty1</t>
  </si>
  <si>
    <t>Fresh Mandarin Oranges, 5 lb Bag 20 shopped Qty1</t>
  </si>
  <si>
    <t>Fresh Pink Lady Apples, 3lb Bag 20 shopped Qty1</t>
  </si>
  <si>
    <t>Fresh Banana, Each 7 weight adjusted Qty7</t>
  </si>
  <si>
    <t>CeraVe Baby Healing Ointment for Diaper Rash &amp; Cracked Chafed Dry Skin for Baby + Toddler 3 oz</t>
  </si>
  <si>
    <t>Driver tip</t>
  </si>
  <si>
    <t>3 hours orless</t>
  </si>
  <si>
    <t>diff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</si>
  <si>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</si>
  <si>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</si>
  <si>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</si>
  <si>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</si>
  <si>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</si>
  <si>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McCormick Sea Salt Grinder, oz Bottle 20 shopped Qty1</t>
  </si>
  <si>
    <t>3 hours or less</t>
  </si>
  <si>
    <t>Nature's Bakery Gluten Free Raspberry Fig Bars in Twin pack Box, 20z Each 36 shopped Qty1</t>
  </si>
  <si>
    <t>Mahatma Jasmine Rice, Thai Fragrant Long Grain Rice, Gluten Free, 80 oz Bag (5 lbs</t>
  </si>
  <si>
    <t>Pantry</t>
  </si>
  <si>
    <t>Hillshire Farm Ultra Thin Oven Roasted Turkey Breast Lunchmeat, 16 oz Plastic Tub, Refrigerated</t>
  </si>
  <si>
    <t>Hebrew National 100% Kosher Beef Franks, Hot Dogs, 10.3 oz 6 Count</t>
  </si>
  <si>
    <t>Dave's Killer Bread Organic Oats &amp; Blues Regular Size Loaf, 25 oz, USDA Organic</t>
  </si>
  <si>
    <t>Bakery</t>
  </si>
  <si>
    <t>Birds Eye Steamfresh Sweet Peas, Frozen Vegetables, 10 oz. Bag</t>
  </si>
  <si>
    <t>Frozen</t>
  </si>
  <si>
    <t>Cabot Creamery 4 Cheese Mexican Shredded Cheddar Cheese 2 lb (Refrigerated</t>
  </si>
  <si>
    <t>Ziploc Brand Slider Gallon Freezer Food Storage Bags, School Supplies, with Power Shield Technology, 40 Count</t>
  </si>
  <si>
    <t>Ziploc Brand Freezer Food Storage Bags, School Supplies, with Grip 'n Seal Technology, Zipper, Quart, 50 Count</t>
  </si>
  <si>
    <t>Fresh Mini Cucumbers, 16 oz</t>
  </si>
  <si>
    <t>2 pack) Yehuda Sabbath Candles,12ct</t>
  </si>
  <si>
    <t>Fresh Yellow Squash, Each 11 weight adjusted aty1</t>
  </si>
  <si>
    <t>Fresh Zucchini, Each 11 weight adjusted aty1</t>
  </si>
  <si>
    <t>Fresh Whole Red Onion, Each</t>
  </si>
  <si>
    <t>Fresh Tomato on the Vine, Bag (1.9 lbs/Bag Est.) 11 weight adjusted Qty1</t>
  </si>
  <si>
    <t>Fresh Banana, Each 11 weight adjusted Qty7</t>
  </si>
  <si>
    <t>Command Heavy Duty Picture Hangers, Hold 20 tbs, Black, Damage-Free Hanging, 8 Pairs Adhesive Strips</t>
  </si>
  <si>
    <t>Dove Men+Care Antiperspirant Deodorant Stick 72-Hour Sweat &amp; Odor Protection Clean Comfort Antiperspirant For Men</t>
  </si>
  <si>
    <t>Dawn Ultra 11" Puff Glassware and Dish Cleaning Brush Wand with Sponge Head</t>
  </si>
  <si>
    <t>Once Upon a Farm Organic Tractor Wheels Toddler Bar, Apple, Sweet Potato &amp; Spinach, 10ct</t>
  </si>
  <si>
    <t>Weiman Granite &amp; Stone Disinfectant Cleaner &amp; Polish, 24 floz</t>
  </si>
  <si>
    <t>Household</t>
  </si>
  <si>
    <t>Chobani Low-Fat Vanilla Greek Yogurt Mixed Berry On The Bottom, Hero Batch z 4PK</t>
  </si>
  <si>
    <t>Fresh Banana, Each 4 weight adjusted aty4</t>
  </si>
  <si>
    <t>Jif Nsa P/B Creamy</t>
  </si>
  <si>
    <t>120</t>
  </si>
  <si>
    <t>King Arth G/ Pnck Hix</t>
  </si>
  <si>
    <t>Bagged Green Beans</t>
  </si>
  <si>
    <t>Potato Nibbles Ruby Sensa</t>
  </si>
  <si>
    <t>Cholula Cremosa Gltro Lme</t>
  </si>
  <si>
    <t>Mc Sig Evrythng Bgel Ssng</t>
  </si>
  <si>
    <t>Banza White Cheddar Shel</t>
  </si>
  <si>
    <t>anza White Cheddar Shel</t>
  </si>
  <si>
    <t>Annie's Dlx Shi&amp;Chd Gf</t>
  </si>
  <si>
    <t>Annie's Dlx Shl&amp;Chd Gf</t>
  </si>
  <si>
    <t>Gw Keta Salmon Fillet</t>
  </si>
  <si>
    <t>Daiya Shreds Mexican Bld</t>
  </si>
  <si>
    <t>Tf Caesar Salad Kit Chop F</t>
  </si>
  <si>
    <t>Tf Everything Salad Chop</t>
  </si>
  <si>
    <t>TF</t>
  </si>
  <si>
    <t>Hagen David Blackberry</t>
  </si>
  <si>
    <t>ShopGraph Spending Analytics</t>
  </si>
  <si>
    <t>Total Spending</t>
  </si>
  <si>
    <t>Purchase Observations</t>
  </si>
  <si>
    <t>Date Range</t>
  </si>
  <si>
    <t>Stores</t>
  </si>
  <si>
    <t>Categories</t>
  </si>
  <si>
    <t>08/06/2026 - 08/27/2026</t>
  </si>
  <si>
    <t>Number / Month</t>
  </si>
  <si>
    <t>How to Read This Graph</t>
  </si>
  <si>
    <t>#</t>
  </si>
  <si>
    <t>Description</t>
  </si>
  <si>
    <t>Value</t>
  </si>
  <si>
    <t>August 2026</t>
  </si>
  <si>
    <t>$444.77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</si>
  <si>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</si>
  <si>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</si>
  <si>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</si>
  <si>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</si>
  <si>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</si>
  <si>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</si>
  <si>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</si>
  <si>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</si>
  <si>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Category</t>
  </si>
  <si>
    <t>$55.57</t>
  </si>
  <si>
    <t>Uncategorized</t>
  </si>
  <si>
    <t>$53.49</t>
  </si>
  <si>
    <t>Compares total spending across every category in Purchase History. No categories are collapsed into an 'Other' group.</t>
  </si>
  <si>
    <t>$31.20</t>
  </si>
  <si>
    <t>$24.43</t>
  </si>
  <si>
    <t>$24.42</t>
  </si>
  <si>
    <t>$23.94</t>
  </si>
  <si>
    <t>$21.35</t>
  </si>
  <si>
    <t>$21.28</t>
  </si>
  <si>
    <t>Each horizontal bar is identified by a number and color. Use the key to map that number/color to the category name and exact spending amount. Longer bars mean more money was spent in that category.</t>
  </si>
  <si>
    <t>$20.00</t>
  </si>
  <si>
    <t>$18.57</t>
  </si>
  <si>
    <t>$15.97</t>
  </si>
  <si>
    <t>$13.98</t>
  </si>
  <si>
    <t>$11.00</t>
  </si>
  <si>
    <t>$10.16</t>
  </si>
  <si>
    <t>Use this to see which types of goods are the biggest drivers of household spending.</t>
  </si>
  <si>
    <t>$8.29</t>
  </si>
  <si>
    <t>$7.78</t>
  </si>
  <si>
    <t>$6.99</t>
  </si>
  <si>
    <t>$5.99</t>
  </si>
  <si>
    <t>$5.92</t>
  </si>
  <si>
    <t>$5.89</t>
  </si>
  <si>
    <t>$5.25</t>
  </si>
  <si>
    <t>$4.88</t>
  </si>
  <si>
    <t>$3.98</t>
  </si>
  <si>
    <t>$3.89</t>
  </si>
  <si>
    <t>$3.68</t>
  </si>
  <si>
    <t>$3.45</t>
  </si>
  <si>
    <t>$3.29</t>
  </si>
  <si>
    <t>$3.16</t>
  </si>
  <si>
    <t>$2.99</t>
  </si>
  <si>
    <t>$2.79</t>
  </si>
  <si>
    <t>$2.39</t>
  </si>
  <si>
    <t>$1.99</t>
  </si>
  <si>
    <t>$1.84</t>
  </si>
  <si>
    <t>Number / Store</t>
  </si>
  <si>
    <t>$205.01</t>
  </si>
  <si>
    <t>$100.82</t>
  </si>
  <si>
    <t>Compares how much money was spent at each retailer across the entire Purchase History.</t>
  </si>
  <si>
    <t>$60.58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</si>
  <si>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</si>
  <si>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</si>
  <si>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</si>
  <si>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</si>
  <si>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</si>
  <si>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$55.57 (12.5%)</t>
  </si>
  <si>
    <t>$53.49 (12.0%)</t>
  </si>
  <si>
    <t>Shows each category's share of total spending as part of the whole shopping budget.</t>
  </si>
  <si>
    <t>$31.20 (7.0%)</t>
  </si>
  <si>
    <t>$24.43 (5.5%)</t>
  </si>
  <si>
    <t>$24.42 (5.5%)</t>
  </si>
  <si>
    <t>$23.94 (5.4%)</t>
  </si>
  <si>
    <t>$21.35 (4.8%)</t>
  </si>
  <si>
    <t>$21.28 (4.8%)</t>
  </si>
  <si>
    <t>The doughnut itself displays only numeric category codes. Match each number/color to the key for the category name, dollar amount, and percentage of total spending.</t>
  </si>
  <si>
    <t>$20.00 (4.5%)</t>
  </si>
  <si>
    <t>$18.57 (4.2%)</t>
  </si>
  <si>
    <t>$15.97 (3.6%)</t>
  </si>
  <si>
    <t>$13.98 (3.1%)</t>
  </si>
  <si>
    <t>$11.00 (2.5%)</t>
  </si>
  <si>
    <t>$10.16 (2.3%)</t>
  </si>
  <si>
    <t>Use this for a fast visual picture of the household spending mix—especially which categories take the largest portion of the budget.</t>
  </si>
  <si>
    <t>$8.29 (1.9%)</t>
  </si>
  <si>
    <t>$7.78 (1.7%)</t>
  </si>
  <si>
    <t>$6.99 (1.6%)</t>
  </si>
  <si>
    <t>$5.99 (1.3%)</t>
  </si>
  <si>
    <t>Unlike the older dashboard, this graph does not create a large 'Other' slice. Every category receives its own numbered segment.</t>
  </si>
  <si>
    <t>$5.92 (1.3%)</t>
  </si>
  <si>
    <t>$5.89 (1.3%)</t>
  </si>
  <si>
    <t>$5.25 (1.2%)</t>
  </si>
  <si>
    <t>$4.88 (1.1%)</t>
  </si>
  <si>
    <t>$3.98 (0.9%)</t>
  </si>
  <si>
    <t>$3.89 (0.9%)</t>
  </si>
  <si>
    <t>$3.68 (0.8%)</t>
  </si>
  <si>
    <t>$3.45 (0.8%)</t>
  </si>
  <si>
    <t>$3.29 (0.7%)</t>
  </si>
  <si>
    <t>$3.16 (0.7%)</t>
  </si>
  <si>
    <t>$2.99 (0.7%)</t>
  </si>
  <si>
    <t>$2.79 (0.6%)</t>
  </si>
  <si>
    <t>$2.39 (0.5%)</t>
  </si>
  <si>
    <t>$1.99 (0.4%)</t>
  </si>
  <si>
    <t>$1.84 (0.4%)</t>
  </si>
  <si>
    <t>Number / Product</t>
  </si>
  <si>
    <t>$39.77</t>
  </si>
  <si>
    <t>Ranks the ten individual product identities with the most accumulated spending across all recorded purchases.</t>
  </si>
  <si>
    <t>$16.92</t>
  </si>
  <si>
    <t>$16.30</t>
  </si>
  <si>
    <t>$14.90</t>
  </si>
  <si>
    <t>$9.98</t>
  </si>
  <si>
    <t>Each product is represented by a numbered colored bar. Use the key to see the product name and its total spending. The longest bar is the largest individual spending driver.</t>
  </si>
  <si>
    <t>$9.67</t>
  </si>
  <si>
    <t>$8.37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</si>
  <si>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</si>
  <si>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</si>
  <si>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</si>
  <si>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</si>
  <si>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</si>
  <si>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</si>
  <si>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</si>
  <si>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</si>
  <si>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10</t>
  </si>
  <si>
    <t>8</t>
  </si>
  <si>
    <t>Counts how many valid purchase observations occurred in each category. This measures frequency, not dollars.</t>
  </si>
  <si>
    <t>5</t>
  </si>
  <si>
    <t>4</t>
  </si>
  <si>
    <t>3</t>
  </si>
  <si>
    <t>Each category is a numbered colored bar. Match the number and color to the key. A longer bar means the category was purchased more frequently.</t>
  </si>
  <si>
    <t>2</t>
  </si>
  <si>
    <t>Use this alongside Spending by Category to distinguish frequent routine purchases from categories that are bought less often but cost more.</t>
  </si>
  <si>
    <t>1</t>
  </si>
  <si>
    <t>Monthly Spending</t>
  </si>
  <si>
    <t>Spending by Category</t>
  </si>
  <si>
    <t>Spending by Store</t>
  </si>
  <si>
    <t>Spending Share by Category</t>
  </si>
  <si>
    <t>Top Products by Spending</t>
  </si>
  <si>
    <t>Purchase Frequency by Category</t>
  </si>
  <si>
    <t>Monthly Spending by Store</t>
  </si>
  <si>
    <t>Number</t>
  </si>
  <si>
    <t>Month</t>
  </si>
  <si>
    <t>Spending</t>
  </si>
  <si>
    <t>Purchases</t>
  </si>
  <si>
    <t>Month Number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</si>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</sst>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7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2" fillId="0" borderId="0" xfId="0" applyFont="1" applyAlignment="1">
      <alignment horizontal="left"/>
    </xf>
    <xf numFmtId="167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0" fillId="3" borderId="0" xfId="0" applyFill="1"/>
    <xf numFmtId="0" fontId="4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_AnalyticsData!$C$3</c:f>
              <c:numCache>
                <c:formatCode>\$#,##0.00</c:formatCode>
                <c:ptCount val="1"/>
                <c:pt idx="0">
                  <c:v>444.77000000000021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43-9E4E-90E7-293E59930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42A-4047-90DE-323263594733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42A-4047-90DE-323263594733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42A-4047-90DE-323263594733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42A-4047-90DE-323263594733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42A-4047-90DE-323263594733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42A-4047-90DE-323263594733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42A-4047-90DE-323263594733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42A-4047-90DE-323263594733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42A-4047-90DE-323263594733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42A-4047-90DE-323263594733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42A-4047-90DE-323263594733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F42A-4047-90DE-323263594733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F42A-4047-90DE-323263594733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F42A-4047-90DE-323263594733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F42A-4047-90DE-323263594733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F42A-4047-90DE-323263594733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F42A-4047-90DE-323263594733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F42A-4047-90DE-323263594733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F42A-4047-90DE-323263594733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F42A-4047-90DE-323263594733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F42A-4047-90DE-323263594733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F42A-4047-90DE-323263594733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F42A-4047-90DE-323263594733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F42A-4047-90DE-323263594733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F42A-4047-90DE-323263594733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F42A-4047-90DE-323263594733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F42A-4047-90DE-323263594733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F42A-4047-90DE-323263594733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F42A-4047-90DE-323263594733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F42A-4047-90DE-323263594733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F42A-4047-90DE-323263594733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F42A-4047-90DE-323263594733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F42A-4047-90DE-323263594733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F42A-4047-90DE-323263594733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F42A-4047-90DE-323263594733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F42A-4047-90DE-32326359473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_AnalyticsData!$E$3:$E$38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_AnalyticsData!$G$3:$G$38</c:f>
              <c:numCache>
                <c:formatCode>\$#,##0.00</c:formatCode>
                <c:ptCount val="36"/>
                <c:pt idx="0">
                  <c:v>55.570000000000007</c:v>
                </c:pt>
                <c:pt idx="1">
                  <c:v>53.49</c:v>
                </c:pt>
                <c:pt idx="2">
                  <c:v>31.2</c:v>
                </c:pt>
                <c:pt idx="3">
                  <c:v>24.43</c:v>
                </c:pt>
                <c:pt idx="4">
                  <c:v>24.42</c:v>
                </c:pt>
                <c:pt idx="5">
                  <c:v>23.94</c:v>
                </c:pt>
                <c:pt idx="6">
                  <c:v>21.35</c:v>
                </c:pt>
                <c:pt idx="7">
                  <c:v>21.28</c:v>
                </c:pt>
                <c:pt idx="8">
                  <c:v>20</c:v>
                </c:pt>
                <c:pt idx="9">
                  <c:v>18.57</c:v>
                </c:pt>
                <c:pt idx="10">
                  <c:v>15.97</c:v>
                </c:pt>
                <c:pt idx="11">
                  <c:v>13.98</c:v>
                </c:pt>
                <c:pt idx="12">
                  <c:v>11</c:v>
                </c:pt>
                <c:pt idx="13">
                  <c:v>10.16</c:v>
                </c:pt>
                <c:pt idx="14">
                  <c:v>8.2899999999999991</c:v>
                </c:pt>
                <c:pt idx="15">
                  <c:v>7.78</c:v>
                </c:pt>
                <c:pt idx="16">
                  <c:v>6.99</c:v>
                </c:pt>
                <c:pt idx="17">
                  <c:v>5.99</c:v>
                </c:pt>
                <c:pt idx="18">
                  <c:v>5.99</c:v>
                </c:pt>
                <c:pt idx="19">
                  <c:v>5.99</c:v>
                </c:pt>
                <c:pt idx="20">
                  <c:v>5.92</c:v>
                </c:pt>
                <c:pt idx="21">
                  <c:v>5.89</c:v>
                </c:pt>
                <c:pt idx="22">
                  <c:v>5.25</c:v>
                </c:pt>
                <c:pt idx="23">
                  <c:v>4.88</c:v>
                </c:pt>
                <c:pt idx="24">
                  <c:v>3.98</c:v>
                </c:pt>
                <c:pt idx="25">
                  <c:v>3.89</c:v>
                </c:pt>
                <c:pt idx="26">
                  <c:v>3.68</c:v>
                </c:pt>
                <c:pt idx="27">
                  <c:v>3.45</c:v>
                </c:pt>
                <c:pt idx="28">
                  <c:v>3.29</c:v>
                </c:pt>
                <c:pt idx="29">
                  <c:v>3.16</c:v>
                </c:pt>
                <c:pt idx="30">
                  <c:v>2.99</c:v>
                </c:pt>
                <c:pt idx="31">
                  <c:v>2.99</c:v>
                </c:pt>
                <c:pt idx="32">
                  <c:v>2.79</c:v>
                </c:pt>
                <c:pt idx="33">
                  <c:v>2.39</c:v>
                </c:pt>
                <c:pt idx="34">
                  <c:v>1.99</c:v>
                </c:pt>
                <c:pt idx="35">
                  <c:v>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F42A-4047-90DE-32326359473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6FD-4848-B105-FF867CE21EF0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6FD-4848-B105-FF867CE21EF0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6FD-4848-B105-FF867CE21EF0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6FD-4848-B105-FF867CE21EF0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6FD-4848-B105-FF867CE21EF0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_AnalyticsData!$K$3:$K$7</c:f>
              <c:numCache>
                <c:formatCode>\$#,##0.00</c:formatCode>
                <c:ptCount val="5"/>
                <c:pt idx="0">
                  <c:v>205.01</c:v>
                </c:pt>
                <c:pt idx="1">
                  <c:v>100.82</c:v>
                </c:pt>
                <c:pt idx="2">
                  <c:v>60.579999999999991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FD-4848-B105-FF867CE21EF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235-5845-BABE-718E8142E8A3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235-5845-BABE-718E8142E8A3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235-5845-BABE-718E8142E8A3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235-5845-BABE-718E8142E8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235-5845-BABE-718E8142E8A3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235-5845-BABE-718E8142E8A3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235-5845-BABE-718E8142E8A3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235-5845-BABE-718E8142E8A3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235-5845-BABE-718E8142E8A3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235-5845-BABE-718E8142E8A3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235-5845-BABE-718E8142E8A3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E235-5845-BABE-718E8142E8A3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E235-5845-BABE-718E8142E8A3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E235-5845-BABE-718E8142E8A3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E235-5845-BABE-718E8142E8A3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E235-5845-BABE-718E8142E8A3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E235-5845-BABE-718E8142E8A3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E235-5845-BABE-718E8142E8A3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E235-5845-BABE-718E8142E8A3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E235-5845-BABE-718E8142E8A3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E235-5845-BABE-718E8142E8A3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E235-5845-BABE-718E8142E8A3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E235-5845-BABE-718E8142E8A3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E235-5845-BABE-718E8142E8A3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E235-5845-BABE-718E8142E8A3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E235-5845-BABE-718E8142E8A3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E235-5845-BABE-718E8142E8A3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E235-5845-BABE-718E8142E8A3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E235-5845-BABE-718E8142E8A3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E235-5845-BABE-718E8142E8A3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E235-5845-BABE-718E8142E8A3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E235-5845-BABE-718E8142E8A3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E235-5845-BABE-718E8142E8A3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E235-5845-BABE-718E8142E8A3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E235-5845-BABE-718E8142E8A3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E235-5845-BABE-718E8142E8A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_AnalyticsData!$M$3:$M$38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_AnalyticsData!$O$3:$O$38</c:f>
              <c:numCache>
                <c:formatCode>\$#,##0.00</c:formatCode>
                <c:ptCount val="36"/>
                <c:pt idx="0">
                  <c:v>55.570000000000007</c:v>
                </c:pt>
                <c:pt idx="1">
                  <c:v>53.49</c:v>
                </c:pt>
                <c:pt idx="2">
                  <c:v>31.2</c:v>
                </c:pt>
                <c:pt idx="3">
                  <c:v>24.43</c:v>
                </c:pt>
                <c:pt idx="4">
                  <c:v>24.42</c:v>
                </c:pt>
                <c:pt idx="5">
                  <c:v>23.94</c:v>
                </c:pt>
                <c:pt idx="6">
                  <c:v>21.35</c:v>
                </c:pt>
                <c:pt idx="7">
                  <c:v>21.28</c:v>
                </c:pt>
                <c:pt idx="8">
                  <c:v>20</c:v>
                </c:pt>
                <c:pt idx="9">
                  <c:v>18.57</c:v>
                </c:pt>
                <c:pt idx="10">
                  <c:v>15.97</c:v>
                </c:pt>
                <c:pt idx="11">
                  <c:v>13.98</c:v>
                </c:pt>
                <c:pt idx="12">
                  <c:v>11</c:v>
                </c:pt>
                <c:pt idx="13">
                  <c:v>10.16</c:v>
                </c:pt>
                <c:pt idx="14">
                  <c:v>8.2899999999999991</c:v>
                </c:pt>
                <c:pt idx="15">
                  <c:v>7.78</c:v>
                </c:pt>
                <c:pt idx="16">
                  <c:v>6.99</c:v>
                </c:pt>
                <c:pt idx="17">
                  <c:v>5.99</c:v>
                </c:pt>
                <c:pt idx="18">
                  <c:v>5.99</c:v>
                </c:pt>
                <c:pt idx="19">
                  <c:v>5.99</c:v>
                </c:pt>
                <c:pt idx="20">
                  <c:v>5.92</c:v>
                </c:pt>
                <c:pt idx="21">
                  <c:v>5.89</c:v>
                </c:pt>
                <c:pt idx="22">
                  <c:v>5.25</c:v>
                </c:pt>
                <c:pt idx="23">
                  <c:v>4.88</c:v>
                </c:pt>
                <c:pt idx="24">
                  <c:v>3.98</c:v>
                </c:pt>
                <c:pt idx="25">
                  <c:v>3.89</c:v>
                </c:pt>
                <c:pt idx="26">
                  <c:v>3.68</c:v>
                </c:pt>
                <c:pt idx="27">
                  <c:v>3.45</c:v>
                </c:pt>
                <c:pt idx="28">
                  <c:v>3.29</c:v>
                </c:pt>
                <c:pt idx="29">
                  <c:v>3.16</c:v>
                </c:pt>
                <c:pt idx="30">
                  <c:v>2.99</c:v>
                </c:pt>
                <c:pt idx="31">
                  <c:v>2.99</c:v>
                </c:pt>
                <c:pt idx="32">
                  <c:v>2.79</c:v>
                </c:pt>
                <c:pt idx="33">
                  <c:v>2.39</c:v>
                </c:pt>
                <c:pt idx="34">
                  <c:v>1.99</c:v>
                </c:pt>
                <c:pt idx="35">
                  <c:v>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E235-5845-BABE-718E8142E8A3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958-094A-84D7-9FCBF1C35686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958-094A-84D7-9FCBF1C35686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958-094A-84D7-9FCBF1C35686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958-094A-84D7-9FCBF1C35686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958-094A-84D7-9FCBF1C35686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958-094A-84D7-9FCBF1C35686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958-094A-84D7-9FCBF1C35686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958-094A-84D7-9FCBF1C35686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958-094A-84D7-9FCBF1C35686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958-094A-84D7-9FCBF1C3568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_AnalyticsData!$S$3:$S$12</c:f>
              <c:numCache>
                <c:formatCode>\$#,##0.00</c:formatCode>
                <c:ptCount val="10"/>
                <c:pt idx="0">
                  <c:v>39.770000000000003</c:v>
                </c:pt>
                <c:pt idx="1">
                  <c:v>23.94</c:v>
                </c:pt>
                <c:pt idx="2">
                  <c:v>18.57</c:v>
                </c:pt>
                <c:pt idx="3">
                  <c:v>16.920000000000002</c:v>
                </c:pt>
                <c:pt idx="4">
                  <c:v>16.3</c:v>
                </c:pt>
                <c:pt idx="5">
                  <c:v>14.9</c:v>
                </c:pt>
                <c:pt idx="6">
                  <c:v>13.98</c:v>
                </c:pt>
                <c:pt idx="7">
                  <c:v>9.98</c:v>
                </c:pt>
                <c:pt idx="8">
                  <c:v>9.67</c:v>
                </c:pt>
                <c:pt idx="9">
                  <c:v>8.3699999999999992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958-094A-84D7-9FCBF1C35686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_AnalyticsData!$Z$3</c:f>
              <c:numCache>
                <c:formatCode>\$#,##0.00</c:formatCode>
                <c:ptCount val="1"/>
                <c:pt idx="0">
                  <c:v>205.01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8F7-764B-AA94-363AF479BDFB}"/>
            </c:ext>
          </c:extLst>
        </c:ser>
        <c:ser>
          <c:idx val="1"/>
          <c:order val="1"/>
          <c:tx>
            <c:strRef>
              <c:f>_AnalyticsData!$AA$2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_AnalyticsData!$AA$3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8F7-764B-AA94-363AF479BDFB}"/>
            </c:ext>
          </c:extLst>
        </c:ser>
        <c:ser>
          <c:idx val="2"/>
          <c:order val="2"/>
          <c:tx>
            <c:strRef>
              <c:f>_AnalyticsData!$AB$2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_AnalyticsData!$AB$3</c:f>
              <c:numCache>
                <c:formatCode>\$#,##0.00</c:formatCode>
                <c:ptCount val="1"/>
                <c:pt idx="0">
                  <c:v>60.579999999999991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8F7-764B-AA94-363AF479BDFB}"/>
            </c:ext>
          </c:extLst>
        </c:ser>
        <c:ser>
          <c:idx val="3"/>
          <c:order val="3"/>
          <c:tx>
            <c:strRef>
              <c:f>_AnalyticsData!$AC$2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8F7-764B-AA94-363AF479BDFB}"/>
            </c:ext>
          </c:extLst>
        </c:ser>
        <c:ser>
          <c:idx val="4"/>
          <c:order val="4"/>
          <c:tx>
            <c:strRef>
              <c:f>_AnalyticsData!$AD$2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48F7-764B-AA94-363AF479B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1C1-FA4F-8A46-14D38CC48877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1C1-FA4F-8A46-14D38CC48877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1C1-FA4F-8A46-14D38CC48877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1C1-FA4F-8A46-14D38CC48877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1C1-FA4F-8A46-14D38CC48877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1C1-FA4F-8A46-14D38CC48877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1C1-FA4F-8A46-14D38CC48877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1C1-FA4F-8A46-14D38CC48877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1C1-FA4F-8A46-14D38CC48877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1C1-FA4F-8A46-14D38CC48877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1C1-FA4F-8A46-14D38CC48877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31C1-FA4F-8A46-14D38CC48877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31C1-FA4F-8A46-14D38CC48877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31C1-FA4F-8A46-14D38CC48877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31C1-FA4F-8A46-14D38CC48877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31C1-FA4F-8A46-14D38CC48877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31C1-FA4F-8A46-14D38CC48877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31C1-FA4F-8A46-14D38CC48877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31C1-FA4F-8A46-14D38CC48877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31C1-FA4F-8A46-14D38CC48877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31C1-FA4F-8A46-14D38CC48877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31C1-FA4F-8A46-14D38CC48877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31C1-FA4F-8A46-14D38CC48877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31C1-FA4F-8A46-14D38CC48877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31C1-FA4F-8A46-14D38CC48877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31C1-FA4F-8A46-14D38CC48877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31C1-FA4F-8A46-14D38CC48877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31C1-FA4F-8A46-14D38CC48877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31C1-FA4F-8A46-14D38CC48877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31C1-FA4F-8A46-14D38CC48877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31C1-FA4F-8A46-14D38CC48877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31C1-FA4F-8A46-14D38CC48877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31C1-FA4F-8A46-14D38CC48877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31C1-FA4F-8A46-14D38CC48877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31C1-FA4F-8A46-14D38CC48877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31C1-FA4F-8A46-14D38CC48877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_AnalyticsData!$U$3:$U$38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_AnalyticsData!$W$3:$W$38</c:f>
              <c:numCache>
                <c:formatCode>General</c:formatCode>
                <c:ptCount val="36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31C1-FA4F-8A46-14D38CC4887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84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120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161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197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233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1"/>
  <sheetViews>
    <sheetView tabSelected="1" workbookViewId="0">
      <pane ySplit="1" topLeftCell="A77" activePane="bottomLeft" state="frozen"/>
      <selection pane="bottomLeft" activeCell="E127" sqref="E127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28" bestFit="1" customWidth="1"/>
    <col min="9" max="9" width="22" customWidth="1"/>
    <col min="10" max="19" width="14" customWidth="1"/>
  </cols>
  <sheetData>
    <row r="1" spans="1:19" x14ac:dyDescent="0.2">
      <c r="A1" s="25" t="s">
        <v>0</v>
      </c>
      <c r="B1" s="25"/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11</v>
      </c>
      <c r="N1" s="25" t="s">
        <v>12</v>
      </c>
      <c r="O1" s="25" t="s">
        <v>13</v>
      </c>
      <c r="P1" s="25" t="s">
        <v>14</v>
      </c>
      <c r="Q1" s="25" t="s">
        <v>15</v>
      </c>
      <c r="R1" s="25" t="s">
        <v>16</v>
      </c>
      <c r="S1" s="25" t="s">
        <v>17</v>
      </c>
    </row>
    <row r="2" spans="1:19" x14ac:dyDescent="0.2">
      <c r="A2" s="1">
        <f t="shared" ref="A2:A33" si="0">SUM(K2,M2,O2,Q2,S2)</f>
        <v>7.85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s="2">
        <v>46259</v>
      </c>
      <c r="K2" s="1">
        <v>7.85</v>
      </c>
    </row>
    <row r="3" spans="1:19" x14ac:dyDescent="0.2">
      <c r="A3" s="1">
        <f t="shared" si="0"/>
        <v>7.85</v>
      </c>
      <c r="C3" t="s">
        <v>18</v>
      </c>
      <c r="D3" t="s">
        <v>19</v>
      </c>
      <c r="E3" t="s">
        <v>25</v>
      </c>
      <c r="F3" t="s">
        <v>21</v>
      </c>
      <c r="G3" t="s">
        <v>22</v>
      </c>
      <c r="H3" t="s">
        <v>26</v>
      </c>
      <c r="I3" t="s">
        <v>24</v>
      </c>
      <c r="J3" s="2">
        <v>46259</v>
      </c>
      <c r="K3" s="1">
        <v>7.85</v>
      </c>
    </row>
    <row r="4" spans="1:19" x14ac:dyDescent="0.2">
      <c r="A4" s="1">
        <f t="shared" si="0"/>
        <v>6.99</v>
      </c>
      <c r="C4" t="s">
        <v>18</v>
      </c>
      <c r="D4" t="s">
        <v>19</v>
      </c>
      <c r="E4" t="s">
        <v>27</v>
      </c>
      <c r="F4" t="s">
        <v>21</v>
      </c>
      <c r="G4" t="s">
        <v>22</v>
      </c>
      <c r="H4" t="s">
        <v>28</v>
      </c>
      <c r="I4" t="s">
        <v>29</v>
      </c>
      <c r="J4" s="2">
        <v>46259</v>
      </c>
      <c r="K4" s="1">
        <v>6.99</v>
      </c>
    </row>
    <row r="5" spans="1:19" x14ac:dyDescent="0.2">
      <c r="A5" s="1">
        <f t="shared" si="0"/>
        <v>7.78</v>
      </c>
      <c r="C5" t="s">
        <v>18</v>
      </c>
      <c r="D5" t="s">
        <v>19</v>
      </c>
      <c r="E5" t="s">
        <v>30</v>
      </c>
      <c r="F5" t="s">
        <v>21</v>
      </c>
      <c r="G5" t="s">
        <v>22</v>
      </c>
      <c r="H5" t="s">
        <v>31</v>
      </c>
      <c r="I5" t="s">
        <v>32</v>
      </c>
      <c r="J5" s="2">
        <v>46259</v>
      </c>
      <c r="K5" s="1">
        <v>3.89</v>
      </c>
      <c r="L5" s="2">
        <v>46259</v>
      </c>
      <c r="M5" s="1">
        <v>3.89</v>
      </c>
    </row>
    <row r="6" spans="1:19" x14ac:dyDescent="0.2">
      <c r="A6" s="1">
        <f t="shared" si="0"/>
        <v>5.65</v>
      </c>
      <c r="C6" t="s">
        <v>18</v>
      </c>
      <c r="D6" t="s">
        <v>19</v>
      </c>
      <c r="E6" t="s">
        <v>33</v>
      </c>
      <c r="F6" t="s">
        <v>21</v>
      </c>
      <c r="G6" t="s">
        <v>22</v>
      </c>
      <c r="H6" t="s">
        <v>34</v>
      </c>
      <c r="I6" t="s">
        <v>24</v>
      </c>
      <c r="J6" s="2">
        <v>46259</v>
      </c>
      <c r="K6" s="1">
        <v>5.65</v>
      </c>
    </row>
    <row r="7" spans="1:19" x14ac:dyDescent="0.2">
      <c r="A7" s="1">
        <f t="shared" si="0"/>
        <v>18.57</v>
      </c>
      <c r="C7" t="s">
        <v>18</v>
      </c>
      <c r="D7" t="s">
        <v>19</v>
      </c>
      <c r="E7" t="s">
        <v>35</v>
      </c>
      <c r="F7" t="s">
        <v>21</v>
      </c>
      <c r="G7" t="s">
        <v>22</v>
      </c>
      <c r="H7" t="s">
        <v>36</v>
      </c>
      <c r="I7" t="s">
        <v>37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9" x14ac:dyDescent="0.2">
      <c r="A8" s="1">
        <f t="shared" si="0"/>
        <v>5.89</v>
      </c>
      <c r="C8" t="s">
        <v>18</v>
      </c>
      <c r="D8" t="s">
        <v>19</v>
      </c>
      <c r="E8" t="s">
        <v>38</v>
      </c>
      <c r="F8" t="s">
        <v>21</v>
      </c>
      <c r="G8" t="s">
        <v>22</v>
      </c>
      <c r="H8" t="s">
        <v>39</v>
      </c>
      <c r="I8" t="s">
        <v>40</v>
      </c>
      <c r="J8" s="2">
        <v>46259</v>
      </c>
      <c r="K8" s="1">
        <v>5.89</v>
      </c>
    </row>
    <row r="9" spans="1:19" x14ac:dyDescent="0.2">
      <c r="A9" s="1">
        <f t="shared" si="0"/>
        <v>6.79</v>
      </c>
      <c r="C9" t="s">
        <v>41</v>
      </c>
      <c r="D9" t="s">
        <v>42</v>
      </c>
      <c r="E9" t="s">
        <v>43</v>
      </c>
      <c r="F9" t="s">
        <v>19</v>
      </c>
      <c r="G9" t="s">
        <v>44</v>
      </c>
      <c r="H9" t="s">
        <v>45</v>
      </c>
      <c r="I9" t="s">
        <v>46</v>
      </c>
      <c r="J9" s="2">
        <v>46257</v>
      </c>
      <c r="K9" s="1">
        <v>6.79</v>
      </c>
    </row>
    <row r="10" spans="1:19" x14ac:dyDescent="0.2">
      <c r="A10" s="1">
        <f t="shared" si="0"/>
        <v>2.52</v>
      </c>
      <c r="C10" t="s">
        <v>41</v>
      </c>
      <c r="D10" t="s">
        <v>47</v>
      </c>
      <c r="E10" t="s">
        <v>48</v>
      </c>
      <c r="F10" t="s">
        <v>19</v>
      </c>
      <c r="G10" t="s">
        <v>44</v>
      </c>
      <c r="H10" t="s">
        <v>48</v>
      </c>
      <c r="I10" t="s">
        <v>49</v>
      </c>
      <c r="J10" s="2">
        <v>46257</v>
      </c>
      <c r="K10" s="1">
        <v>2.52</v>
      </c>
    </row>
    <row r="11" spans="1:19" x14ac:dyDescent="0.2">
      <c r="A11" s="1">
        <f t="shared" si="0"/>
        <v>2.6</v>
      </c>
      <c r="C11" t="s">
        <v>41</v>
      </c>
      <c r="D11" t="s">
        <v>50</v>
      </c>
      <c r="E11" t="s">
        <v>51</v>
      </c>
      <c r="F11" t="s">
        <v>19</v>
      </c>
      <c r="G11" t="s">
        <v>44</v>
      </c>
      <c r="H11" t="s">
        <v>51</v>
      </c>
      <c r="I11" t="s">
        <v>49</v>
      </c>
      <c r="J11" s="2">
        <v>46257</v>
      </c>
      <c r="K11" s="1">
        <v>2.6</v>
      </c>
    </row>
    <row r="12" spans="1:19" x14ac:dyDescent="0.2">
      <c r="A12" s="1">
        <f t="shared" si="0"/>
        <v>3.29</v>
      </c>
      <c r="C12" t="s">
        <v>41</v>
      </c>
      <c r="D12" t="s">
        <v>52</v>
      </c>
      <c r="E12" t="s">
        <v>53</v>
      </c>
      <c r="F12" t="s">
        <v>19</v>
      </c>
      <c r="G12" t="s">
        <v>44</v>
      </c>
      <c r="H12" t="s">
        <v>53</v>
      </c>
      <c r="I12" t="s">
        <v>49</v>
      </c>
      <c r="J12" s="2">
        <v>46257</v>
      </c>
      <c r="K12" s="1">
        <v>3.29</v>
      </c>
    </row>
    <row r="13" spans="1:19" x14ac:dyDescent="0.2">
      <c r="A13" s="1">
        <f t="shared" si="0"/>
        <v>0.89</v>
      </c>
      <c r="C13" t="s">
        <v>41</v>
      </c>
      <c r="D13" t="s">
        <v>54</v>
      </c>
      <c r="E13" t="s">
        <v>55</v>
      </c>
      <c r="F13" t="s">
        <v>19</v>
      </c>
      <c r="G13" t="s">
        <v>44</v>
      </c>
      <c r="H13" t="s">
        <v>55</v>
      </c>
      <c r="I13" t="s">
        <v>56</v>
      </c>
      <c r="J13" s="2">
        <v>46257</v>
      </c>
      <c r="K13" s="1">
        <v>0.89</v>
      </c>
    </row>
    <row r="14" spans="1:19" x14ac:dyDescent="0.2">
      <c r="A14" s="1">
        <f t="shared" si="0"/>
        <v>3.41</v>
      </c>
      <c r="C14" t="s">
        <v>41</v>
      </c>
      <c r="D14" t="s">
        <v>57</v>
      </c>
      <c r="E14" t="s">
        <v>58</v>
      </c>
      <c r="F14" t="s">
        <v>19</v>
      </c>
      <c r="G14" t="s">
        <v>44</v>
      </c>
      <c r="H14" t="s">
        <v>58</v>
      </c>
      <c r="I14" t="s">
        <v>49</v>
      </c>
      <c r="J14" s="2">
        <v>46257</v>
      </c>
      <c r="K14" s="1">
        <v>3.41</v>
      </c>
    </row>
    <row r="15" spans="1:19" x14ac:dyDescent="0.2">
      <c r="A15" s="1">
        <f t="shared" si="0"/>
        <v>2.99</v>
      </c>
      <c r="C15" t="s">
        <v>41</v>
      </c>
      <c r="D15" t="s">
        <v>59</v>
      </c>
      <c r="E15" t="s">
        <v>60</v>
      </c>
      <c r="F15" t="s">
        <v>19</v>
      </c>
      <c r="G15" t="s">
        <v>44</v>
      </c>
      <c r="H15" t="s">
        <v>60</v>
      </c>
      <c r="I15" t="s">
        <v>49</v>
      </c>
      <c r="J15" s="2">
        <v>46257</v>
      </c>
      <c r="K15" s="1">
        <v>2.99</v>
      </c>
    </row>
    <row r="16" spans="1:19" x14ac:dyDescent="0.2">
      <c r="A16" s="1">
        <f t="shared" si="0"/>
        <v>8.2899999999999991</v>
      </c>
      <c r="C16" t="s">
        <v>41</v>
      </c>
      <c r="D16" t="s">
        <v>61</v>
      </c>
      <c r="E16" t="s">
        <v>62</v>
      </c>
      <c r="F16" t="s">
        <v>19</v>
      </c>
      <c r="G16" t="s">
        <v>44</v>
      </c>
      <c r="H16" t="s">
        <v>63</v>
      </c>
      <c r="I16" t="s">
        <v>64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41</v>
      </c>
      <c r="D17" t="s">
        <v>65</v>
      </c>
      <c r="E17" t="s">
        <v>66</v>
      </c>
      <c r="F17" t="s">
        <v>19</v>
      </c>
      <c r="G17" t="s">
        <v>44</v>
      </c>
      <c r="H17" t="s">
        <v>67</v>
      </c>
      <c r="I17" t="s">
        <v>49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41</v>
      </c>
      <c r="D18" t="s">
        <v>68</v>
      </c>
      <c r="E18" t="s">
        <v>69</v>
      </c>
      <c r="F18" t="s">
        <v>19</v>
      </c>
      <c r="G18" t="s">
        <v>44</v>
      </c>
      <c r="H18" t="s">
        <v>70</v>
      </c>
      <c r="I18" t="s">
        <v>71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41</v>
      </c>
      <c r="D19" t="s">
        <v>72</v>
      </c>
      <c r="E19" t="s">
        <v>73</v>
      </c>
      <c r="F19" t="s">
        <v>19</v>
      </c>
      <c r="G19" t="s">
        <v>44</v>
      </c>
      <c r="H19" t="s">
        <v>73</v>
      </c>
      <c r="I19" t="s">
        <v>49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41</v>
      </c>
      <c r="D20" t="s">
        <v>74</v>
      </c>
      <c r="E20" t="s">
        <v>75</v>
      </c>
      <c r="F20" t="s">
        <v>19</v>
      </c>
      <c r="G20" t="s">
        <v>44</v>
      </c>
      <c r="H20" t="s">
        <v>76</v>
      </c>
      <c r="I20" t="s">
        <v>77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41</v>
      </c>
      <c r="D21" t="s">
        <v>78</v>
      </c>
      <c r="E21" t="s">
        <v>79</v>
      </c>
      <c r="F21" t="s">
        <v>19</v>
      </c>
      <c r="G21" t="s">
        <v>44</v>
      </c>
      <c r="H21" t="s">
        <v>79</v>
      </c>
      <c r="I21" t="s">
        <v>71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41</v>
      </c>
      <c r="D22" t="s">
        <v>80</v>
      </c>
      <c r="E22" t="s">
        <v>81</v>
      </c>
      <c r="F22" t="s">
        <v>19</v>
      </c>
      <c r="G22" t="s">
        <v>44</v>
      </c>
      <c r="H22" t="s">
        <v>81</v>
      </c>
      <c r="I22" t="s">
        <v>71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41</v>
      </c>
      <c r="D23" t="s">
        <v>82</v>
      </c>
      <c r="E23" t="s">
        <v>83</v>
      </c>
      <c r="F23" t="s">
        <v>19</v>
      </c>
      <c r="G23" t="s">
        <v>44</v>
      </c>
      <c r="H23" t="s">
        <v>84</v>
      </c>
      <c r="I23" t="s">
        <v>85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41</v>
      </c>
      <c r="D24" t="s">
        <v>19</v>
      </c>
      <c r="E24" t="s">
        <v>86</v>
      </c>
      <c r="F24" t="s">
        <v>19</v>
      </c>
      <c r="G24" t="s">
        <v>44</v>
      </c>
      <c r="H24" t="s">
        <v>86</v>
      </c>
      <c r="I24" t="s">
        <v>87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41</v>
      </c>
      <c r="D25" t="s">
        <v>88</v>
      </c>
      <c r="E25" t="s">
        <v>89</v>
      </c>
      <c r="F25" t="s">
        <v>19</v>
      </c>
      <c r="G25" t="s">
        <v>44</v>
      </c>
      <c r="H25" t="s">
        <v>90</v>
      </c>
      <c r="I25" t="s">
        <v>71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41</v>
      </c>
      <c r="D26" t="s">
        <v>91</v>
      </c>
      <c r="E26" t="s">
        <v>92</v>
      </c>
      <c r="F26" t="s">
        <v>19</v>
      </c>
      <c r="G26" t="s">
        <v>44</v>
      </c>
      <c r="H26" t="s">
        <v>92</v>
      </c>
      <c r="I26" t="s">
        <v>93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41</v>
      </c>
      <c r="D27" t="s">
        <v>94</v>
      </c>
      <c r="E27" t="s">
        <v>95</v>
      </c>
      <c r="F27" t="s">
        <v>19</v>
      </c>
      <c r="G27" t="s">
        <v>44</v>
      </c>
      <c r="H27" t="s">
        <v>95</v>
      </c>
      <c r="I27" t="s">
        <v>49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41</v>
      </c>
      <c r="D28" t="s">
        <v>96</v>
      </c>
      <c r="E28" t="s">
        <v>97</v>
      </c>
      <c r="F28" t="s">
        <v>19</v>
      </c>
      <c r="G28" t="s">
        <v>44</v>
      </c>
      <c r="H28" t="s">
        <v>97</v>
      </c>
      <c r="I28" t="s">
        <v>98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41</v>
      </c>
      <c r="D29" t="s">
        <v>99</v>
      </c>
      <c r="E29" t="s">
        <v>100</v>
      </c>
      <c r="F29" t="s">
        <v>19</v>
      </c>
      <c r="G29" t="s">
        <v>44</v>
      </c>
      <c r="H29" t="s">
        <v>101</v>
      </c>
      <c r="I29" t="s">
        <v>98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41</v>
      </c>
      <c r="D30" t="s">
        <v>102</v>
      </c>
      <c r="E30" t="s">
        <v>103</v>
      </c>
      <c r="F30" t="s">
        <v>19</v>
      </c>
      <c r="G30" t="s">
        <v>44</v>
      </c>
      <c r="H30" t="s">
        <v>104</v>
      </c>
      <c r="I30" t="s">
        <v>105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41</v>
      </c>
      <c r="D31" t="s">
        <v>106</v>
      </c>
      <c r="E31" t="s">
        <v>107</v>
      </c>
      <c r="F31" t="s">
        <v>19</v>
      </c>
      <c r="G31" t="s">
        <v>44</v>
      </c>
      <c r="H31" t="s">
        <v>108</v>
      </c>
      <c r="I31" t="s">
        <v>56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41</v>
      </c>
      <c r="D32" t="s">
        <v>109</v>
      </c>
      <c r="E32" t="s">
        <v>110</v>
      </c>
      <c r="F32" t="s">
        <v>19</v>
      </c>
      <c r="G32" t="s">
        <v>44</v>
      </c>
      <c r="H32" t="s">
        <v>111</v>
      </c>
      <c r="I32" t="s">
        <v>112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41</v>
      </c>
      <c r="D33" t="s">
        <v>113</v>
      </c>
      <c r="E33" t="s">
        <v>114</v>
      </c>
      <c r="F33" t="s">
        <v>19</v>
      </c>
      <c r="G33" t="s">
        <v>44</v>
      </c>
      <c r="H33" t="s">
        <v>115</v>
      </c>
      <c r="I33" t="s">
        <v>116</v>
      </c>
      <c r="J33" s="2">
        <v>46257</v>
      </c>
      <c r="K33" s="1">
        <v>5.25</v>
      </c>
    </row>
    <row r="34" spans="1:13" x14ac:dyDescent="0.2">
      <c r="A34" s="1">
        <f t="shared" ref="A34:A65" si="1">SUM(K34,M34,O34,Q34,S34)</f>
        <v>3.37</v>
      </c>
      <c r="C34" t="s">
        <v>41</v>
      </c>
      <c r="D34" t="s">
        <v>117</v>
      </c>
      <c r="E34" t="s">
        <v>118</v>
      </c>
      <c r="F34" t="s">
        <v>19</v>
      </c>
      <c r="G34" t="s">
        <v>44</v>
      </c>
      <c r="H34" t="s">
        <v>119</v>
      </c>
      <c r="I34" t="s">
        <v>46</v>
      </c>
      <c r="J34" s="2">
        <v>46257</v>
      </c>
      <c r="K34" s="1">
        <v>3.37</v>
      </c>
    </row>
    <row r="35" spans="1:13" x14ac:dyDescent="0.2">
      <c r="A35" s="1">
        <f t="shared" si="1"/>
        <v>5.99</v>
      </c>
      <c r="C35" t="s">
        <v>41</v>
      </c>
      <c r="D35" t="s">
        <v>120</v>
      </c>
      <c r="E35" t="s">
        <v>121</v>
      </c>
      <c r="F35" t="s">
        <v>19</v>
      </c>
      <c r="G35" t="s">
        <v>44</v>
      </c>
      <c r="H35" t="s">
        <v>122</v>
      </c>
      <c r="I35" t="s">
        <v>123</v>
      </c>
      <c r="J35" s="2">
        <v>46257</v>
      </c>
      <c r="K35" s="1">
        <v>5.99</v>
      </c>
    </row>
    <row r="36" spans="1:13" x14ac:dyDescent="0.2">
      <c r="A36" s="1">
        <f t="shared" si="1"/>
        <v>2.79</v>
      </c>
      <c r="C36" t="s">
        <v>41</v>
      </c>
      <c r="D36" t="s">
        <v>124</v>
      </c>
      <c r="E36" t="s">
        <v>125</v>
      </c>
      <c r="F36" t="s">
        <v>19</v>
      </c>
      <c r="G36" t="s">
        <v>44</v>
      </c>
      <c r="H36" t="s">
        <v>126</v>
      </c>
      <c r="I36" t="s">
        <v>127</v>
      </c>
      <c r="J36" s="2">
        <v>46257</v>
      </c>
      <c r="K36" s="1">
        <v>2.79</v>
      </c>
    </row>
    <row r="37" spans="1:13" x14ac:dyDescent="0.2">
      <c r="A37" s="1">
        <f t="shared" si="1"/>
        <v>1.99</v>
      </c>
      <c r="C37" t="s">
        <v>41</v>
      </c>
      <c r="D37" t="s">
        <v>128</v>
      </c>
      <c r="E37" t="s">
        <v>129</v>
      </c>
      <c r="F37" t="s">
        <v>19</v>
      </c>
      <c r="G37" t="s">
        <v>44</v>
      </c>
      <c r="H37" t="s">
        <v>129</v>
      </c>
      <c r="I37" t="s">
        <v>130</v>
      </c>
      <c r="J37" s="2">
        <v>46257</v>
      </c>
      <c r="K37" s="1">
        <v>1.99</v>
      </c>
    </row>
    <row r="38" spans="1:13" x14ac:dyDescent="0.2">
      <c r="A38" s="1">
        <f t="shared" si="1"/>
        <v>2.89</v>
      </c>
      <c r="C38" t="s">
        <v>41</v>
      </c>
      <c r="D38" t="s">
        <v>131</v>
      </c>
      <c r="E38" t="s">
        <v>132</v>
      </c>
      <c r="F38" t="s">
        <v>19</v>
      </c>
      <c r="G38" t="s">
        <v>44</v>
      </c>
      <c r="H38" t="s">
        <v>133</v>
      </c>
      <c r="I38" t="s">
        <v>130</v>
      </c>
      <c r="J38" s="2">
        <v>46257</v>
      </c>
      <c r="K38" s="1">
        <v>2.89</v>
      </c>
    </row>
    <row r="39" spans="1:13" x14ac:dyDescent="0.2">
      <c r="A39" s="1">
        <f t="shared" si="1"/>
        <v>5.99</v>
      </c>
      <c r="C39" t="s">
        <v>41</v>
      </c>
      <c r="D39" t="s">
        <v>19</v>
      </c>
      <c r="E39" t="s">
        <v>134</v>
      </c>
      <c r="F39" t="s">
        <v>19</v>
      </c>
      <c r="G39" t="s">
        <v>44</v>
      </c>
      <c r="H39" t="s">
        <v>135</v>
      </c>
      <c r="I39" t="s">
        <v>136</v>
      </c>
      <c r="J39" s="2">
        <v>46257</v>
      </c>
      <c r="K39" s="1">
        <v>5.99</v>
      </c>
    </row>
    <row r="40" spans="1:13" x14ac:dyDescent="0.2">
      <c r="A40" s="1">
        <f t="shared" si="1"/>
        <v>13.98</v>
      </c>
      <c r="C40" t="s">
        <v>137</v>
      </c>
      <c r="D40" t="s">
        <v>19</v>
      </c>
      <c r="E40" t="s">
        <v>138</v>
      </c>
      <c r="F40" t="s">
        <v>19</v>
      </c>
      <c r="G40" t="s">
        <v>139</v>
      </c>
      <c r="H40" t="s">
        <v>140</v>
      </c>
      <c r="I40" t="s">
        <v>141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1"/>
        <v>3.99</v>
      </c>
      <c r="C41" t="s">
        <v>137</v>
      </c>
      <c r="D41" t="s">
        <v>19</v>
      </c>
      <c r="E41" t="s">
        <v>142</v>
      </c>
      <c r="F41" t="s">
        <v>19</v>
      </c>
      <c r="G41" t="s">
        <v>139</v>
      </c>
      <c r="H41" t="s">
        <v>143</v>
      </c>
      <c r="I41" t="s">
        <v>71</v>
      </c>
      <c r="J41" s="2">
        <v>46258</v>
      </c>
      <c r="K41" s="1">
        <v>3.99</v>
      </c>
    </row>
    <row r="42" spans="1:13" x14ac:dyDescent="0.2">
      <c r="A42" s="1">
        <f t="shared" si="1"/>
        <v>3.29</v>
      </c>
      <c r="C42" t="s">
        <v>137</v>
      </c>
      <c r="D42" t="s">
        <v>19</v>
      </c>
      <c r="E42" t="s">
        <v>144</v>
      </c>
      <c r="F42" t="s">
        <v>19</v>
      </c>
      <c r="G42" t="s">
        <v>139</v>
      </c>
      <c r="H42" t="s">
        <v>145</v>
      </c>
      <c r="I42" t="s">
        <v>146</v>
      </c>
      <c r="J42" s="2">
        <v>46258</v>
      </c>
      <c r="K42" s="1">
        <v>3.29</v>
      </c>
    </row>
    <row r="43" spans="1:13" x14ac:dyDescent="0.2">
      <c r="A43" s="1">
        <f t="shared" si="1"/>
        <v>2.99</v>
      </c>
      <c r="C43" t="s">
        <v>137</v>
      </c>
      <c r="D43" t="s">
        <v>19</v>
      </c>
      <c r="E43" t="s">
        <v>147</v>
      </c>
      <c r="F43" t="s">
        <v>19</v>
      </c>
      <c r="G43" t="s">
        <v>139</v>
      </c>
      <c r="H43" t="s">
        <v>148</v>
      </c>
      <c r="I43" t="s">
        <v>149</v>
      </c>
      <c r="J43" s="2">
        <v>46258</v>
      </c>
      <c r="K43" s="1">
        <v>2.99</v>
      </c>
    </row>
    <row r="44" spans="1:13" x14ac:dyDescent="0.2">
      <c r="A44" s="1">
        <f t="shared" si="1"/>
        <v>5.99</v>
      </c>
      <c r="C44" t="s">
        <v>137</v>
      </c>
      <c r="D44" t="s">
        <v>19</v>
      </c>
      <c r="E44" t="s">
        <v>150</v>
      </c>
      <c r="F44" t="s">
        <v>19</v>
      </c>
      <c r="G44" t="s">
        <v>139</v>
      </c>
      <c r="H44" t="s">
        <v>151</v>
      </c>
      <c r="I44" t="s">
        <v>152</v>
      </c>
      <c r="J44" s="2">
        <v>46258</v>
      </c>
      <c r="K44" s="1">
        <v>5.99</v>
      </c>
    </row>
    <row r="45" spans="1:13" x14ac:dyDescent="0.2">
      <c r="A45" s="1">
        <f t="shared" si="1"/>
        <v>5.5</v>
      </c>
      <c r="C45" t="s">
        <v>153</v>
      </c>
      <c r="D45" t="s">
        <v>19</v>
      </c>
      <c r="E45" t="s">
        <v>154</v>
      </c>
      <c r="F45" t="s">
        <v>19</v>
      </c>
      <c r="G45" t="s">
        <v>19</v>
      </c>
      <c r="H45" t="s">
        <v>154</v>
      </c>
      <c r="I45" t="s">
        <v>155</v>
      </c>
      <c r="J45" s="2">
        <v>46261</v>
      </c>
      <c r="K45" s="1">
        <v>5.5</v>
      </c>
    </row>
    <row r="46" spans="1:13" x14ac:dyDescent="0.2">
      <c r="A46" s="1">
        <f t="shared" si="1"/>
        <v>5.5</v>
      </c>
      <c r="C46" t="s">
        <v>153</v>
      </c>
      <c r="D46" t="s">
        <v>19</v>
      </c>
      <c r="E46" t="s">
        <v>156</v>
      </c>
      <c r="F46" t="s">
        <v>19</v>
      </c>
      <c r="G46" t="s">
        <v>19</v>
      </c>
      <c r="H46" t="s">
        <v>156</v>
      </c>
      <c r="I46" t="s">
        <v>155</v>
      </c>
      <c r="J46" s="2">
        <v>46261</v>
      </c>
      <c r="K46" s="1">
        <v>5.5</v>
      </c>
    </row>
    <row r="47" spans="1:13" x14ac:dyDescent="0.2">
      <c r="A47" s="1">
        <f t="shared" si="1"/>
        <v>14.9</v>
      </c>
      <c r="C47" t="s">
        <v>153</v>
      </c>
      <c r="D47" t="s">
        <v>19</v>
      </c>
      <c r="E47" t="s">
        <v>157</v>
      </c>
      <c r="F47" t="s">
        <v>158</v>
      </c>
      <c r="G47" t="s">
        <v>19</v>
      </c>
      <c r="H47" t="s">
        <v>157</v>
      </c>
      <c r="I47" t="s">
        <v>159</v>
      </c>
      <c r="J47" s="2">
        <v>46261</v>
      </c>
      <c r="K47" s="1">
        <v>14.9</v>
      </c>
    </row>
    <row r="48" spans="1:13" x14ac:dyDescent="0.2">
      <c r="A48" s="1">
        <f t="shared" si="1"/>
        <v>16.3</v>
      </c>
      <c r="C48" t="s">
        <v>153</v>
      </c>
      <c r="D48" t="s">
        <v>19</v>
      </c>
      <c r="E48" t="s">
        <v>160</v>
      </c>
      <c r="F48" t="s">
        <v>161</v>
      </c>
      <c r="G48" t="s">
        <v>19</v>
      </c>
      <c r="H48" t="s">
        <v>160</v>
      </c>
      <c r="I48" t="s">
        <v>159</v>
      </c>
      <c r="J48" s="2">
        <v>46261</v>
      </c>
      <c r="K48" s="1">
        <v>16.3</v>
      </c>
    </row>
    <row r="49" spans="1:13" x14ac:dyDescent="0.2">
      <c r="A49" s="1">
        <f t="shared" si="1"/>
        <v>2.96</v>
      </c>
      <c r="C49" t="s">
        <v>153</v>
      </c>
      <c r="D49" t="s">
        <v>19</v>
      </c>
      <c r="E49" t="s">
        <v>162</v>
      </c>
      <c r="F49" t="s">
        <v>19</v>
      </c>
      <c r="G49" t="s">
        <v>19</v>
      </c>
      <c r="H49" t="s">
        <v>162</v>
      </c>
      <c r="I49" t="s">
        <v>163</v>
      </c>
      <c r="J49" s="2">
        <v>46261</v>
      </c>
      <c r="K49" s="1">
        <v>2.96</v>
      </c>
    </row>
    <row r="50" spans="1:13" x14ac:dyDescent="0.2">
      <c r="A50" s="1">
        <f t="shared" si="1"/>
        <v>2.96</v>
      </c>
      <c r="C50" t="s">
        <v>153</v>
      </c>
      <c r="D50" t="s">
        <v>19</v>
      </c>
      <c r="E50" t="s">
        <v>164</v>
      </c>
      <c r="F50" t="s">
        <v>19</v>
      </c>
      <c r="G50" t="s">
        <v>19</v>
      </c>
      <c r="H50" t="s">
        <v>164</v>
      </c>
      <c r="I50" t="s">
        <v>163</v>
      </c>
      <c r="J50" s="2">
        <v>46261</v>
      </c>
      <c r="K50" s="1">
        <v>2.96</v>
      </c>
    </row>
    <row r="51" spans="1:13" x14ac:dyDescent="0.2">
      <c r="A51" s="1">
        <f t="shared" si="1"/>
        <v>8.9600000000000009</v>
      </c>
      <c r="C51" t="s">
        <v>165</v>
      </c>
      <c r="D51" t="s">
        <v>19</v>
      </c>
      <c r="E51" t="s">
        <v>166</v>
      </c>
      <c r="F51" t="s">
        <v>19</v>
      </c>
      <c r="G51" t="s">
        <v>167</v>
      </c>
      <c r="H51" t="s">
        <v>19</v>
      </c>
      <c r="I51" t="s">
        <v>19</v>
      </c>
      <c r="J51" s="2">
        <v>46240</v>
      </c>
      <c r="K51" s="1">
        <v>4.4800000000000004</v>
      </c>
      <c r="L51" s="2">
        <v>46241</v>
      </c>
      <c r="M51" s="1">
        <v>4.4800000000000004</v>
      </c>
    </row>
    <row r="52" spans="1:13" x14ac:dyDescent="0.2">
      <c r="A52" s="1">
        <f t="shared" si="1"/>
        <v>13.92</v>
      </c>
      <c r="C52" t="s">
        <v>165</v>
      </c>
      <c r="D52" t="s">
        <v>19</v>
      </c>
      <c r="E52" t="s">
        <v>168</v>
      </c>
      <c r="F52" t="s">
        <v>19</v>
      </c>
      <c r="G52" t="s">
        <v>167</v>
      </c>
      <c r="H52" t="s">
        <v>19</v>
      </c>
      <c r="I52" t="s">
        <v>169</v>
      </c>
      <c r="J52" s="2">
        <v>46240</v>
      </c>
      <c r="K52" s="1">
        <v>6.96</v>
      </c>
      <c r="L52" s="2">
        <v>46241</v>
      </c>
      <c r="M52" s="1">
        <v>6.96</v>
      </c>
    </row>
    <row r="53" spans="1:13" x14ac:dyDescent="0.2">
      <c r="A53" s="1">
        <f t="shared" si="1"/>
        <v>16.739999999999998</v>
      </c>
      <c r="C53" t="s">
        <v>165</v>
      </c>
      <c r="D53" t="s">
        <v>19</v>
      </c>
      <c r="E53" t="s">
        <v>170</v>
      </c>
      <c r="F53" t="s">
        <v>19</v>
      </c>
      <c r="G53" t="s">
        <v>167</v>
      </c>
      <c r="H53" t="s">
        <v>19</v>
      </c>
      <c r="I53" t="s">
        <v>171</v>
      </c>
      <c r="J53" s="2">
        <v>46240</v>
      </c>
      <c r="K53" s="1">
        <v>8.3699999999999992</v>
      </c>
      <c r="L53" s="2">
        <v>46241</v>
      </c>
      <c r="M53" s="1">
        <v>8.3699999999999992</v>
      </c>
    </row>
    <row r="54" spans="1:13" x14ac:dyDescent="0.2">
      <c r="A54" s="1">
        <f t="shared" si="1"/>
        <v>6.67</v>
      </c>
      <c r="C54" t="s">
        <v>165</v>
      </c>
      <c r="D54" t="s">
        <v>19</v>
      </c>
      <c r="E54" t="s">
        <v>172</v>
      </c>
      <c r="F54" t="s">
        <v>19</v>
      </c>
      <c r="G54" t="s">
        <v>167</v>
      </c>
      <c r="H54" t="s">
        <v>19</v>
      </c>
      <c r="I54" t="s">
        <v>171</v>
      </c>
      <c r="J54" s="2">
        <v>46240</v>
      </c>
      <c r="K54" s="1">
        <v>6.67</v>
      </c>
    </row>
    <row r="55" spans="1:13" x14ac:dyDescent="0.2">
      <c r="A55" s="1">
        <f t="shared" si="1"/>
        <v>47.88</v>
      </c>
      <c r="C55" t="s">
        <v>165</v>
      </c>
      <c r="D55" t="s">
        <v>19</v>
      </c>
      <c r="E55" t="s">
        <v>173</v>
      </c>
      <c r="F55" t="s">
        <v>19</v>
      </c>
      <c r="G55" t="s">
        <v>167</v>
      </c>
      <c r="H55" t="s">
        <v>19</v>
      </c>
      <c r="I55" t="s">
        <v>174</v>
      </c>
      <c r="J55" s="2">
        <v>46240</v>
      </c>
      <c r="K55" s="1">
        <v>23.94</v>
      </c>
      <c r="L55" s="2">
        <v>46241</v>
      </c>
      <c r="M55" s="1">
        <v>23.94</v>
      </c>
    </row>
    <row r="56" spans="1:13" x14ac:dyDescent="0.2">
      <c r="A56" s="1">
        <f t="shared" si="1"/>
        <v>6.32</v>
      </c>
      <c r="C56" t="s">
        <v>165</v>
      </c>
      <c r="D56" t="s">
        <v>19</v>
      </c>
      <c r="E56" t="s">
        <v>175</v>
      </c>
      <c r="F56" t="s">
        <v>19</v>
      </c>
      <c r="G56" t="s">
        <v>167</v>
      </c>
      <c r="H56" t="s">
        <v>19</v>
      </c>
      <c r="I56" t="s">
        <v>176</v>
      </c>
      <c r="J56" s="2">
        <v>46240</v>
      </c>
      <c r="K56" s="1">
        <v>3.16</v>
      </c>
      <c r="L56" s="2">
        <v>46241</v>
      </c>
      <c r="M56" s="1">
        <v>3.16</v>
      </c>
    </row>
    <row r="57" spans="1:13" x14ac:dyDescent="0.2">
      <c r="A57" s="1">
        <f t="shared" si="1"/>
        <v>11.64</v>
      </c>
      <c r="C57" t="s">
        <v>165</v>
      </c>
      <c r="D57" t="s">
        <v>19</v>
      </c>
      <c r="E57" t="s">
        <v>177</v>
      </c>
      <c r="F57" t="s">
        <v>19</v>
      </c>
      <c r="G57" t="s">
        <v>167</v>
      </c>
      <c r="H57" t="s">
        <v>19</v>
      </c>
      <c r="I57" t="s">
        <v>178</v>
      </c>
      <c r="J57" s="2">
        <v>46240</v>
      </c>
      <c r="K57" s="1">
        <v>5.82</v>
      </c>
      <c r="L57" s="2">
        <v>46241</v>
      </c>
      <c r="M57" s="1">
        <v>5.82</v>
      </c>
    </row>
    <row r="58" spans="1:13" x14ac:dyDescent="0.2">
      <c r="A58" s="1">
        <f t="shared" si="1"/>
        <v>39.770000000000003</v>
      </c>
      <c r="C58" t="s">
        <v>165</v>
      </c>
      <c r="D58" t="s">
        <v>19</v>
      </c>
      <c r="E58" t="s">
        <v>179</v>
      </c>
      <c r="F58" t="s">
        <v>19</v>
      </c>
      <c r="G58" t="s">
        <v>167</v>
      </c>
      <c r="H58" t="s">
        <v>19</v>
      </c>
      <c r="I58" t="s">
        <v>178</v>
      </c>
      <c r="J58" s="2">
        <v>46240</v>
      </c>
      <c r="K58" s="1">
        <v>39.770000000000003</v>
      </c>
    </row>
    <row r="59" spans="1:13" x14ac:dyDescent="0.2">
      <c r="A59" s="1">
        <f t="shared" si="1"/>
        <v>4.17</v>
      </c>
      <c r="C59" t="s">
        <v>165</v>
      </c>
      <c r="D59" t="s">
        <v>19</v>
      </c>
      <c r="E59" t="s">
        <v>180</v>
      </c>
      <c r="F59" t="s">
        <v>19</v>
      </c>
      <c r="G59" t="s">
        <v>167</v>
      </c>
      <c r="H59" t="s">
        <v>19</v>
      </c>
      <c r="I59" t="s">
        <v>169</v>
      </c>
      <c r="J59" s="2">
        <v>46240</v>
      </c>
      <c r="K59" s="1">
        <v>4.17</v>
      </c>
    </row>
    <row r="60" spans="1:13" x14ac:dyDescent="0.2">
      <c r="A60" s="1">
        <f t="shared" si="1"/>
        <v>15.94</v>
      </c>
      <c r="C60" t="s">
        <v>165</v>
      </c>
      <c r="D60" t="s">
        <v>19</v>
      </c>
      <c r="E60" t="s">
        <v>181</v>
      </c>
      <c r="F60" t="s">
        <v>19</v>
      </c>
      <c r="G60" t="s">
        <v>167</v>
      </c>
      <c r="H60" t="s">
        <v>19</v>
      </c>
      <c r="I60" t="s">
        <v>169</v>
      </c>
      <c r="J60" s="2">
        <v>46240</v>
      </c>
      <c r="K60" s="1">
        <v>7.97</v>
      </c>
      <c r="L60" s="2">
        <v>46241</v>
      </c>
      <c r="M60" s="1">
        <v>7.97</v>
      </c>
    </row>
    <row r="61" spans="1:13" x14ac:dyDescent="0.2">
      <c r="A61" s="1">
        <f t="shared" si="1"/>
        <v>10.64</v>
      </c>
      <c r="C61" t="s">
        <v>165</v>
      </c>
      <c r="D61" t="s">
        <v>19</v>
      </c>
      <c r="E61" t="s">
        <v>182</v>
      </c>
      <c r="F61" t="s">
        <v>19</v>
      </c>
      <c r="G61" t="s">
        <v>167</v>
      </c>
      <c r="H61" t="s">
        <v>19</v>
      </c>
      <c r="I61" t="s">
        <v>169</v>
      </c>
      <c r="J61" s="2">
        <v>46240</v>
      </c>
      <c r="K61" s="1">
        <v>5.32</v>
      </c>
      <c r="L61" s="2">
        <v>46241</v>
      </c>
      <c r="M61" s="1">
        <v>5.32</v>
      </c>
    </row>
    <row r="62" spans="1:13" x14ac:dyDescent="0.2">
      <c r="A62" s="1">
        <f t="shared" si="1"/>
        <v>4.96</v>
      </c>
      <c r="C62" t="s">
        <v>165</v>
      </c>
      <c r="D62" t="s">
        <v>19</v>
      </c>
      <c r="E62" t="s">
        <v>183</v>
      </c>
      <c r="F62" t="s">
        <v>19</v>
      </c>
      <c r="G62" t="s">
        <v>167</v>
      </c>
      <c r="H62" t="s">
        <v>19</v>
      </c>
      <c r="I62" t="s">
        <v>171</v>
      </c>
      <c r="J62" s="2">
        <v>46240</v>
      </c>
      <c r="K62" s="1">
        <v>4.96</v>
      </c>
    </row>
    <row r="63" spans="1:13" x14ac:dyDescent="0.2">
      <c r="A63" s="1">
        <f t="shared" si="1"/>
        <v>9.94</v>
      </c>
      <c r="C63" t="s">
        <v>165</v>
      </c>
      <c r="D63" t="s">
        <v>19</v>
      </c>
      <c r="E63" t="s">
        <v>184</v>
      </c>
      <c r="F63" t="s">
        <v>19</v>
      </c>
      <c r="G63" t="s">
        <v>167</v>
      </c>
      <c r="H63" t="s">
        <v>19</v>
      </c>
      <c r="I63" t="s">
        <v>19</v>
      </c>
      <c r="J63" s="2">
        <v>46240</v>
      </c>
      <c r="K63">
        <v>4.97</v>
      </c>
      <c r="L63" s="2">
        <v>46241</v>
      </c>
      <c r="M63" s="1">
        <v>4.97</v>
      </c>
    </row>
    <row r="64" spans="1:13" x14ac:dyDescent="0.2">
      <c r="A64" s="1">
        <f t="shared" si="1"/>
        <v>9.94</v>
      </c>
      <c r="C64" t="s">
        <v>165</v>
      </c>
      <c r="D64" t="s">
        <v>19</v>
      </c>
      <c r="E64" t="s">
        <v>185</v>
      </c>
      <c r="F64" t="s">
        <v>19</v>
      </c>
      <c r="G64" t="s">
        <v>167</v>
      </c>
      <c r="H64" t="s">
        <v>19</v>
      </c>
      <c r="I64" t="s">
        <v>19</v>
      </c>
      <c r="J64" s="2">
        <v>46240</v>
      </c>
      <c r="K64" s="1">
        <v>4.97</v>
      </c>
      <c r="L64" s="2">
        <v>46241</v>
      </c>
      <c r="M64" s="1">
        <v>4.97</v>
      </c>
    </row>
    <row r="65" spans="1:19" x14ac:dyDescent="0.2">
      <c r="A65" s="1">
        <f t="shared" si="1"/>
        <v>9.76</v>
      </c>
      <c r="C65" t="s">
        <v>165</v>
      </c>
      <c r="D65" t="s">
        <v>19</v>
      </c>
      <c r="E65" t="s">
        <v>186</v>
      </c>
      <c r="F65" t="s">
        <v>19</v>
      </c>
      <c r="G65" t="s">
        <v>167</v>
      </c>
      <c r="H65" t="s">
        <v>19</v>
      </c>
      <c r="I65" t="s">
        <v>19</v>
      </c>
      <c r="J65" s="2">
        <v>46240</v>
      </c>
      <c r="K65" s="1">
        <v>4.88</v>
      </c>
      <c r="L65" s="2">
        <v>46241</v>
      </c>
      <c r="M65" s="1">
        <v>4.88</v>
      </c>
    </row>
    <row r="66" spans="1:19" x14ac:dyDescent="0.2">
      <c r="A66" s="1">
        <f t="shared" ref="A66:A97" si="2">SUM(K66,M66,O66,Q66,S66)</f>
        <v>19.34</v>
      </c>
      <c r="C66" t="s">
        <v>165</v>
      </c>
      <c r="D66" t="s">
        <v>19</v>
      </c>
      <c r="E66" t="s">
        <v>187</v>
      </c>
      <c r="F66" t="s">
        <v>19</v>
      </c>
      <c r="G66" t="s">
        <v>167</v>
      </c>
      <c r="H66" t="s">
        <v>19</v>
      </c>
      <c r="I66" t="s">
        <v>188</v>
      </c>
      <c r="J66" s="2">
        <v>46240</v>
      </c>
      <c r="K66" s="1">
        <v>9.67</v>
      </c>
      <c r="L66" s="2">
        <v>46241</v>
      </c>
      <c r="M66" s="1">
        <v>9.67</v>
      </c>
    </row>
    <row r="67" spans="1:19" x14ac:dyDescent="0.2">
      <c r="A67" s="1">
        <f t="shared" si="2"/>
        <v>2.54</v>
      </c>
      <c r="C67" t="s">
        <v>165</v>
      </c>
      <c r="D67" t="s">
        <v>19</v>
      </c>
      <c r="E67" t="s">
        <v>189</v>
      </c>
      <c r="F67" t="s">
        <v>19</v>
      </c>
      <c r="G67" t="s">
        <v>167</v>
      </c>
      <c r="H67" t="s">
        <v>19</v>
      </c>
      <c r="I67" t="s">
        <v>19</v>
      </c>
      <c r="J67" s="2">
        <v>46240</v>
      </c>
      <c r="K67" s="1">
        <v>2.54</v>
      </c>
    </row>
    <row r="68" spans="1:19" x14ac:dyDescent="0.2">
      <c r="A68" s="1">
        <f t="shared" si="2"/>
        <v>15.92</v>
      </c>
      <c r="C68" t="s">
        <v>165</v>
      </c>
      <c r="D68" t="s">
        <v>19</v>
      </c>
      <c r="E68" t="s">
        <v>190</v>
      </c>
      <c r="F68" t="s">
        <v>19</v>
      </c>
      <c r="G68" t="s">
        <v>167</v>
      </c>
      <c r="H68" t="s">
        <v>19</v>
      </c>
      <c r="I68" t="s">
        <v>188</v>
      </c>
      <c r="J68" s="2">
        <v>46240</v>
      </c>
      <c r="K68" s="1">
        <v>7.96</v>
      </c>
      <c r="L68" s="2">
        <v>46241</v>
      </c>
      <c r="M68" s="1">
        <v>7.96</v>
      </c>
    </row>
    <row r="69" spans="1:19" x14ac:dyDescent="0.2">
      <c r="A69" s="1">
        <f t="shared" si="2"/>
        <v>9.94</v>
      </c>
      <c r="C69" t="s">
        <v>165</v>
      </c>
      <c r="D69" t="s">
        <v>19</v>
      </c>
      <c r="E69" t="s">
        <v>191</v>
      </c>
      <c r="F69" t="s">
        <v>19</v>
      </c>
      <c r="G69" t="s">
        <v>167</v>
      </c>
      <c r="H69" t="s">
        <v>19</v>
      </c>
      <c r="I69" t="s">
        <v>188</v>
      </c>
      <c r="J69" s="2">
        <v>46240</v>
      </c>
      <c r="K69" s="1">
        <v>4.97</v>
      </c>
      <c r="L69" s="2">
        <v>46241</v>
      </c>
      <c r="M69" s="1">
        <v>4.97</v>
      </c>
    </row>
    <row r="70" spans="1:19" x14ac:dyDescent="0.2">
      <c r="A70" s="1">
        <f t="shared" si="2"/>
        <v>5.49</v>
      </c>
      <c r="C70" t="s">
        <v>165</v>
      </c>
      <c r="D70" t="s">
        <v>19</v>
      </c>
      <c r="E70" t="s">
        <v>192</v>
      </c>
      <c r="F70" t="s">
        <v>19</v>
      </c>
      <c r="G70" t="s">
        <v>167</v>
      </c>
      <c r="H70" t="s">
        <v>19</v>
      </c>
      <c r="I70" t="s">
        <v>188</v>
      </c>
      <c r="J70" s="2">
        <v>46240</v>
      </c>
      <c r="K70" s="1">
        <v>1.83</v>
      </c>
      <c r="L70" s="2">
        <v>46241</v>
      </c>
      <c r="M70" s="1">
        <v>1.83</v>
      </c>
      <c r="N70" s="2">
        <v>46241</v>
      </c>
      <c r="O70" s="1">
        <v>1.83</v>
      </c>
    </row>
    <row r="71" spans="1:19" x14ac:dyDescent="0.2">
      <c r="A71" s="1">
        <f t="shared" si="2"/>
        <v>19.96</v>
      </c>
      <c r="C71" t="s">
        <v>165</v>
      </c>
      <c r="D71" t="s">
        <v>19</v>
      </c>
      <c r="E71" t="s">
        <v>193</v>
      </c>
      <c r="F71" t="s">
        <v>19</v>
      </c>
      <c r="G71" t="s">
        <v>167</v>
      </c>
      <c r="H71" t="s">
        <v>19</v>
      </c>
      <c r="I71" t="s">
        <v>178</v>
      </c>
      <c r="J71" s="2">
        <v>46240</v>
      </c>
      <c r="K71" s="1">
        <v>9.98</v>
      </c>
      <c r="L71" s="2">
        <v>46241</v>
      </c>
      <c r="M71" s="1">
        <v>9.98</v>
      </c>
    </row>
    <row r="72" spans="1:19" x14ac:dyDescent="0.2">
      <c r="A72" s="1">
        <f t="shared" si="2"/>
        <v>3.48</v>
      </c>
      <c r="C72" t="s">
        <v>165</v>
      </c>
      <c r="D72" t="s">
        <v>19</v>
      </c>
      <c r="E72" t="s">
        <v>192</v>
      </c>
      <c r="F72" t="s">
        <v>19</v>
      </c>
      <c r="G72" t="s">
        <v>167</v>
      </c>
      <c r="H72" t="s">
        <v>19</v>
      </c>
      <c r="I72" t="s">
        <v>19</v>
      </c>
      <c r="J72" s="2">
        <v>46240</v>
      </c>
      <c r="K72" s="1">
        <v>3.48</v>
      </c>
    </row>
    <row r="73" spans="1:19" x14ac:dyDescent="0.2">
      <c r="A73" s="1">
        <f t="shared" si="2"/>
        <v>21.42</v>
      </c>
      <c r="C73" t="s">
        <v>165</v>
      </c>
      <c r="D73" t="s">
        <v>19</v>
      </c>
      <c r="E73" t="s">
        <v>162</v>
      </c>
      <c r="F73" t="s">
        <v>19</v>
      </c>
      <c r="G73" t="s">
        <v>167</v>
      </c>
      <c r="H73" t="s">
        <v>19</v>
      </c>
      <c r="I73" t="s">
        <v>19</v>
      </c>
      <c r="J73" s="2">
        <v>46240</v>
      </c>
      <c r="K73" s="1">
        <v>3.48</v>
      </c>
      <c r="L73" s="2">
        <v>46241</v>
      </c>
      <c r="M73" s="1">
        <v>3.48</v>
      </c>
      <c r="N73" s="2">
        <v>46247</v>
      </c>
      <c r="O73" s="1">
        <v>1.76</v>
      </c>
      <c r="P73" s="2">
        <v>46260</v>
      </c>
      <c r="Q73" s="1">
        <v>6.35</v>
      </c>
      <c r="R73" s="2">
        <v>46260</v>
      </c>
      <c r="S73" s="1">
        <v>6.35</v>
      </c>
    </row>
    <row r="74" spans="1:19" x14ac:dyDescent="0.2">
      <c r="A74" s="1">
        <f t="shared" si="2"/>
        <v>46.78</v>
      </c>
      <c r="C74" t="s">
        <v>165</v>
      </c>
      <c r="D74" t="s">
        <v>19</v>
      </c>
      <c r="E74" t="s">
        <v>194</v>
      </c>
      <c r="F74" t="s">
        <v>19</v>
      </c>
      <c r="G74" t="s">
        <v>167</v>
      </c>
      <c r="H74" t="s">
        <v>19</v>
      </c>
      <c r="I74" t="s">
        <v>19</v>
      </c>
      <c r="J74" s="2">
        <v>46240</v>
      </c>
      <c r="K74" s="1">
        <v>16.920000000000002</v>
      </c>
      <c r="L74" s="2">
        <v>46247</v>
      </c>
      <c r="M74" s="1">
        <v>17.72</v>
      </c>
      <c r="N74" s="2">
        <v>46260</v>
      </c>
      <c r="O74" s="1">
        <v>12.14</v>
      </c>
    </row>
    <row r="75" spans="1:19" x14ac:dyDescent="0.2">
      <c r="A75" s="1">
        <f t="shared" si="2"/>
        <v>5</v>
      </c>
      <c r="C75" t="s">
        <v>165</v>
      </c>
      <c r="D75" t="s">
        <v>19</v>
      </c>
      <c r="E75" t="s">
        <v>195</v>
      </c>
      <c r="F75" t="s">
        <v>19</v>
      </c>
      <c r="G75" t="s">
        <v>167</v>
      </c>
      <c r="H75" t="s">
        <v>19</v>
      </c>
      <c r="I75" t="s">
        <v>19</v>
      </c>
      <c r="J75" s="2">
        <v>46240</v>
      </c>
      <c r="K75" s="1">
        <v>5</v>
      </c>
    </row>
    <row r="76" spans="1:19" x14ac:dyDescent="0.2">
      <c r="A76" s="1">
        <f t="shared" si="2"/>
        <v>2.77</v>
      </c>
      <c r="C76" t="s">
        <v>165</v>
      </c>
      <c r="D76" t="s">
        <v>19</v>
      </c>
      <c r="E76" t="s">
        <v>196</v>
      </c>
      <c r="F76" t="s">
        <v>19</v>
      </c>
      <c r="G76" t="s">
        <v>167</v>
      </c>
      <c r="H76" t="s">
        <v>19</v>
      </c>
      <c r="I76" t="s">
        <v>19</v>
      </c>
      <c r="J76" s="2">
        <v>46240</v>
      </c>
      <c r="K76" s="1">
        <v>2.77</v>
      </c>
    </row>
    <row r="77" spans="1:19" x14ac:dyDescent="0.2">
      <c r="A77" s="1">
        <f t="shared" si="2"/>
        <v>6.67</v>
      </c>
      <c r="C77" t="s">
        <v>165</v>
      </c>
      <c r="D77" t="s">
        <v>19</v>
      </c>
      <c r="E77" t="s">
        <v>197</v>
      </c>
      <c r="F77" t="s">
        <v>19</v>
      </c>
      <c r="G77" t="s">
        <v>167</v>
      </c>
      <c r="H77" t="s">
        <v>19</v>
      </c>
      <c r="I77" t="s">
        <v>171</v>
      </c>
      <c r="J77" s="2">
        <v>46241</v>
      </c>
      <c r="K77" s="1">
        <v>6.67</v>
      </c>
    </row>
    <row r="78" spans="1:19" x14ac:dyDescent="0.2">
      <c r="A78" s="1">
        <f t="shared" si="2"/>
        <v>39.770000000000003</v>
      </c>
      <c r="C78" t="s">
        <v>165</v>
      </c>
      <c r="D78" t="s">
        <v>19</v>
      </c>
      <c r="E78" t="s">
        <v>198</v>
      </c>
      <c r="F78" t="s">
        <v>19</v>
      </c>
      <c r="G78" t="s">
        <v>167</v>
      </c>
      <c r="H78" t="s">
        <v>19</v>
      </c>
      <c r="I78" t="s">
        <v>178</v>
      </c>
      <c r="J78" s="2">
        <v>46241</v>
      </c>
      <c r="K78" s="1">
        <v>39.770000000000003</v>
      </c>
    </row>
    <row r="79" spans="1:19" x14ac:dyDescent="0.2">
      <c r="A79" s="1">
        <f t="shared" si="2"/>
        <v>4.17</v>
      </c>
      <c r="C79" t="s">
        <v>165</v>
      </c>
      <c r="D79" t="s">
        <v>19</v>
      </c>
      <c r="E79" t="s">
        <v>199</v>
      </c>
      <c r="F79" t="s">
        <v>19</v>
      </c>
      <c r="G79" t="s">
        <v>167</v>
      </c>
      <c r="H79" t="s">
        <v>19</v>
      </c>
      <c r="I79" t="s">
        <v>169</v>
      </c>
      <c r="J79" s="2">
        <v>46241</v>
      </c>
      <c r="K79" s="1">
        <v>4.17</v>
      </c>
    </row>
    <row r="80" spans="1:19" x14ac:dyDescent="0.2">
      <c r="A80" s="1">
        <f t="shared" si="2"/>
        <v>4.96</v>
      </c>
      <c r="C80" t="s">
        <v>165</v>
      </c>
      <c r="D80" t="s">
        <v>19</v>
      </c>
      <c r="E80" t="s">
        <v>200</v>
      </c>
      <c r="F80" t="s">
        <v>19</v>
      </c>
      <c r="G80" t="s">
        <v>167</v>
      </c>
      <c r="H80" t="s">
        <v>19</v>
      </c>
      <c r="I80" t="s">
        <v>171</v>
      </c>
      <c r="J80" s="2">
        <v>46241</v>
      </c>
      <c r="K80" s="1">
        <v>4.96</v>
      </c>
    </row>
    <row r="81" spans="1:13" x14ac:dyDescent="0.2">
      <c r="A81" s="1">
        <f t="shared" si="2"/>
        <v>11.76</v>
      </c>
      <c r="C81" t="s">
        <v>165</v>
      </c>
      <c r="D81" t="s">
        <v>19</v>
      </c>
      <c r="E81" t="s">
        <v>201</v>
      </c>
      <c r="F81" t="s">
        <v>19</v>
      </c>
      <c r="G81" t="s">
        <v>167</v>
      </c>
      <c r="H81" t="s">
        <v>19</v>
      </c>
      <c r="I81" t="s">
        <v>188</v>
      </c>
      <c r="J81" s="2">
        <v>46241</v>
      </c>
      <c r="K81" s="1">
        <v>11.76</v>
      </c>
    </row>
    <row r="82" spans="1:13" x14ac:dyDescent="0.2">
      <c r="A82" s="1">
        <f t="shared" si="2"/>
        <v>2.54</v>
      </c>
      <c r="C82" t="s">
        <v>165</v>
      </c>
      <c r="D82" t="s">
        <v>19</v>
      </c>
      <c r="E82" t="s">
        <v>202</v>
      </c>
      <c r="F82" t="s">
        <v>19</v>
      </c>
      <c r="G82" t="s">
        <v>167</v>
      </c>
      <c r="H82" t="s">
        <v>19</v>
      </c>
      <c r="I82" t="s">
        <v>19</v>
      </c>
      <c r="J82" s="2">
        <v>46241</v>
      </c>
      <c r="K82" s="1">
        <v>2.54</v>
      </c>
    </row>
    <row r="83" spans="1:13" x14ac:dyDescent="0.2">
      <c r="A83" s="1">
        <f t="shared" si="2"/>
        <v>5</v>
      </c>
      <c r="C83" t="s">
        <v>165</v>
      </c>
      <c r="D83" t="s">
        <v>19</v>
      </c>
      <c r="E83" t="s">
        <v>203</v>
      </c>
      <c r="F83" t="s">
        <v>19</v>
      </c>
      <c r="G83" t="s">
        <v>167</v>
      </c>
      <c r="H83" t="s">
        <v>19</v>
      </c>
      <c r="I83" t="s">
        <v>19</v>
      </c>
      <c r="J83" s="2">
        <v>46241</v>
      </c>
      <c r="K83" s="1">
        <v>5</v>
      </c>
    </row>
    <row r="84" spans="1:13" x14ac:dyDescent="0.2">
      <c r="A84" s="1">
        <f t="shared" si="2"/>
        <v>5.97</v>
      </c>
      <c r="C84" t="s">
        <v>165</v>
      </c>
      <c r="D84" t="s">
        <v>19</v>
      </c>
      <c r="E84" t="s">
        <v>204</v>
      </c>
      <c r="F84" t="s">
        <v>19</v>
      </c>
      <c r="G84" t="s">
        <v>167</v>
      </c>
      <c r="H84" t="s">
        <v>19</v>
      </c>
      <c r="I84" t="s">
        <v>188</v>
      </c>
      <c r="J84" s="2">
        <v>46247</v>
      </c>
      <c r="K84" s="1">
        <v>5.97</v>
      </c>
    </row>
    <row r="85" spans="1:13" x14ac:dyDescent="0.2">
      <c r="A85" s="1">
        <f t="shared" si="2"/>
        <v>6.88</v>
      </c>
      <c r="C85" t="s">
        <v>165</v>
      </c>
      <c r="D85" t="s">
        <v>19</v>
      </c>
      <c r="E85" t="s">
        <v>205</v>
      </c>
      <c r="F85" t="s">
        <v>19</v>
      </c>
      <c r="G85" t="s">
        <v>167</v>
      </c>
      <c r="H85" t="s">
        <v>19</v>
      </c>
      <c r="I85" t="s">
        <v>206</v>
      </c>
      <c r="J85" s="2">
        <v>46247</v>
      </c>
      <c r="K85" s="1">
        <v>6.88</v>
      </c>
    </row>
    <row r="86" spans="1:13" x14ac:dyDescent="0.2">
      <c r="A86" s="1">
        <f t="shared" si="2"/>
        <v>6.48</v>
      </c>
      <c r="C86" t="s">
        <v>165</v>
      </c>
      <c r="D86" t="s">
        <v>19</v>
      </c>
      <c r="E86" t="s">
        <v>207</v>
      </c>
      <c r="F86" t="s">
        <v>19</v>
      </c>
      <c r="G86" t="s">
        <v>167</v>
      </c>
      <c r="H86" t="s">
        <v>19</v>
      </c>
      <c r="I86" t="s">
        <v>176</v>
      </c>
      <c r="J86" s="2">
        <v>46247</v>
      </c>
      <c r="K86" s="1">
        <v>6.48</v>
      </c>
    </row>
    <row r="87" spans="1:13" x14ac:dyDescent="0.2">
      <c r="A87" s="1">
        <f t="shared" si="2"/>
        <v>5.74</v>
      </c>
      <c r="C87" t="s">
        <v>165</v>
      </c>
      <c r="D87" t="s">
        <v>19</v>
      </c>
      <c r="E87" t="s">
        <v>208</v>
      </c>
      <c r="F87" t="s">
        <v>19</v>
      </c>
      <c r="G87" t="s">
        <v>167</v>
      </c>
      <c r="H87" t="s">
        <v>19</v>
      </c>
      <c r="I87" t="s">
        <v>176</v>
      </c>
      <c r="J87" s="2">
        <v>46247</v>
      </c>
      <c r="K87" s="1">
        <v>5.74</v>
      </c>
    </row>
    <row r="88" spans="1:13" x14ac:dyDescent="0.2">
      <c r="A88" s="1">
        <f t="shared" si="2"/>
        <v>5.98</v>
      </c>
      <c r="C88" t="s">
        <v>165</v>
      </c>
      <c r="D88" t="s">
        <v>19</v>
      </c>
      <c r="E88" t="s">
        <v>209</v>
      </c>
      <c r="F88" t="s">
        <v>19</v>
      </c>
      <c r="G88" t="s">
        <v>167</v>
      </c>
      <c r="H88" t="s">
        <v>19</v>
      </c>
      <c r="I88" t="s">
        <v>210</v>
      </c>
      <c r="J88" s="2">
        <v>46247</v>
      </c>
      <c r="K88" s="1">
        <v>5.98</v>
      </c>
    </row>
    <row r="89" spans="1:13" x14ac:dyDescent="0.2">
      <c r="A89" s="1">
        <f t="shared" si="2"/>
        <v>1.27</v>
      </c>
      <c r="C89" t="s">
        <v>165</v>
      </c>
      <c r="D89" t="s">
        <v>19</v>
      </c>
      <c r="E89" t="s">
        <v>211</v>
      </c>
      <c r="F89" t="s">
        <v>19</v>
      </c>
      <c r="G89" t="s">
        <v>167</v>
      </c>
      <c r="H89" t="s">
        <v>19</v>
      </c>
      <c r="I89" t="s">
        <v>212</v>
      </c>
      <c r="J89" s="2">
        <v>46247</v>
      </c>
      <c r="K89" s="1">
        <v>1.27</v>
      </c>
    </row>
    <row r="90" spans="1:13" x14ac:dyDescent="0.2">
      <c r="A90" s="1">
        <f t="shared" si="2"/>
        <v>11.93</v>
      </c>
      <c r="C90" t="s">
        <v>165</v>
      </c>
      <c r="D90" t="s">
        <v>19</v>
      </c>
      <c r="E90" t="s">
        <v>213</v>
      </c>
      <c r="F90" t="s">
        <v>19</v>
      </c>
      <c r="G90" t="s">
        <v>167</v>
      </c>
      <c r="H90" t="s">
        <v>19</v>
      </c>
      <c r="I90" t="s">
        <v>169</v>
      </c>
      <c r="J90" s="2">
        <v>46247</v>
      </c>
      <c r="K90" s="1">
        <v>11.93</v>
      </c>
    </row>
    <row r="91" spans="1:13" x14ac:dyDescent="0.2">
      <c r="A91" s="1">
        <f t="shared" si="2"/>
        <v>7.98</v>
      </c>
      <c r="C91" t="s">
        <v>165</v>
      </c>
      <c r="D91" t="s">
        <v>19</v>
      </c>
      <c r="E91" t="s">
        <v>214</v>
      </c>
      <c r="F91" t="s">
        <v>19</v>
      </c>
      <c r="G91" t="s">
        <v>167</v>
      </c>
      <c r="H91" t="s">
        <v>19</v>
      </c>
      <c r="I91" t="s">
        <v>19</v>
      </c>
      <c r="J91" s="2">
        <v>46247</v>
      </c>
      <c r="K91" s="1">
        <v>7.98</v>
      </c>
    </row>
    <row r="92" spans="1:13" x14ac:dyDescent="0.2">
      <c r="A92" s="1">
        <f t="shared" si="2"/>
        <v>6.48</v>
      </c>
      <c r="C92" t="s">
        <v>165</v>
      </c>
      <c r="D92" t="s">
        <v>19</v>
      </c>
      <c r="E92" t="s">
        <v>215</v>
      </c>
      <c r="F92" t="s">
        <v>19</v>
      </c>
      <c r="G92" t="s">
        <v>167</v>
      </c>
      <c r="H92" t="s">
        <v>19</v>
      </c>
      <c r="I92" t="s">
        <v>19</v>
      </c>
      <c r="J92" s="2">
        <v>46247</v>
      </c>
      <c r="K92" s="1">
        <v>6.48</v>
      </c>
    </row>
    <row r="93" spans="1:13" x14ac:dyDescent="0.2">
      <c r="A93" s="1">
        <f t="shared" si="2"/>
        <v>2.08</v>
      </c>
      <c r="C93" t="s">
        <v>165</v>
      </c>
      <c r="D93" t="s">
        <v>19</v>
      </c>
      <c r="E93" t="s">
        <v>216</v>
      </c>
      <c r="F93" t="s">
        <v>19</v>
      </c>
      <c r="G93" t="s">
        <v>167</v>
      </c>
      <c r="H93" t="s">
        <v>19</v>
      </c>
      <c r="I93" t="s">
        <v>19</v>
      </c>
      <c r="J93" s="2">
        <v>46247</v>
      </c>
      <c r="K93" s="1">
        <v>2.08</v>
      </c>
    </row>
    <row r="94" spans="1:13" x14ac:dyDescent="0.2">
      <c r="A94" s="1">
        <f t="shared" si="2"/>
        <v>3.16</v>
      </c>
      <c r="C94" t="s">
        <v>165</v>
      </c>
      <c r="D94" t="s">
        <v>19</v>
      </c>
      <c r="E94" t="s">
        <v>217</v>
      </c>
      <c r="F94" t="s">
        <v>161</v>
      </c>
      <c r="G94" t="s">
        <v>167</v>
      </c>
      <c r="H94" t="s">
        <v>19</v>
      </c>
      <c r="I94" t="s">
        <v>19</v>
      </c>
      <c r="J94" s="2">
        <v>46247</v>
      </c>
      <c r="K94" s="1">
        <v>3.16</v>
      </c>
    </row>
    <row r="95" spans="1:13" x14ac:dyDescent="0.2">
      <c r="A95" s="1">
        <f t="shared" si="2"/>
        <v>0.84</v>
      </c>
      <c r="C95" t="s">
        <v>165</v>
      </c>
      <c r="D95" t="s">
        <v>19</v>
      </c>
      <c r="E95" t="s">
        <v>218</v>
      </c>
      <c r="F95" t="s">
        <v>19</v>
      </c>
      <c r="G95" t="s">
        <v>167</v>
      </c>
      <c r="H95" t="s">
        <v>19</v>
      </c>
      <c r="I95" t="s">
        <v>19</v>
      </c>
      <c r="J95" s="2">
        <v>46247</v>
      </c>
      <c r="K95" s="1">
        <v>0.42</v>
      </c>
      <c r="L95" s="2">
        <v>46247</v>
      </c>
      <c r="M95" s="1">
        <v>0.42</v>
      </c>
    </row>
    <row r="96" spans="1:13" x14ac:dyDescent="0.2">
      <c r="A96" s="1">
        <f t="shared" si="2"/>
        <v>1.2</v>
      </c>
      <c r="C96" t="s">
        <v>165</v>
      </c>
      <c r="D96" t="s">
        <v>19</v>
      </c>
      <c r="E96" t="s">
        <v>219</v>
      </c>
      <c r="F96" t="s">
        <v>19</v>
      </c>
      <c r="G96" t="s">
        <v>167</v>
      </c>
      <c r="H96" t="s">
        <v>48</v>
      </c>
      <c r="I96" t="s">
        <v>188</v>
      </c>
      <c r="J96" s="2">
        <v>46247</v>
      </c>
      <c r="K96" s="1">
        <v>0.6</v>
      </c>
      <c r="L96" s="2">
        <v>46247</v>
      </c>
      <c r="M96" s="1">
        <v>0.6</v>
      </c>
    </row>
    <row r="97" spans="1:13" x14ac:dyDescent="0.2">
      <c r="A97" s="1">
        <f t="shared" si="2"/>
        <v>1.76</v>
      </c>
      <c r="C97" t="s">
        <v>165</v>
      </c>
      <c r="D97" t="s">
        <v>19</v>
      </c>
      <c r="E97" t="s">
        <v>220</v>
      </c>
      <c r="F97" t="s">
        <v>19</v>
      </c>
      <c r="G97" t="s">
        <v>167</v>
      </c>
      <c r="H97" t="s">
        <v>19</v>
      </c>
      <c r="I97" t="s">
        <v>188</v>
      </c>
      <c r="J97" s="2">
        <v>46247</v>
      </c>
      <c r="K97" s="1">
        <v>0.88</v>
      </c>
      <c r="L97" s="2">
        <v>46247</v>
      </c>
      <c r="M97" s="1">
        <v>0.88</v>
      </c>
    </row>
    <row r="98" spans="1:13" x14ac:dyDescent="0.2">
      <c r="A98" s="1">
        <f t="shared" ref="A98:A131" si="3">SUM(K98,M98,O98,Q98,S98)</f>
        <v>3.85</v>
      </c>
      <c r="C98" t="s">
        <v>165</v>
      </c>
      <c r="D98" t="s">
        <v>19</v>
      </c>
      <c r="E98" t="s">
        <v>221</v>
      </c>
      <c r="F98" t="s">
        <v>19</v>
      </c>
      <c r="G98" t="s">
        <v>167</v>
      </c>
      <c r="H98" t="s">
        <v>19</v>
      </c>
      <c r="I98" t="s">
        <v>188</v>
      </c>
      <c r="J98" s="2">
        <v>46247</v>
      </c>
      <c r="K98" s="1">
        <v>3.85</v>
      </c>
    </row>
    <row r="99" spans="1:13" x14ac:dyDescent="0.2">
      <c r="A99" s="1">
        <f t="shared" si="3"/>
        <v>3.52</v>
      </c>
      <c r="C99" t="s">
        <v>165</v>
      </c>
      <c r="D99" t="s">
        <v>19</v>
      </c>
      <c r="E99" t="s">
        <v>222</v>
      </c>
      <c r="F99" t="s">
        <v>19</v>
      </c>
      <c r="G99" t="s">
        <v>167</v>
      </c>
      <c r="H99" t="s">
        <v>19</v>
      </c>
      <c r="I99" t="s">
        <v>188</v>
      </c>
      <c r="J99" s="2">
        <v>46247</v>
      </c>
      <c r="K99" s="1">
        <v>1.76</v>
      </c>
      <c r="L99" s="2">
        <v>46247</v>
      </c>
      <c r="M99" s="1">
        <v>1.76</v>
      </c>
    </row>
    <row r="100" spans="1:13" x14ac:dyDescent="0.2">
      <c r="A100" s="1">
        <f t="shared" si="3"/>
        <v>28.54</v>
      </c>
      <c r="C100" t="s">
        <v>165</v>
      </c>
      <c r="D100" t="s">
        <v>19</v>
      </c>
      <c r="E100" t="s">
        <v>223</v>
      </c>
      <c r="F100" t="s">
        <v>19</v>
      </c>
      <c r="G100" t="s">
        <v>167</v>
      </c>
      <c r="H100" t="s">
        <v>19</v>
      </c>
      <c r="I100" t="s">
        <v>19</v>
      </c>
      <c r="J100" s="2">
        <v>46260</v>
      </c>
      <c r="K100" s="1">
        <v>28.54</v>
      </c>
    </row>
    <row r="101" spans="1:13" x14ac:dyDescent="0.2">
      <c r="A101" s="1">
        <f t="shared" si="3"/>
        <v>0</v>
      </c>
      <c r="C101" t="s">
        <v>165</v>
      </c>
      <c r="D101" t="s">
        <v>19</v>
      </c>
      <c r="E101" t="s">
        <v>224</v>
      </c>
      <c r="F101" t="s">
        <v>19</v>
      </c>
      <c r="G101" t="s">
        <v>167</v>
      </c>
      <c r="H101" t="s">
        <v>19</v>
      </c>
      <c r="I101" t="s">
        <v>19</v>
      </c>
      <c r="J101" s="2">
        <v>46260</v>
      </c>
      <c r="K101" t="s">
        <v>19</v>
      </c>
    </row>
    <row r="102" spans="1:13" x14ac:dyDescent="0.2">
      <c r="A102" s="1">
        <f t="shared" si="3"/>
        <v>4.46</v>
      </c>
      <c r="C102" t="s">
        <v>165</v>
      </c>
      <c r="D102" t="s">
        <v>19</v>
      </c>
      <c r="E102" t="s">
        <v>225</v>
      </c>
      <c r="F102" t="s">
        <v>19</v>
      </c>
      <c r="G102" t="s">
        <v>167</v>
      </c>
      <c r="H102" t="s">
        <v>19</v>
      </c>
      <c r="I102" t="s">
        <v>19</v>
      </c>
      <c r="J102" s="2">
        <v>46260</v>
      </c>
      <c r="K102" s="1">
        <v>4.46</v>
      </c>
    </row>
    <row r="103" spans="1:13" x14ac:dyDescent="0.2">
      <c r="A103" s="1">
        <f t="shared" si="3"/>
        <v>9.98</v>
      </c>
      <c r="C103" t="s">
        <v>165</v>
      </c>
      <c r="D103" t="s">
        <v>19</v>
      </c>
      <c r="E103" t="s">
        <v>226</v>
      </c>
      <c r="F103" t="s">
        <v>19</v>
      </c>
      <c r="G103" t="s">
        <v>167</v>
      </c>
      <c r="H103" t="s">
        <v>19</v>
      </c>
      <c r="I103" t="s">
        <v>188</v>
      </c>
      <c r="J103" s="2">
        <v>46260</v>
      </c>
      <c r="K103" s="1">
        <v>9.98</v>
      </c>
    </row>
    <row r="104" spans="1:13" x14ac:dyDescent="0.2">
      <c r="A104" s="1">
        <f t="shared" si="3"/>
        <v>6.24</v>
      </c>
      <c r="C104" t="s">
        <v>165</v>
      </c>
      <c r="D104" t="s">
        <v>19</v>
      </c>
      <c r="E104" t="s">
        <v>227</v>
      </c>
      <c r="F104" t="s">
        <v>19</v>
      </c>
      <c r="G104" t="s">
        <v>167</v>
      </c>
      <c r="H104" t="s">
        <v>19</v>
      </c>
      <c r="I104" t="s">
        <v>228</v>
      </c>
      <c r="J104" s="2">
        <v>46260</v>
      </c>
      <c r="K104" s="1">
        <v>6.24</v>
      </c>
    </row>
    <row r="105" spans="1:13" x14ac:dyDescent="0.2">
      <c r="A105" s="1">
        <f t="shared" si="3"/>
        <v>4.67</v>
      </c>
      <c r="C105" t="s">
        <v>165</v>
      </c>
      <c r="D105" t="s">
        <v>19</v>
      </c>
      <c r="E105" t="s">
        <v>229</v>
      </c>
      <c r="F105" t="s">
        <v>19</v>
      </c>
      <c r="G105" t="s">
        <v>167</v>
      </c>
      <c r="H105" t="s">
        <v>19</v>
      </c>
      <c r="I105" t="s">
        <v>188</v>
      </c>
      <c r="J105" s="2">
        <v>46260</v>
      </c>
      <c r="K105" s="1">
        <v>4.67</v>
      </c>
    </row>
    <row r="106" spans="1:13" x14ac:dyDescent="0.2">
      <c r="A106" s="1">
        <f t="shared" si="3"/>
        <v>1.2</v>
      </c>
      <c r="C106" t="s">
        <v>165</v>
      </c>
      <c r="D106" t="s">
        <v>19</v>
      </c>
      <c r="E106" t="s">
        <v>230</v>
      </c>
      <c r="F106" t="s">
        <v>19</v>
      </c>
      <c r="G106" t="s">
        <v>167</v>
      </c>
      <c r="H106" t="s">
        <v>19</v>
      </c>
      <c r="I106" t="s">
        <v>188</v>
      </c>
      <c r="J106" s="2">
        <v>46260</v>
      </c>
      <c r="K106" s="1">
        <v>0.6</v>
      </c>
      <c r="L106" s="2">
        <v>46260</v>
      </c>
      <c r="M106" s="1">
        <v>0.6</v>
      </c>
    </row>
    <row r="107" spans="1:13" x14ac:dyDescent="0.2">
      <c r="A107" s="1">
        <f t="shared" si="3"/>
        <v>3.69</v>
      </c>
      <c r="C107" t="s">
        <v>18</v>
      </c>
      <c r="D107" t="s">
        <v>19</v>
      </c>
      <c r="E107" t="s">
        <v>231</v>
      </c>
      <c r="F107" t="s">
        <v>21</v>
      </c>
      <c r="G107" t="s">
        <v>232</v>
      </c>
      <c r="H107" t="s">
        <v>19</v>
      </c>
      <c r="I107" t="s">
        <v>169</v>
      </c>
      <c r="J107" s="2">
        <v>46262</v>
      </c>
      <c r="K107" s="1">
        <v>3.69</v>
      </c>
    </row>
    <row r="108" spans="1:13" x14ac:dyDescent="0.2">
      <c r="A108" s="1">
        <f t="shared" si="3"/>
        <v>5.15</v>
      </c>
      <c r="C108" t="s">
        <v>18</v>
      </c>
      <c r="D108" t="s">
        <v>19</v>
      </c>
      <c r="E108" t="s">
        <v>233</v>
      </c>
      <c r="F108" t="s">
        <v>21</v>
      </c>
      <c r="G108" t="s">
        <v>232</v>
      </c>
      <c r="H108" t="s">
        <v>19</v>
      </c>
      <c r="I108" t="s">
        <v>19</v>
      </c>
      <c r="J108" s="2">
        <v>46262</v>
      </c>
      <c r="K108" s="1">
        <v>5.15</v>
      </c>
    </row>
    <row r="109" spans="1:13" x14ac:dyDescent="0.2">
      <c r="A109" s="1">
        <f t="shared" si="3"/>
        <v>2.99</v>
      </c>
      <c r="C109" t="s">
        <v>18</v>
      </c>
      <c r="D109" t="s">
        <v>19</v>
      </c>
      <c r="E109" t="s">
        <v>234</v>
      </c>
      <c r="F109" t="s">
        <v>21</v>
      </c>
      <c r="G109" t="s">
        <v>232</v>
      </c>
      <c r="H109" t="s">
        <v>19</v>
      </c>
      <c r="I109" t="s">
        <v>206</v>
      </c>
      <c r="J109" s="2">
        <v>46262</v>
      </c>
      <c r="K109" s="1">
        <v>2.99</v>
      </c>
    </row>
    <row r="110" spans="1:13" x14ac:dyDescent="0.2">
      <c r="A110" s="1">
        <f t="shared" si="3"/>
        <v>5.15</v>
      </c>
      <c r="C110" t="s">
        <v>18</v>
      </c>
      <c r="D110" t="s">
        <v>19</v>
      </c>
      <c r="E110" t="s">
        <v>235</v>
      </c>
      <c r="F110" t="s">
        <v>21</v>
      </c>
      <c r="G110" t="s">
        <v>232</v>
      </c>
      <c r="H110" t="s">
        <v>235</v>
      </c>
      <c r="I110" t="s">
        <v>188</v>
      </c>
      <c r="J110" s="2">
        <v>46262</v>
      </c>
      <c r="K110" s="1">
        <v>5.15</v>
      </c>
    </row>
    <row r="111" spans="1:13" x14ac:dyDescent="0.2">
      <c r="A111" s="1">
        <f t="shared" si="3"/>
        <v>3.19</v>
      </c>
      <c r="C111" t="s">
        <v>18</v>
      </c>
      <c r="D111" t="s">
        <v>19</v>
      </c>
      <c r="E111" t="s">
        <v>236</v>
      </c>
      <c r="F111" t="s">
        <v>21</v>
      </c>
      <c r="G111" t="s">
        <v>232</v>
      </c>
      <c r="H111" t="s">
        <v>19</v>
      </c>
      <c r="I111" t="s">
        <v>19</v>
      </c>
      <c r="J111" s="2">
        <v>46262</v>
      </c>
      <c r="K111" s="1">
        <v>3.19</v>
      </c>
    </row>
    <row r="112" spans="1:13" x14ac:dyDescent="0.2">
      <c r="A112" s="1">
        <f t="shared" si="3"/>
        <v>6.79</v>
      </c>
      <c r="C112" t="s">
        <v>18</v>
      </c>
      <c r="D112" t="s">
        <v>19</v>
      </c>
      <c r="E112" t="s">
        <v>237</v>
      </c>
      <c r="F112" t="s">
        <v>21</v>
      </c>
      <c r="G112" t="s">
        <v>232</v>
      </c>
      <c r="H112" t="s">
        <v>19</v>
      </c>
      <c r="I112" t="s">
        <v>19</v>
      </c>
      <c r="J112" s="2">
        <v>46262</v>
      </c>
      <c r="K112" s="1">
        <v>6.79</v>
      </c>
    </row>
    <row r="113" spans="1:13" x14ac:dyDescent="0.2">
      <c r="A113" s="1">
        <f t="shared" si="3"/>
        <v>3.99</v>
      </c>
      <c r="C113" t="s">
        <v>18</v>
      </c>
      <c r="D113" t="s">
        <v>19</v>
      </c>
      <c r="E113" t="s">
        <v>238</v>
      </c>
      <c r="F113" t="s">
        <v>21</v>
      </c>
      <c r="G113" t="s">
        <v>232</v>
      </c>
      <c r="H113" t="s">
        <v>19</v>
      </c>
      <c r="I113" t="s">
        <v>19</v>
      </c>
      <c r="J113" s="2">
        <v>46262</v>
      </c>
      <c r="K113" s="1">
        <v>3.99</v>
      </c>
    </row>
    <row r="114" spans="1:13" x14ac:dyDescent="0.2">
      <c r="A114" s="1">
        <f t="shared" si="3"/>
        <v>3.99</v>
      </c>
      <c r="C114" t="s">
        <v>18</v>
      </c>
      <c r="D114" t="s">
        <v>19</v>
      </c>
      <c r="E114" t="s">
        <v>239</v>
      </c>
      <c r="F114" t="s">
        <v>21</v>
      </c>
      <c r="G114" t="s">
        <v>232</v>
      </c>
      <c r="H114" t="s">
        <v>19</v>
      </c>
      <c r="I114" t="s">
        <v>19</v>
      </c>
      <c r="J114" s="2">
        <v>46262</v>
      </c>
      <c r="K114" s="1">
        <v>3.99</v>
      </c>
    </row>
    <row r="115" spans="1:13" x14ac:dyDescent="0.2">
      <c r="A115" s="1">
        <f t="shared" si="3"/>
        <v>5.45</v>
      </c>
      <c r="C115" t="s">
        <v>18</v>
      </c>
      <c r="D115" t="s">
        <v>19</v>
      </c>
      <c r="E115" t="s">
        <v>240</v>
      </c>
      <c r="F115" t="s">
        <v>21</v>
      </c>
      <c r="G115" t="s">
        <v>232</v>
      </c>
      <c r="H115" t="s">
        <v>19</v>
      </c>
      <c r="I115" t="s">
        <v>19</v>
      </c>
      <c r="J115" s="2">
        <v>46262</v>
      </c>
      <c r="K115" s="1">
        <v>5.45</v>
      </c>
    </row>
    <row r="116" spans="1:13" x14ac:dyDescent="0.2">
      <c r="A116" s="1">
        <f t="shared" si="3"/>
        <v>5.45</v>
      </c>
      <c r="C116" t="s">
        <v>18</v>
      </c>
      <c r="D116" t="s">
        <v>19</v>
      </c>
      <c r="E116" t="s">
        <v>241</v>
      </c>
      <c r="F116" t="s">
        <v>21</v>
      </c>
      <c r="G116" t="s">
        <v>232</v>
      </c>
      <c r="H116" t="s">
        <v>19</v>
      </c>
      <c r="I116" t="s">
        <v>19</v>
      </c>
      <c r="J116" s="2">
        <v>46262</v>
      </c>
      <c r="K116" s="1">
        <v>5.45</v>
      </c>
    </row>
    <row r="117" spans="1:13" x14ac:dyDescent="0.2">
      <c r="A117" s="1">
        <f t="shared" si="3"/>
        <v>14.29</v>
      </c>
      <c r="C117" t="s">
        <v>18</v>
      </c>
      <c r="D117" t="s">
        <v>19</v>
      </c>
      <c r="E117" t="s">
        <v>242</v>
      </c>
      <c r="F117" t="s">
        <v>21</v>
      </c>
      <c r="G117" t="s">
        <v>232</v>
      </c>
      <c r="H117" t="s">
        <v>19</v>
      </c>
      <c r="I117" t="s">
        <v>176</v>
      </c>
      <c r="J117" s="2">
        <v>46262</v>
      </c>
      <c r="K117" s="1">
        <v>14.29</v>
      </c>
    </row>
    <row r="118" spans="1:13" x14ac:dyDescent="0.2">
      <c r="A118" s="1">
        <f t="shared" si="3"/>
        <v>1.53</v>
      </c>
      <c r="C118" t="s">
        <v>18</v>
      </c>
      <c r="D118" t="s">
        <v>19</v>
      </c>
      <c r="E118" t="s">
        <v>90</v>
      </c>
      <c r="F118" t="s">
        <v>19</v>
      </c>
      <c r="G118" t="s">
        <v>232</v>
      </c>
      <c r="H118" t="s">
        <v>19</v>
      </c>
      <c r="I118" t="s">
        <v>19</v>
      </c>
      <c r="J118" s="2">
        <v>46262</v>
      </c>
      <c r="K118">
        <v>1.53</v>
      </c>
    </row>
    <row r="119" spans="1:13" x14ac:dyDescent="0.2">
      <c r="A119" s="1">
        <f t="shared" si="3"/>
        <v>5.65</v>
      </c>
      <c r="C119" t="s">
        <v>18</v>
      </c>
      <c r="D119" t="s">
        <v>19</v>
      </c>
      <c r="E119" t="s">
        <v>243</v>
      </c>
      <c r="F119" t="s">
        <v>21</v>
      </c>
      <c r="G119" t="s">
        <v>232</v>
      </c>
      <c r="H119" t="s">
        <v>19</v>
      </c>
      <c r="I119" t="s">
        <v>206</v>
      </c>
      <c r="J119" s="2">
        <v>46262</v>
      </c>
      <c r="K119" s="1">
        <v>5.65</v>
      </c>
      <c r="L119" s="2">
        <v>46262</v>
      </c>
      <c r="M119" s="1">
        <v>0</v>
      </c>
    </row>
    <row r="120" spans="1:13" x14ac:dyDescent="0.2">
      <c r="A120" s="1">
        <f t="shared" si="3"/>
        <v>3.33</v>
      </c>
      <c r="C120" t="s">
        <v>18</v>
      </c>
      <c r="D120" t="s">
        <v>19</v>
      </c>
      <c r="E120" t="s">
        <v>244</v>
      </c>
      <c r="F120" t="s">
        <v>19</v>
      </c>
      <c r="G120" t="s">
        <v>232</v>
      </c>
      <c r="H120" t="s">
        <v>19</v>
      </c>
      <c r="I120" t="s">
        <v>19</v>
      </c>
      <c r="J120" s="2">
        <v>46262</v>
      </c>
      <c r="K120">
        <v>3.33</v>
      </c>
    </row>
    <row r="121" spans="1:13" x14ac:dyDescent="0.2">
      <c r="A121" s="1">
        <f t="shared" si="3"/>
        <v>3.33</v>
      </c>
      <c r="C121" t="s">
        <v>18</v>
      </c>
      <c r="D121" t="s">
        <v>19</v>
      </c>
      <c r="E121" t="s">
        <v>245</v>
      </c>
      <c r="F121" t="s">
        <v>246</v>
      </c>
      <c r="G121" t="s">
        <v>232</v>
      </c>
      <c r="H121" t="s">
        <v>19</v>
      </c>
      <c r="I121" t="s">
        <v>19</v>
      </c>
      <c r="J121" s="2">
        <v>46262</v>
      </c>
      <c r="K121">
        <v>3.33</v>
      </c>
    </row>
    <row r="122" spans="1:13" x14ac:dyDescent="0.2">
      <c r="A122" s="1">
        <f t="shared" si="3"/>
        <v>7.19</v>
      </c>
      <c r="C122" t="s">
        <v>18</v>
      </c>
      <c r="D122" t="s">
        <v>19</v>
      </c>
      <c r="E122" t="s">
        <v>247</v>
      </c>
      <c r="F122" t="s">
        <v>161</v>
      </c>
      <c r="G122" t="s">
        <v>232</v>
      </c>
      <c r="H122" t="s">
        <v>247</v>
      </c>
      <c r="I122" t="s">
        <v>188</v>
      </c>
      <c r="J122" s="2">
        <v>46262</v>
      </c>
      <c r="K122" s="1">
        <v>7.19</v>
      </c>
    </row>
    <row r="123" spans="1:13" x14ac:dyDescent="0.2">
      <c r="A123" s="1">
        <f t="shared" si="3"/>
        <v>0.5</v>
      </c>
      <c r="C123" t="s">
        <v>18</v>
      </c>
      <c r="D123" t="s">
        <v>19</v>
      </c>
      <c r="E123" t="s">
        <v>162</v>
      </c>
      <c r="F123" t="s">
        <v>19</v>
      </c>
      <c r="G123" t="s">
        <v>232</v>
      </c>
      <c r="H123" t="s">
        <v>19</v>
      </c>
      <c r="I123" t="s">
        <v>19</v>
      </c>
      <c r="J123" s="2">
        <v>46262</v>
      </c>
      <c r="K123">
        <v>0.5</v>
      </c>
    </row>
    <row r="124" spans="1:13" x14ac:dyDescent="0.2">
      <c r="A124" s="1">
        <f t="shared" si="3"/>
        <v>3.34</v>
      </c>
      <c r="C124" t="s">
        <v>18</v>
      </c>
      <c r="D124" t="s">
        <v>19</v>
      </c>
      <c r="E124" t="s">
        <v>245</v>
      </c>
      <c r="F124" t="s">
        <v>246</v>
      </c>
      <c r="G124" t="s">
        <v>232</v>
      </c>
      <c r="H124" t="s">
        <v>19</v>
      </c>
      <c r="I124" t="s">
        <v>19</v>
      </c>
      <c r="J124" s="2">
        <v>46262</v>
      </c>
      <c r="K124">
        <v>3.34</v>
      </c>
    </row>
    <row r="125" spans="1:13" x14ac:dyDescent="0.2">
      <c r="A125" s="1">
        <f t="shared" si="3"/>
        <v>0</v>
      </c>
    </row>
    <row r="126" spans="1:13" x14ac:dyDescent="0.2">
      <c r="A126" s="1">
        <f t="shared" si="3"/>
        <v>0</v>
      </c>
    </row>
    <row r="127" spans="1:13" x14ac:dyDescent="0.2">
      <c r="A127" s="1">
        <f t="shared" si="3"/>
        <v>0</v>
      </c>
    </row>
    <row r="128" spans="1:13" x14ac:dyDescent="0.2">
      <c r="A128" s="1">
        <f t="shared" si="3"/>
        <v>0</v>
      </c>
    </row>
    <row r="129" spans="1:1" x14ac:dyDescent="0.2">
      <c r="A129" s="1">
        <f t="shared" si="3"/>
        <v>0</v>
      </c>
    </row>
    <row r="130" spans="1:1" x14ac:dyDescent="0.2">
      <c r="A130" s="1">
        <f t="shared" si="3"/>
        <v>0</v>
      </c>
    </row>
    <row r="131" spans="1:1" x14ac:dyDescent="0.2">
      <c r="A131" s="1">
        <f t="shared" si="3"/>
        <v>0</v>
      </c>
    </row>
  </sheetData>
  <autoFilter ref="A1:S12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71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29" t="s">
        <v>248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 spans="1:33" ht="28" customHeight="1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</row>
    <row r="4" spans="1:33" x14ac:dyDescent="0.2">
      <c r="A4" s="7" t="s">
        <v>249</v>
      </c>
      <c r="G4" s="7" t="s">
        <v>250</v>
      </c>
      <c r="M4" s="7" t="s">
        <v>251</v>
      </c>
      <c r="T4" s="7" t="s">
        <v>252</v>
      </c>
      <c r="Z4" s="7" t="s">
        <v>253</v>
      </c>
    </row>
    <row r="5" spans="1:33" ht="16" x14ac:dyDescent="0.2">
      <c r="A5" s="8">
        <v>444.77</v>
      </c>
      <c r="G5" s="9">
        <v>82</v>
      </c>
      <c r="M5" s="9" t="s">
        <v>254</v>
      </c>
      <c r="T5" s="9">
        <v>5</v>
      </c>
      <c r="Z5" s="9">
        <v>35</v>
      </c>
    </row>
    <row r="8" spans="1:33" ht="16" x14ac:dyDescent="0.2">
      <c r="Q8" s="30" t="s">
        <v>255</v>
      </c>
      <c r="R8" s="27"/>
      <c r="S8" s="27"/>
      <c r="T8" s="27"/>
      <c r="U8" s="27"/>
      <c r="V8" s="27"/>
      <c r="W8" s="27"/>
      <c r="Y8" s="30" t="s">
        <v>256</v>
      </c>
      <c r="Z8" s="27"/>
      <c r="AA8" s="27"/>
      <c r="AB8" s="27"/>
      <c r="AC8" s="27"/>
      <c r="AD8" s="27"/>
      <c r="AE8" s="27"/>
      <c r="AF8" s="27"/>
      <c r="AG8" s="27"/>
    </row>
    <row r="9" spans="1:33" x14ac:dyDescent="0.2">
      <c r="Q9" s="10"/>
      <c r="R9" s="10" t="s">
        <v>257</v>
      </c>
      <c r="S9" s="10" t="s">
        <v>258</v>
      </c>
      <c r="W9" s="10" t="s">
        <v>259</v>
      </c>
    </row>
    <row r="10" spans="1:33" ht="22" customHeight="1" x14ac:dyDescent="0.2">
      <c r="Q10" s="11"/>
      <c r="R10" s="12">
        <v>1</v>
      </c>
      <c r="S10" s="26" t="s">
        <v>260</v>
      </c>
      <c r="T10" s="27"/>
      <c r="U10" s="27"/>
      <c r="V10" s="27"/>
      <c r="W10" s="6" t="s">
        <v>261</v>
      </c>
      <c r="Y10" s="28" t="s">
        <v>262</v>
      </c>
      <c r="Z10" s="27"/>
      <c r="AA10" s="27"/>
      <c r="AB10" s="27"/>
      <c r="AC10" s="27"/>
      <c r="AD10" s="27"/>
      <c r="AE10" s="27"/>
      <c r="AF10" s="27"/>
      <c r="AG10" s="27"/>
    </row>
    <row r="11" spans="1:33" x14ac:dyDescent="0.2">
      <c r="Y11" s="26" t="s">
        <v>263</v>
      </c>
      <c r="Z11" s="27"/>
      <c r="AA11" s="27"/>
      <c r="AB11" s="27"/>
      <c r="AC11" s="27"/>
      <c r="AD11" s="27"/>
      <c r="AE11" s="27"/>
      <c r="AF11" s="27"/>
      <c r="AG11" s="27"/>
    </row>
    <row r="12" spans="1:33" x14ac:dyDescent="0.2">
      <c r="Y12" s="27"/>
      <c r="Z12" s="27"/>
      <c r="AA12" s="27"/>
      <c r="AB12" s="27"/>
      <c r="AC12" s="27"/>
      <c r="AD12" s="27"/>
      <c r="AE12" s="27"/>
      <c r="AF12" s="27"/>
      <c r="AG12" s="27"/>
    </row>
    <row r="13" spans="1:33" x14ac:dyDescent="0.2">
      <c r="Y13" s="27"/>
      <c r="Z13" s="27"/>
      <c r="AA13" s="27"/>
      <c r="AB13" s="27"/>
      <c r="AC13" s="27"/>
      <c r="AD13" s="27"/>
      <c r="AE13" s="27"/>
      <c r="AF13" s="27"/>
      <c r="AG13" s="27"/>
    </row>
    <row r="14" spans="1:33" x14ac:dyDescent="0.2">
      <c r="Y14" s="27"/>
      <c r="Z14" s="27"/>
      <c r="AA14" s="27"/>
      <c r="AB14" s="27"/>
      <c r="AC14" s="27"/>
      <c r="AD14" s="27"/>
      <c r="AE14" s="27"/>
      <c r="AF14" s="27"/>
      <c r="AG14" s="27"/>
    </row>
    <row r="16" spans="1:33" x14ac:dyDescent="0.2">
      <c r="Y16" s="28" t="s">
        <v>264</v>
      </c>
      <c r="Z16" s="27"/>
      <c r="AA16" s="27"/>
      <c r="AB16" s="27"/>
      <c r="AC16" s="27"/>
      <c r="AD16" s="27"/>
      <c r="AE16" s="27"/>
      <c r="AF16" s="27"/>
      <c r="AG16" s="27"/>
    </row>
    <row r="17" spans="25:33" x14ac:dyDescent="0.2">
      <c r="Y17" s="26" t="s">
        <v>265</v>
      </c>
      <c r="Z17" s="27"/>
      <c r="AA17" s="27"/>
      <c r="AB17" s="27"/>
      <c r="AC17" s="27"/>
      <c r="AD17" s="27"/>
      <c r="AE17" s="27"/>
      <c r="AF17" s="27"/>
      <c r="AG17" s="27"/>
    </row>
    <row r="18" spans="25:33" x14ac:dyDescent="0.2">
      <c r="Y18" s="27"/>
      <c r="Z18" s="27"/>
      <c r="AA18" s="27"/>
      <c r="AB18" s="27"/>
      <c r="AC18" s="27"/>
      <c r="AD18" s="27"/>
      <c r="AE18" s="27"/>
      <c r="AF18" s="27"/>
      <c r="AG18" s="27"/>
    </row>
    <row r="19" spans="25:33" x14ac:dyDescent="0.2">
      <c r="Y19" s="27"/>
      <c r="Z19" s="27"/>
      <c r="AA19" s="27"/>
      <c r="AB19" s="27"/>
      <c r="AC19" s="27"/>
      <c r="AD19" s="27"/>
      <c r="AE19" s="27"/>
      <c r="AF19" s="27"/>
      <c r="AG19" s="27"/>
    </row>
    <row r="20" spans="25:33" x14ac:dyDescent="0.2">
      <c r="Y20" s="27"/>
      <c r="Z20" s="27"/>
      <c r="AA20" s="27"/>
      <c r="AB20" s="27"/>
      <c r="AC20" s="27"/>
      <c r="AD20" s="27"/>
      <c r="AE20" s="27"/>
      <c r="AF20" s="27"/>
      <c r="AG20" s="27"/>
    </row>
    <row r="22" spans="25:33" x14ac:dyDescent="0.2">
      <c r="Y22" s="28" t="s">
        <v>266</v>
      </c>
      <c r="Z22" s="27"/>
      <c r="AA22" s="27"/>
      <c r="AB22" s="27"/>
      <c r="AC22" s="27"/>
      <c r="AD22" s="27"/>
      <c r="AE22" s="27"/>
      <c r="AF22" s="27"/>
      <c r="AG22" s="27"/>
    </row>
    <row r="23" spans="25:33" x14ac:dyDescent="0.2">
      <c r="Y23" s="26" t="s">
        <v>267</v>
      </c>
      <c r="Z23" s="27"/>
      <c r="AA23" s="27"/>
      <c r="AB23" s="27"/>
      <c r="AC23" s="27"/>
      <c r="AD23" s="27"/>
      <c r="AE23" s="27"/>
      <c r="AF23" s="27"/>
      <c r="AG23" s="27"/>
    </row>
    <row r="24" spans="25:33" x14ac:dyDescent="0.2">
      <c r="Y24" s="27"/>
      <c r="Z24" s="27"/>
      <c r="AA24" s="27"/>
      <c r="AB24" s="27"/>
      <c r="AC24" s="27"/>
      <c r="AD24" s="27"/>
      <c r="AE24" s="27"/>
      <c r="AF24" s="27"/>
      <c r="AG24" s="27"/>
    </row>
    <row r="25" spans="25:33" x14ac:dyDescent="0.2">
      <c r="Y25" s="27"/>
      <c r="Z25" s="27"/>
      <c r="AA25" s="27"/>
      <c r="AB25" s="27"/>
      <c r="AC25" s="27"/>
      <c r="AD25" s="27"/>
      <c r="AE25" s="27"/>
      <c r="AF25" s="27"/>
      <c r="AG25" s="27"/>
    </row>
    <row r="26" spans="25:33" x14ac:dyDescent="0.2">
      <c r="Y26" s="27"/>
      <c r="Z26" s="27"/>
      <c r="AA26" s="27"/>
      <c r="AB26" s="27"/>
      <c r="AC26" s="27"/>
      <c r="AD26" s="27"/>
      <c r="AE26" s="27"/>
      <c r="AF26" s="27"/>
      <c r="AG26" s="27"/>
    </row>
    <row r="28" spans="25:33" x14ac:dyDescent="0.2">
      <c r="Y28" s="28" t="s">
        <v>268</v>
      </c>
      <c r="Z28" s="27"/>
      <c r="AA28" s="27"/>
      <c r="AB28" s="27"/>
      <c r="AC28" s="27"/>
      <c r="AD28" s="27"/>
      <c r="AE28" s="27"/>
      <c r="AF28" s="27"/>
      <c r="AG28" s="27"/>
    </row>
    <row r="29" spans="25:33" x14ac:dyDescent="0.2">
      <c r="Y29" s="26" t="s">
        <v>269</v>
      </c>
      <c r="Z29" s="27"/>
      <c r="AA29" s="27"/>
      <c r="AB29" s="27"/>
      <c r="AC29" s="27"/>
      <c r="AD29" s="27"/>
      <c r="AE29" s="27"/>
      <c r="AF29" s="27"/>
      <c r="AG29" s="27"/>
    </row>
    <row r="30" spans="25:33" x14ac:dyDescent="0.2">
      <c r="Y30" s="27"/>
      <c r="Z30" s="27"/>
      <c r="AA30" s="27"/>
      <c r="AB30" s="27"/>
      <c r="AC30" s="27"/>
      <c r="AD30" s="27"/>
      <c r="AE30" s="27"/>
      <c r="AF30" s="27"/>
      <c r="AG30" s="27"/>
    </row>
    <row r="31" spans="25:33" x14ac:dyDescent="0.2">
      <c r="Y31" s="27"/>
      <c r="Z31" s="27"/>
      <c r="AA31" s="27"/>
      <c r="AB31" s="27"/>
      <c r="AC31" s="27"/>
      <c r="AD31" s="27"/>
      <c r="AE31" s="27"/>
      <c r="AF31" s="27"/>
      <c r="AG31" s="27"/>
    </row>
    <row r="32" spans="25:33" x14ac:dyDescent="0.2">
      <c r="Y32" s="27"/>
      <c r="Z32" s="27"/>
      <c r="AA32" s="27"/>
      <c r="AB32" s="27"/>
      <c r="AC32" s="27"/>
      <c r="AD32" s="27"/>
      <c r="AE32" s="27"/>
      <c r="AF32" s="27"/>
      <c r="AG32" s="27"/>
    </row>
    <row r="44" spans="17:33" ht="16" x14ac:dyDescent="0.2">
      <c r="Q44" s="30" t="s">
        <v>270</v>
      </c>
      <c r="R44" s="27"/>
      <c r="S44" s="27"/>
      <c r="T44" s="27"/>
      <c r="U44" s="27"/>
      <c r="V44" s="27"/>
      <c r="W44" s="27"/>
      <c r="Y44" s="30" t="s">
        <v>256</v>
      </c>
      <c r="Z44" s="27"/>
      <c r="AA44" s="27"/>
      <c r="AB44" s="27"/>
      <c r="AC44" s="27"/>
      <c r="AD44" s="27"/>
      <c r="AE44" s="27"/>
      <c r="AF44" s="27"/>
      <c r="AG44" s="27"/>
    </row>
    <row r="45" spans="17:33" x14ac:dyDescent="0.2">
      <c r="Q45" s="10"/>
      <c r="R45" s="10" t="s">
        <v>257</v>
      </c>
      <c r="S45" s="10" t="s">
        <v>258</v>
      </c>
      <c r="W45" s="10" t="s">
        <v>259</v>
      </c>
    </row>
    <row r="46" spans="17:33" ht="22" customHeight="1" x14ac:dyDescent="0.2">
      <c r="Q46" s="11"/>
      <c r="R46" s="12">
        <v>1</v>
      </c>
      <c r="S46" s="26" t="s">
        <v>178</v>
      </c>
      <c r="T46" s="27"/>
      <c r="U46" s="27"/>
      <c r="V46" s="27"/>
      <c r="W46" s="6" t="s">
        <v>271</v>
      </c>
      <c r="Y46" s="28" t="s">
        <v>262</v>
      </c>
      <c r="Z46" s="27"/>
      <c r="AA46" s="27"/>
      <c r="AB46" s="27"/>
      <c r="AC46" s="27"/>
      <c r="AD46" s="27"/>
      <c r="AE46" s="27"/>
      <c r="AF46" s="27"/>
      <c r="AG46" s="27"/>
    </row>
    <row r="47" spans="17:33" ht="22" customHeight="1" x14ac:dyDescent="0.2">
      <c r="Q47" s="13"/>
      <c r="R47" s="12">
        <v>2</v>
      </c>
      <c r="S47" s="26" t="s">
        <v>272</v>
      </c>
      <c r="T47" s="27"/>
      <c r="U47" s="27"/>
      <c r="V47" s="27"/>
      <c r="W47" s="6" t="s">
        <v>273</v>
      </c>
      <c r="Y47" s="26" t="s">
        <v>274</v>
      </c>
      <c r="Z47" s="27"/>
      <c r="AA47" s="27"/>
      <c r="AB47" s="27"/>
      <c r="AC47" s="27"/>
      <c r="AD47" s="27"/>
      <c r="AE47" s="27"/>
      <c r="AF47" s="27"/>
      <c r="AG47" s="27"/>
    </row>
    <row r="48" spans="17:33" ht="22" customHeight="1" x14ac:dyDescent="0.2">
      <c r="Q48" s="14"/>
      <c r="R48" s="12">
        <v>3</v>
      </c>
      <c r="S48" s="26" t="s">
        <v>159</v>
      </c>
      <c r="T48" s="27"/>
      <c r="U48" s="27"/>
      <c r="V48" s="27"/>
      <c r="W48" s="6" t="s">
        <v>275</v>
      </c>
      <c r="Y48" s="27"/>
      <c r="Z48" s="27"/>
      <c r="AA48" s="27"/>
      <c r="AB48" s="27"/>
      <c r="AC48" s="27"/>
      <c r="AD48" s="27"/>
      <c r="AE48" s="27"/>
      <c r="AF48" s="27"/>
      <c r="AG48" s="27"/>
    </row>
    <row r="49" spans="17:33" ht="22" customHeight="1" x14ac:dyDescent="0.2">
      <c r="Q49" s="15"/>
      <c r="R49" s="12">
        <v>4</v>
      </c>
      <c r="S49" s="26" t="s">
        <v>188</v>
      </c>
      <c r="T49" s="27"/>
      <c r="U49" s="27"/>
      <c r="V49" s="27"/>
      <c r="W49" s="6" t="s">
        <v>276</v>
      </c>
      <c r="Y49" s="27"/>
      <c r="Z49" s="27"/>
      <c r="AA49" s="27"/>
      <c r="AB49" s="27"/>
      <c r="AC49" s="27"/>
      <c r="AD49" s="27"/>
      <c r="AE49" s="27"/>
      <c r="AF49" s="27"/>
      <c r="AG49" s="27"/>
    </row>
    <row r="50" spans="17:33" ht="22" customHeight="1" x14ac:dyDescent="0.2">
      <c r="Q50" s="16"/>
      <c r="R50" s="12">
        <v>5</v>
      </c>
      <c r="S50" s="26" t="s">
        <v>169</v>
      </c>
      <c r="T50" s="27"/>
      <c r="U50" s="27"/>
      <c r="V50" s="27"/>
      <c r="W50" s="6" t="s">
        <v>277</v>
      </c>
      <c r="Y50" s="27"/>
      <c r="Z50" s="27"/>
      <c r="AA50" s="27"/>
      <c r="AB50" s="27"/>
      <c r="AC50" s="27"/>
      <c r="AD50" s="27"/>
      <c r="AE50" s="27"/>
      <c r="AF50" s="27"/>
      <c r="AG50" s="27"/>
    </row>
    <row r="51" spans="17:33" ht="22" customHeight="1" x14ac:dyDescent="0.2">
      <c r="Q51" s="17"/>
      <c r="R51" s="12">
        <v>6</v>
      </c>
      <c r="S51" s="26" t="s">
        <v>174</v>
      </c>
      <c r="T51" s="27"/>
      <c r="U51" s="27"/>
      <c r="V51" s="27"/>
      <c r="W51" s="6" t="s">
        <v>278</v>
      </c>
    </row>
    <row r="52" spans="17:33" ht="22" customHeight="1" x14ac:dyDescent="0.2">
      <c r="Q52" s="18"/>
      <c r="R52" s="12">
        <v>7</v>
      </c>
      <c r="S52" s="26" t="s">
        <v>24</v>
      </c>
      <c r="T52" s="27"/>
      <c r="U52" s="27"/>
      <c r="V52" s="27"/>
      <c r="W52" s="6" t="s">
        <v>279</v>
      </c>
      <c r="Y52" s="28" t="s">
        <v>264</v>
      </c>
      <c r="Z52" s="27"/>
      <c r="AA52" s="27"/>
      <c r="AB52" s="27"/>
      <c r="AC52" s="27"/>
      <c r="AD52" s="27"/>
      <c r="AE52" s="27"/>
      <c r="AF52" s="27"/>
      <c r="AG52" s="27"/>
    </row>
    <row r="53" spans="17:33" ht="22" customHeight="1" x14ac:dyDescent="0.2">
      <c r="Q53" s="19"/>
      <c r="R53" s="12">
        <v>8</v>
      </c>
      <c r="S53" s="26" t="s">
        <v>49</v>
      </c>
      <c r="T53" s="27"/>
      <c r="U53" s="27"/>
      <c r="V53" s="27"/>
      <c r="W53" s="6" t="s">
        <v>280</v>
      </c>
      <c r="Y53" s="26" t="s">
        <v>281</v>
      </c>
      <c r="Z53" s="27"/>
      <c r="AA53" s="27"/>
      <c r="AB53" s="27"/>
      <c r="AC53" s="27"/>
      <c r="AD53" s="27"/>
      <c r="AE53" s="27"/>
      <c r="AF53" s="27"/>
      <c r="AG53" s="27"/>
    </row>
    <row r="54" spans="17:33" ht="22" customHeight="1" x14ac:dyDescent="0.2">
      <c r="Q54" s="20"/>
      <c r="R54" s="12">
        <v>9</v>
      </c>
      <c r="S54" s="26" t="s">
        <v>171</v>
      </c>
      <c r="T54" s="27"/>
      <c r="U54" s="27"/>
      <c r="V54" s="27"/>
      <c r="W54" s="6" t="s">
        <v>282</v>
      </c>
      <c r="Y54" s="27"/>
      <c r="Z54" s="27"/>
      <c r="AA54" s="27"/>
      <c r="AB54" s="27"/>
      <c r="AC54" s="27"/>
      <c r="AD54" s="27"/>
      <c r="AE54" s="27"/>
      <c r="AF54" s="27"/>
      <c r="AG54" s="27"/>
    </row>
    <row r="55" spans="17:33" ht="22" customHeight="1" x14ac:dyDescent="0.2">
      <c r="Q55" s="21"/>
      <c r="R55" s="12">
        <v>10</v>
      </c>
      <c r="S55" s="26" t="s">
        <v>37</v>
      </c>
      <c r="T55" s="27"/>
      <c r="U55" s="27"/>
      <c r="V55" s="27"/>
      <c r="W55" s="6" t="s">
        <v>283</v>
      </c>
      <c r="Y55" s="27"/>
      <c r="Z55" s="27"/>
      <c r="AA55" s="27"/>
      <c r="AB55" s="27"/>
      <c r="AC55" s="27"/>
      <c r="AD55" s="27"/>
      <c r="AE55" s="27"/>
      <c r="AF55" s="27"/>
      <c r="AG55" s="27"/>
    </row>
    <row r="56" spans="17:33" ht="22" customHeight="1" x14ac:dyDescent="0.2">
      <c r="Q56" s="22"/>
      <c r="R56" s="12">
        <v>11</v>
      </c>
      <c r="S56" s="26" t="s">
        <v>71</v>
      </c>
      <c r="T56" s="27"/>
      <c r="U56" s="27"/>
      <c r="V56" s="27"/>
      <c r="W56" s="6" t="s">
        <v>284</v>
      </c>
      <c r="Y56" s="27"/>
      <c r="Z56" s="27"/>
      <c r="AA56" s="27"/>
      <c r="AB56" s="27"/>
      <c r="AC56" s="27"/>
      <c r="AD56" s="27"/>
      <c r="AE56" s="27"/>
      <c r="AF56" s="27"/>
      <c r="AG56" s="27"/>
    </row>
    <row r="57" spans="17:33" ht="22" customHeight="1" x14ac:dyDescent="0.2">
      <c r="Q57" s="23"/>
      <c r="R57" s="12">
        <v>12</v>
      </c>
      <c r="S57" s="26" t="s">
        <v>141</v>
      </c>
      <c r="T57" s="27"/>
      <c r="U57" s="27"/>
      <c r="V57" s="27"/>
      <c r="W57" s="6" t="s">
        <v>285</v>
      </c>
    </row>
    <row r="58" spans="17:33" ht="22" customHeight="1" x14ac:dyDescent="0.2">
      <c r="Q58" s="11"/>
      <c r="R58" s="12">
        <v>13</v>
      </c>
      <c r="S58" s="26" t="s">
        <v>155</v>
      </c>
      <c r="T58" s="27"/>
      <c r="U58" s="27"/>
      <c r="V58" s="27"/>
      <c r="W58" s="6" t="s">
        <v>286</v>
      </c>
      <c r="Y58" s="28" t="s">
        <v>266</v>
      </c>
      <c r="Z58" s="27"/>
      <c r="AA58" s="27"/>
      <c r="AB58" s="27"/>
      <c r="AC58" s="27"/>
      <c r="AD58" s="27"/>
      <c r="AE58" s="27"/>
      <c r="AF58" s="27"/>
      <c r="AG58" s="27"/>
    </row>
    <row r="59" spans="17:33" ht="22" customHeight="1" x14ac:dyDescent="0.2">
      <c r="Q59" s="13"/>
      <c r="R59" s="12">
        <v>14</v>
      </c>
      <c r="S59" s="26" t="s">
        <v>46</v>
      </c>
      <c r="T59" s="27"/>
      <c r="U59" s="27"/>
      <c r="V59" s="27"/>
      <c r="W59" s="6" t="s">
        <v>287</v>
      </c>
      <c r="Y59" s="26" t="s">
        <v>288</v>
      </c>
      <c r="Z59" s="27"/>
      <c r="AA59" s="27"/>
      <c r="AB59" s="27"/>
      <c r="AC59" s="27"/>
      <c r="AD59" s="27"/>
      <c r="AE59" s="27"/>
      <c r="AF59" s="27"/>
      <c r="AG59" s="27"/>
    </row>
    <row r="60" spans="17:33" ht="22" customHeight="1" x14ac:dyDescent="0.2">
      <c r="Q60" s="14"/>
      <c r="R60" s="12">
        <v>15</v>
      </c>
      <c r="S60" s="26" t="s">
        <v>64</v>
      </c>
      <c r="T60" s="27"/>
      <c r="U60" s="27"/>
      <c r="V60" s="27"/>
      <c r="W60" s="6" t="s">
        <v>289</v>
      </c>
      <c r="Y60" s="27"/>
      <c r="Z60" s="27"/>
      <c r="AA60" s="27"/>
      <c r="AB60" s="27"/>
      <c r="AC60" s="27"/>
      <c r="AD60" s="27"/>
      <c r="AE60" s="27"/>
      <c r="AF60" s="27"/>
      <c r="AG60" s="27"/>
    </row>
    <row r="61" spans="17:33" ht="22" customHeight="1" x14ac:dyDescent="0.2">
      <c r="Q61" s="15"/>
      <c r="R61" s="12">
        <v>16</v>
      </c>
      <c r="S61" s="26" t="s">
        <v>32</v>
      </c>
      <c r="T61" s="27"/>
      <c r="U61" s="27"/>
      <c r="V61" s="27"/>
      <c r="W61" s="6" t="s">
        <v>290</v>
      </c>
      <c r="Y61" s="27"/>
      <c r="Z61" s="27"/>
      <c r="AA61" s="27"/>
      <c r="AB61" s="27"/>
      <c r="AC61" s="27"/>
      <c r="AD61" s="27"/>
      <c r="AE61" s="27"/>
      <c r="AF61" s="27"/>
      <c r="AG61" s="27"/>
    </row>
    <row r="62" spans="17:33" ht="22" customHeight="1" x14ac:dyDescent="0.2">
      <c r="Q62" s="16"/>
      <c r="R62" s="12">
        <v>17</v>
      </c>
      <c r="S62" s="26" t="s">
        <v>29</v>
      </c>
      <c r="T62" s="27"/>
      <c r="U62" s="27"/>
      <c r="V62" s="27"/>
      <c r="W62" s="6" t="s">
        <v>291</v>
      </c>
      <c r="Y62" s="27"/>
      <c r="Z62" s="27"/>
      <c r="AA62" s="27"/>
      <c r="AB62" s="27"/>
      <c r="AC62" s="27"/>
      <c r="AD62" s="27"/>
      <c r="AE62" s="27"/>
      <c r="AF62" s="27"/>
      <c r="AG62" s="27"/>
    </row>
    <row r="63" spans="17:33" ht="22" customHeight="1" x14ac:dyDescent="0.2">
      <c r="Q63" s="17"/>
      <c r="R63" s="12">
        <v>18</v>
      </c>
      <c r="S63" s="26" t="s">
        <v>152</v>
      </c>
      <c r="T63" s="27"/>
      <c r="U63" s="27"/>
      <c r="V63" s="27"/>
      <c r="W63" s="6" t="s">
        <v>292</v>
      </c>
    </row>
    <row r="64" spans="17:33" ht="22" customHeight="1" x14ac:dyDescent="0.2">
      <c r="Q64" s="18"/>
      <c r="R64" s="12">
        <v>19</v>
      </c>
      <c r="S64" s="26" t="s">
        <v>136</v>
      </c>
      <c r="T64" s="27"/>
      <c r="U64" s="27"/>
      <c r="V64" s="27"/>
      <c r="W64" s="6" t="s">
        <v>292</v>
      </c>
    </row>
    <row r="65" spans="17:23" ht="22" customHeight="1" x14ac:dyDescent="0.2">
      <c r="Q65" s="19"/>
      <c r="R65" s="12">
        <v>20</v>
      </c>
      <c r="S65" s="26" t="s">
        <v>123</v>
      </c>
      <c r="T65" s="27"/>
      <c r="U65" s="27"/>
      <c r="V65" s="27"/>
      <c r="W65" s="6" t="s">
        <v>292</v>
      </c>
    </row>
    <row r="66" spans="17:23" ht="22" customHeight="1" x14ac:dyDescent="0.2">
      <c r="Q66" s="20"/>
      <c r="R66" s="12">
        <v>21</v>
      </c>
      <c r="S66" s="26" t="s">
        <v>163</v>
      </c>
      <c r="T66" s="27"/>
      <c r="U66" s="27"/>
      <c r="V66" s="27"/>
      <c r="W66" s="6" t="s">
        <v>293</v>
      </c>
    </row>
    <row r="67" spans="17:23" ht="22" customHeight="1" x14ac:dyDescent="0.2">
      <c r="Q67" s="21"/>
      <c r="R67" s="12">
        <v>22</v>
      </c>
      <c r="S67" s="26" t="s">
        <v>40</v>
      </c>
      <c r="T67" s="27"/>
      <c r="U67" s="27"/>
      <c r="V67" s="27"/>
      <c r="W67" s="6" t="s">
        <v>294</v>
      </c>
    </row>
    <row r="68" spans="17:23" ht="22" customHeight="1" x14ac:dyDescent="0.2">
      <c r="Q68" s="22"/>
      <c r="R68" s="12">
        <v>23</v>
      </c>
      <c r="S68" s="26" t="s">
        <v>116</v>
      </c>
      <c r="T68" s="27"/>
      <c r="U68" s="27"/>
      <c r="V68" s="27"/>
      <c r="W68" s="6" t="s">
        <v>295</v>
      </c>
    </row>
    <row r="69" spans="17:23" ht="22" customHeight="1" x14ac:dyDescent="0.2">
      <c r="Q69" s="23"/>
      <c r="R69" s="12">
        <v>24</v>
      </c>
      <c r="S69" s="26" t="s">
        <v>130</v>
      </c>
      <c r="T69" s="27"/>
      <c r="U69" s="27"/>
      <c r="V69" s="27"/>
      <c r="W69" s="6" t="s">
        <v>296</v>
      </c>
    </row>
    <row r="70" spans="17:23" ht="22" customHeight="1" x14ac:dyDescent="0.2">
      <c r="Q70" s="11"/>
      <c r="R70" s="12">
        <v>25</v>
      </c>
      <c r="S70" s="26" t="s">
        <v>93</v>
      </c>
      <c r="T70" s="27"/>
      <c r="U70" s="27"/>
      <c r="V70" s="27"/>
      <c r="W70" s="6" t="s">
        <v>297</v>
      </c>
    </row>
    <row r="71" spans="17:23" ht="22" customHeight="1" x14ac:dyDescent="0.2">
      <c r="Q71" s="13"/>
      <c r="R71" s="12">
        <v>26</v>
      </c>
      <c r="S71" s="26" t="s">
        <v>77</v>
      </c>
      <c r="T71" s="27"/>
      <c r="U71" s="27"/>
      <c r="V71" s="27"/>
      <c r="W71" s="6" t="s">
        <v>298</v>
      </c>
    </row>
    <row r="72" spans="17:23" ht="22" customHeight="1" x14ac:dyDescent="0.2">
      <c r="Q72" s="14"/>
      <c r="R72" s="12">
        <v>27</v>
      </c>
      <c r="S72" s="26" t="s">
        <v>98</v>
      </c>
      <c r="T72" s="27"/>
      <c r="U72" s="27"/>
      <c r="V72" s="27"/>
      <c r="W72" s="6" t="s">
        <v>299</v>
      </c>
    </row>
    <row r="73" spans="17:23" ht="22" customHeight="1" x14ac:dyDescent="0.2">
      <c r="Q73" s="15"/>
      <c r="R73" s="12">
        <v>28</v>
      </c>
      <c r="S73" s="26" t="s">
        <v>85</v>
      </c>
      <c r="T73" s="27"/>
      <c r="U73" s="27"/>
      <c r="V73" s="27"/>
      <c r="W73" s="6" t="s">
        <v>300</v>
      </c>
    </row>
    <row r="74" spans="17:23" ht="22" customHeight="1" x14ac:dyDescent="0.2">
      <c r="Q74" s="16"/>
      <c r="R74" s="12">
        <v>29</v>
      </c>
      <c r="S74" s="26" t="s">
        <v>146</v>
      </c>
      <c r="T74" s="27"/>
      <c r="U74" s="27"/>
      <c r="V74" s="27"/>
      <c r="W74" s="6" t="s">
        <v>301</v>
      </c>
    </row>
    <row r="75" spans="17:23" ht="22" customHeight="1" x14ac:dyDescent="0.2">
      <c r="Q75" s="17"/>
      <c r="R75" s="12">
        <v>30</v>
      </c>
      <c r="S75" s="26" t="s">
        <v>176</v>
      </c>
      <c r="T75" s="27"/>
      <c r="U75" s="27"/>
      <c r="V75" s="27"/>
      <c r="W75" s="6" t="s">
        <v>302</v>
      </c>
    </row>
    <row r="76" spans="17:23" ht="22" customHeight="1" x14ac:dyDescent="0.2">
      <c r="Q76" s="18"/>
      <c r="R76" s="12">
        <v>31</v>
      </c>
      <c r="S76" s="26" t="s">
        <v>149</v>
      </c>
      <c r="T76" s="27"/>
      <c r="U76" s="27"/>
      <c r="V76" s="27"/>
      <c r="W76" s="6" t="s">
        <v>303</v>
      </c>
    </row>
    <row r="77" spans="17:23" ht="22" customHeight="1" x14ac:dyDescent="0.2">
      <c r="Q77" s="19"/>
      <c r="R77" s="12">
        <v>32</v>
      </c>
      <c r="S77" s="26" t="s">
        <v>105</v>
      </c>
      <c r="T77" s="27"/>
      <c r="U77" s="27"/>
      <c r="V77" s="27"/>
      <c r="W77" s="6" t="s">
        <v>303</v>
      </c>
    </row>
    <row r="78" spans="17:23" ht="22" customHeight="1" x14ac:dyDescent="0.2">
      <c r="Q78" s="20"/>
      <c r="R78" s="12">
        <v>33</v>
      </c>
      <c r="S78" s="26" t="s">
        <v>127</v>
      </c>
      <c r="T78" s="27"/>
      <c r="U78" s="27"/>
      <c r="V78" s="27"/>
      <c r="W78" s="6" t="s">
        <v>304</v>
      </c>
    </row>
    <row r="79" spans="17:23" ht="22" customHeight="1" x14ac:dyDescent="0.2">
      <c r="Q79" s="21"/>
      <c r="R79" s="12">
        <v>34</v>
      </c>
      <c r="S79" s="26" t="s">
        <v>87</v>
      </c>
      <c r="T79" s="27"/>
      <c r="U79" s="27"/>
      <c r="V79" s="27"/>
      <c r="W79" s="6" t="s">
        <v>305</v>
      </c>
    </row>
    <row r="80" spans="17:23" ht="22" customHeight="1" x14ac:dyDescent="0.2">
      <c r="Q80" s="22"/>
      <c r="R80" s="12">
        <v>35</v>
      </c>
      <c r="S80" s="26" t="s">
        <v>112</v>
      </c>
      <c r="T80" s="27"/>
      <c r="U80" s="27"/>
      <c r="V80" s="27"/>
      <c r="W80" s="6" t="s">
        <v>306</v>
      </c>
    </row>
    <row r="81" spans="17:33" ht="22" customHeight="1" x14ac:dyDescent="0.2">
      <c r="Q81" s="23"/>
      <c r="R81" s="12">
        <v>36</v>
      </c>
      <c r="S81" s="26" t="s">
        <v>56</v>
      </c>
      <c r="T81" s="27"/>
      <c r="U81" s="27"/>
      <c r="V81" s="27"/>
      <c r="W81" s="6" t="s">
        <v>307</v>
      </c>
    </row>
    <row r="85" spans="17:33" ht="16" x14ac:dyDescent="0.2">
      <c r="Q85" s="30" t="s">
        <v>308</v>
      </c>
      <c r="R85" s="27"/>
      <c r="S85" s="27"/>
      <c r="T85" s="27"/>
      <c r="U85" s="27"/>
      <c r="V85" s="27"/>
      <c r="W85" s="27"/>
      <c r="Y85" s="30" t="s">
        <v>256</v>
      </c>
      <c r="Z85" s="27"/>
      <c r="AA85" s="27"/>
      <c r="AB85" s="27"/>
      <c r="AC85" s="27"/>
      <c r="AD85" s="27"/>
      <c r="AE85" s="27"/>
      <c r="AF85" s="27"/>
      <c r="AG85" s="27"/>
    </row>
    <row r="86" spans="17:33" x14ac:dyDescent="0.2">
      <c r="Q86" s="10"/>
      <c r="R86" s="10" t="s">
        <v>257</v>
      </c>
      <c r="S86" s="10" t="s">
        <v>258</v>
      </c>
      <c r="W86" s="10" t="s">
        <v>259</v>
      </c>
    </row>
    <row r="87" spans="17:33" ht="22" customHeight="1" x14ac:dyDescent="0.2">
      <c r="Q87" s="11"/>
      <c r="R87" s="12">
        <v>1</v>
      </c>
      <c r="S87" s="26" t="s">
        <v>165</v>
      </c>
      <c r="T87" s="27"/>
      <c r="U87" s="27"/>
      <c r="V87" s="27"/>
      <c r="W87" s="6" t="s">
        <v>309</v>
      </c>
      <c r="Y87" s="28" t="s">
        <v>262</v>
      </c>
      <c r="Z87" s="27"/>
      <c r="AA87" s="27"/>
      <c r="AB87" s="27"/>
      <c r="AC87" s="27"/>
      <c r="AD87" s="27"/>
      <c r="AE87" s="27"/>
      <c r="AF87" s="27"/>
      <c r="AG87" s="27"/>
    </row>
    <row r="88" spans="17:33" ht="22" customHeight="1" x14ac:dyDescent="0.2">
      <c r="Q88" s="13"/>
      <c r="R88" s="12">
        <v>2</v>
      </c>
      <c r="S88" s="26" t="s">
        <v>41</v>
      </c>
      <c r="T88" s="27"/>
      <c r="U88" s="27"/>
      <c r="V88" s="27"/>
      <c r="W88" s="6" t="s">
        <v>310</v>
      </c>
      <c r="Y88" s="26" t="s">
        <v>311</v>
      </c>
      <c r="Z88" s="27"/>
      <c r="AA88" s="27"/>
      <c r="AB88" s="27"/>
      <c r="AC88" s="27"/>
      <c r="AD88" s="27"/>
      <c r="AE88" s="27"/>
      <c r="AF88" s="27"/>
      <c r="AG88" s="27"/>
    </row>
    <row r="89" spans="17:33" ht="22" customHeight="1" x14ac:dyDescent="0.2">
      <c r="Q89" s="14"/>
      <c r="R89" s="12">
        <v>3</v>
      </c>
      <c r="S89" s="26" t="s">
        <v>18</v>
      </c>
      <c r="T89" s="27"/>
      <c r="U89" s="27"/>
      <c r="V89" s="27"/>
      <c r="W89" s="6" t="s">
        <v>312</v>
      </c>
      <c r="Y89" s="27"/>
      <c r="Z89" s="27"/>
      <c r="AA89" s="27"/>
      <c r="AB89" s="27"/>
      <c r="AC89" s="27"/>
      <c r="AD89" s="27"/>
      <c r="AE89" s="27"/>
      <c r="AF89" s="27"/>
      <c r="AG89" s="27"/>
    </row>
    <row r="90" spans="17:33" ht="22" customHeight="1" x14ac:dyDescent="0.2">
      <c r="Q90" s="15"/>
      <c r="R90" s="12">
        <v>4</v>
      </c>
      <c r="S90" s="26" t="s">
        <v>153</v>
      </c>
      <c r="T90" s="27"/>
      <c r="U90" s="27"/>
      <c r="V90" s="27"/>
      <c r="W90" s="6" t="s">
        <v>313</v>
      </c>
      <c r="Y90" s="27"/>
      <c r="Z90" s="27"/>
      <c r="AA90" s="27"/>
      <c r="AB90" s="27"/>
      <c r="AC90" s="27"/>
      <c r="AD90" s="27"/>
      <c r="AE90" s="27"/>
      <c r="AF90" s="27"/>
      <c r="AG90" s="27"/>
    </row>
    <row r="91" spans="17:33" ht="22" customHeight="1" x14ac:dyDescent="0.2">
      <c r="Q91" s="16"/>
      <c r="R91" s="12">
        <v>5</v>
      </c>
      <c r="S91" s="26" t="s">
        <v>137</v>
      </c>
      <c r="T91" s="27"/>
      <c r="U91" s="27"/>
      <c r="V91" s="27"/>
      <c r="W91" s="6" t="s">
        <v>314</v>
      </c>
      <c r="Y91" s="27"/>
      <c r="Z91" s="27"/>
      <c r="AA91" s="27"/>
      <c r="AB91" s="27"/>
      <c r="AC91" s="27"/>
      <c r="AD91" s="27"/>
      <c r="AE91" s="27"/>
      <c r="AF91" s="27"/>
      <c r="AG91" s="27"/>
    </row>
    <row r="93" spans="17:33" x14ac:dyDescent="0.2">
      <c r="Y93" s="28" t="s">
        <v>264</v>
      </c>
      <c r="Z93" s="27"/>
      <c r="AA93" s="27"/>
      <c r="AB93" s="27"/>
      <c r="AC93" s="27"/>
      <c r="AD93" s="27"/>
      <c r="AE93" s="27"/>
      <c r="AF93" s="27"/>
      <c r="AG93" s="27"/>
    </row>
    <row r="94" spans="17:33" x14ac:dyDescent="0.2">
      <c r="Y94" s="26" t="s">
        <v>315</v>
      </c>
      <c r="Z94" s="27"/>
      <c r="AA94" s="27"/>
      <c r="AB94" s="27"/>
      <c r="AC94" s="27"/>
      <c r="AD94" s="27"/>
      <c r="AE94" s="27"/>
      <c r="AF94" s="27"/>
      <c r="AG94" s="27"/>
    </row>
    <row r="95" spans="17:33" x14ac:dyDescent="0.2">
      <c r="Y95" s="27"/>
      <c r="Z95" s="27"/>
      <c r="AA95" s="27"/>
      <c r="AB95" s="27"/>
      <c r="AC95" s="27"/>
      <c r="AD95" s="27"/>
      <c r="AE95" s="27"/>
      <c r="AF95" s="27"/>
      <c r="AG95" s="27"/>
    </row>
    <row r="96" spans="17:33" x14ac:dyDescent="0.2">
      <c r="Y96" s="27"/>
      <c r="Z96" s="27"/>
      <c r="AA96" s="27"/>
      <c r="AB96" s="27"/>
      <c r="AC96" s="27"/>
      <c r="AD96" s="27"/>
      <c r="AE96" s="27"/>
      <c r="AF96" s="27"/>
      <c r="AG96" s="27"/>
    </row>
    <row r="97" spans="25:33" x14ac:dyDescent="0.2">
      <c r="Y97" s="27"/>
      <c r="Z97" s="27"/>
      <c r="AA97" s="27"/>
      <c r="AB97" s="27"/>
      <c r="AC97" s="27"/>
      <c r="AD97" s="27"/>
      <c r="AE97" s="27"/>
      <c r="AF97" s="27"/>
      <c r="AG97" s="27"/>
    </row>
    <row r="99" spans="25:33" x14ac:dyDescent="0.2">
      <c r="Y99" s="28" t="s">
        <v>266</v>
      </c>
      <c r="Z99" s="27"/>
      <c r="AA99" s="27"/>
      <c r="AB99" s="27"/>
      <c r="AC99" s="27"/>
      <c r="AD99" s="27"/>
      <c r="AE99" s="27"/>
      <c r="AF99" s="27"/>
      <c r="AG99" s="27"/>
    </row>
    <row r="100" spans="25:33" x14ac:dyDescent="0.2">
      <c r="Y100" s="26" t="s">
        <v>316</v>
      </c>
      <c r="Z100" s="27"/>
      <c r="AA100" s="27"/>
      <c r="AB100" s="27"/>
      <c r="AC100" s="27"/>
      <c r="AD100" s="27"/>
      <c r="AE100" s="27"/>
      <c r="AF100" s="27"/>
      <c r="AG100" s="27"/>
    </row>
    <row r="101" spans="25:33" x14ac:dyDescent="0.2">
      <c r="Y101" s="27"/>
      <c r="Z101" s="27"/>
      <c r="AA101" s="27"/>
      <c r="AB101" s="27"/>
      <c r="AC101" s="27"/>
      <c r="AD101" s="27"/>
      <c r="AE101" s="27"/>
      <c r="AF101" s="27"/>
      <c r="AG101" s="27"/>
    </row>
    <row r="102" spans="25:33" x14ac:dyDescent="0.2">
      <c r="Y102" s="27"/>
      <c r="Z102" s="27"/>
      <c r="AA102" s="27"/>
      <c r="AB102" s="27"/>
      <c r="AC102" s="27"/>
      <c r="AD102" s="27"/>
      <c r="AE102" s="27"/>
      <c r="AF102" s="27"/>
      <c r="AG102" s="27"/>
    </row>
    <row r="103" spans="25:33" x14ac:dyDescent="0.2">
      <c r="Y103" s="27"/>
      <c r="Z103" s="27"/>
      <c r="AA103" s="27"/>
      <c r="AB103" s="27"/>
      <c r="AC103" s="27"/>
      <c r="AD103" s="27"/>
      <c r="AE103" s="27"/>
      <c r="AF103" s="27"/>
      <c r="AG103" s="27"/>
    </row>
    <row r="105" spans="25:33" x14ac:dyDescent="0.2">
      <c r="Y105" s="28" t="s">
        <v>268</v>
      </c>
      <c r="Z105" s="27"/>
      <c r="AA105" s="27"/>
      <c r="AB105" s="27"/>
      <c r="AC105" s="27"/>
      <c r="AD105" s="27"/>
      <c r="AE105" s="27"/>
      <c r="AF105" s="27"/>
      <c r="AG105" s="27"/>
    </row>
    <row r="106" spans="25:33" x14ac:dyDescent="0.2">
      <c r="Y106" s="26" t="s">
        <v>317</v>
      </c>
      <c r="Z106" s="27"/>
      <c r="AA106" s="27"/>
      <c r="AB106" s="27"/>
      <c r="AC106" s="27"/>
      <c r="AD106" s="27"/>
      <c r="AE106" s="27"/>
      <c r="AF106" s="27"/>
      <c r="AG106" s="27"/>
    </row>
    <row r="107" spans="25:33" x14ac:dyDescent="0.2">
      <c r="Y107" s="27"/>
      <c r="Z107" s="27"/>
      <c r="AA107" s="27"/>
      <c r="AB107" s="27"/>
      <c r="AC107" s="27"/>
      <c r="AD107" s="27"/>
      <c r="AE107" s="27"/>
      <c r="AF107" s="27"/>
      <c r="AG107" s="27"/>
    </row>
    <row r="108" spans="25:33" x14ac:dyDescent="0.2">
      <c r="Y108" s="27"/>
      <c r="Z108" s="27"/>
      <c r="AA108" s="27"/>
      <c r="AB108" s="27"/>
      <c r="AC108" s="27"/>
      <c r="AD108" s="27"/>
      <c r="AE108" s="27"/>
      <c r="AF108" s="27"/>
      <c r="AG108" s="27"/>
    </row>
    <row r="109" spans="25:33" x14ac:dyDescent="0.2">
      <c r="Y109" s="27"/>
      <c r="Z109" s="27"/>
      <c r="AA109" s="27"/>
      <c r="AB109" s="27"/>
      <c r="AC109" s="27"/>
      <c r="AD109" s="27"/>
      <c r="AE109" s="27"/>
      <c r="AF109" s="27"/>
      <c r="AG109" s="27"/>
    </row>
    <row r="121" spans="17:33" ht="16" x14ac:dyDescent="0.2">
      <c r="Q121" s="30" t="s">
        <v>270</v>
      </c>
      <c r="R121" s="27"/>
      <c r="S121" s="27"/>
      <c r="T121" s="27"/>
      <c r="U121" s="27"/>
      <c r="V121" s="27"/>
      <c r="W121" s="27"/>
      <c r="Y121" s="30" t="s">
        <v>256</v>
      </c>
      <c r="Z121" s="27"/>
      <c r="AA121" s="27"/>
      <c r="AB121" s="27"/>
      <c r="AC121" s="27"/>
      <c r="AD121" s="27"/>
      <c r="AE121" s="27"/>
      <c r="AF121" s="27"/>
      <c r="AG121" s="27"/>
    </row>
    <row r="122" spans="17:33" x14ac:dyDescent="0.2">
      <c r="Q122" s="10"/>
      <c r="R122" s="10" t="s">
        <v>257</v>
      </c>
      <c r="S122" s="10" t="s">
        <v>258</v>
      </c>
      <c r="W122" s="10" t="s">
        <v>259</v>
      </c>
    </row>
    <row r="123" spans="17:33" ht="22" customHeight="1" x14ac:dyDescent="0.2">
      <c r="Q123" s="11"/>
      <c r="R123" s="12">
        <v>1</v>
      </c>
      <c r="S123" s="26" t="s">
        <v>178</v>
      </c>
      <c r="T123" s="27"/>
      <c r="U123" s="27"/>
      <c r="V123" s="27"/>
      <c r="W123" s="6" t="s">
        <v>318</v>
      </c>
      <c r="Y123" s="28" t="s">
        <v>262</v>
      </c>
      <c r="Z123" s="27"/>
      <c r="AA123" s="27"/>
      <c r="AB123" s="27"/>
      <c r="AC123" s="27"/>
      <c r="AD123" s="27"/>
      <c r="AE123" s="27"/>
      <c r="AF123" s="27"/>
      <c r="AG123" s="27"/>
    </row>
    <row r="124" spans="17:33" ht="22" customHeight="1" x14ac:dyDescent="0.2">
      <c r="Q124" s="13"/>
      <c r="R124" s="12">
        <v>2</v>
      </c>
      <c r="S124" s="26" t="s">
        <v>272</v>
      </c>
      <c r="T124" s="27"/>
      <c r="U124" s="27"/>
      <c r="V124" s="27"/>
      <c r="W124" s="6" t="s">
        <v>319</v>
      </c>
      <c r="Y124" s="26" t="s">
        <v>320</v>
      </c>
      <c r="Z124" s="27"/>
      <c r="AA124" s="27"/>
      <c r="AB124" s="27"/>
      <c r="AC124" s="27"/>
      <c r="AD124" s="27"/>
      <c r="AE124" s="27"/>
      <c r="AF124" s="27"/>
      <c r="AG124" s="27"/>
    </row>
    <row r="125" spans="17:33" ht="22" customHeight="1" x14ac:dyDescent="0.2">
      <c r="Q125" s="14"/>
      <c r="R125" s="12">
        <v>3</v>
      </c>
      <c r="S125" s="26" t="s">
        <v>159</v>
      </c>
      <c r="T125" s="27"/>
      <c r="U125" s="27"/>
      <c r="V125" s="27"/>
      <c r="W125" s="6" t="s">
        <v>321</v>
      </c>
      <c r="Y125" s="27"/>
      <c r="Z125" s="27"/>
      <c r="AA125" s="27"/>
      <c r="AB125" s="27"/>
      <c r="AC125" s="27"/>
      <c r="AD125" s="27"/>
      <c r="AE125" s="27"/>
      <c r="AF125" s="27"/>
      <c r="AG125" s="27"/>
    </row>
    <row r="126" spans="17:33" ht="22" customHeight="1" x14ac:dyDescent="0.2">
      <c r="Q126" s="15"/>
      <c r="R126" s="12">
        <v>4</v>
      </c>
      <c r="S126" s="26" t="s">
        <v>188</v>
      </c>
      <c r="T126" s="27"/>
      <c r="U126" s="27"/>
      <c r="V126" s="27"/>
      <c r="W126" s="6" t="s">
        <v>322</v>
      </c>
      <c r="Y126" s="27"/>
      <c r="Z126" s="27"/>
      <c r="AA126" s="27"/>
      <c r="AB126" s="27"/>
      <c r="AC126" s="27"/>
      <c r="AD126" s="27"/>
      <c r="AE126" s="27"/>
      <c r="AF126" s="27"/>
      <c r="AG126" s="27"/>
    </row>
    <row r="127" spans="17:33" ht="22" customHeight="1" x14ac:dyDescent="0.2">
      <c r="Q127" s="16"/>
      <c r="R127" s="12">
        <v>5</v>
      </c>
      <c r="S127" s="26" t="s">
        <v>169</v>
      </c>
      <c r="T127" s="27"/>
      <c r="U127" s="27"/>
      <c r="V127" s="27"/>
      <c r="W127" s="6" t="s">
        <v>323</v>
      </c>
      <c r="Y127" s="27"/>
      <c r="Z127" s="27"/>
      <c r="AA127" s="27"/>
      <c r="AB127" s="27"/>
      <c r="AC127" s="27"/>
      <c r="AD127" s="27"/>
      <c r="AE127" s="27"/>
      <c r="AF127" s="27"/>
      <c r="AG127" s="27"/>
    </row>
    <row r="128" spans="17:33" ht="22" customHeight="1" x14ac:dyDescent="0.2">
      <c r="Q128" s="17"/>
      <c r="R128" s="12">
        <v>6</v>
      </c>
      <c r="S128" s="26" t="s">
        <v>174</v>
      </c>
      <c r="T128" s="27"/>
      <c r="U128" s="27"/>
      <c r="V128" s="27"/>
      <c r="W128" s="6" t="s">
        <v>324</v>
      </c>
    </row>
    <row r="129" spans="17:33" ht="22" customHeight="1" x14ac:dyDescent="0.2">
      <c r="Q129" s="18"/>
      <c r="R129" s="12">
        <v>7</v>
      </c>
      <c r="S129" s="26" t="s">
        <v>24</v>
      </c>
      <c r="T129" s="27"/>
      <c r="U129" s="27"/>
      <c r="V129" s="27"/>
      <c r="W129" s="6" t="s">
        <v>325</v>
      </c>
      <c r="Y129" s="28" t="s">
        <v>264</v>
      </c>
      <c r="Z129" s="27"/>
      <c r="AA129" s="27"/>
      <c r="AB129" s="27"/>
      <c r="AC129" s="27"/>
      <c r="AD129" s="27"/>
      <c r="AE129" s="27"/>
      <c r="AF129" s="27"/>
      <c r="AG129" s="27"/>
    </row>
    <row r="130" spans="17:33" ht="22" customHeight="1" x14ac:dyDescent="0.2">
      <c r="Q130" s="19"/>
      <c r="R130" s="12">
        <v>8</v>
      </c>
      <c r="S130" s="26" t="s">
        <v>49</v>
      </c>
      <c r="T130" s="27"/>
      <c r="U130" s="27"/>
      <c r="V130" s="27"/>
      <c r="W130" s="6" t="s">
        <v>326</v>
      </c>
      <c r="Y130" s="26" t="s">
        <v>327</v>
      </c>
      <c r="Z130" s="27"/>
      <c r="AA130" s="27"/>
      <c r="AB130" s="27"/>
      <c r="AC130" s="27"/>
      <c r="AD130" s="27"/>
      <c r="AE130" s="27"/>
      <c r="AF130" s="27"/>
      <c r="AG130" s="27"/>
    </row>
    <row r="131" spans="17:33" ht="22" customHeight="1" x14ac:dyDescent="0.2">
      <c r="Q131" s="20"/>
      <c r="R131" s="12">
        <v>9</v>
      </c>
      <c r="S131" s="26" t="s">
        <v>171</v>
      </c>
      <c r="T131" s="27"/>
      <c r="U131" s="27"/>
      <c r="V131" s="27"/>
      <c r="W131" s="6" t="s">
        <v>328</v>
      </c>
      <c r="Y131" s="27"/>
      <c r="Z131" s="27"/>
      <c r="AA131" s="27"/>
      <c r="AB131" s="27"/>
      <c r="AC131" s="27"/>
      <c r="AD131" s="27"/>
      <c r="AE131" s="27"/>
      <c r="AF131" s="27"/>
      <c r="AG131" s="27"/>
    </row>
    <row r="132" spans="17:33" ht="22" customHeight="1" x14ac:dyDescent="0.2">
      <c r="Q132" s="21"/>
      <c r="R132" s="12">
        <v>10</v>
      </c>
      <c r="S132" s="26" t="s">
        <v>37</v>
      </c>
      <c r="T132" s="27"/>
      <c r="U132" s="27"/>
      <c r="V132" s="27"/>
      <c r="W132" s="6" t="s">
        <v>329</v>
      </c>
      <c r="Y132" s="27"/>
      <c r="Z132" s="27"/>
      <c r="AA132" s="27"/>
      <c r="AB132" s="27"/>
      <c r="AC132" s="27"/>
      <c r="AD132" s="27"/>
      <c r="AE132" s="27"/>
      <c r="AF132" s="27"/>
      <c r="AG132" s="27"/>
    </row>
    <row r="133" spans="17:33" ht="22" customHeight="1" x14ac:dyDescent="0.2">
      <c r="Q133" s="22"/>
      <c r="R133" s="12">
        <v>11</v>
      </c>
      <c r="S133" s="26" t="s">
        <v>71</v>
      </c>
      <c r="T133" s="27"/>
      <c r="U133" s="27"/>
      <c r="V133" s="27"/>
      <c r="W133" s="6" t="s">
        <v>330</v>
      </c>
      <c r="Y133" s="27"/>
      <c r="Z133" s="27"/>
      <c r="AA133" s="27"/>
      <c r="AB133" s="27"/>
      <c r="AC133" s="27"/>
      <c r="AD133" s="27"/>
      <c r="AE133" s="27"/>
      <c r="AF133" s="27"/>
      <c r="AG133" s="27"/>
    </row>
    <row r="134" spans="17:33" ht="22" customHeight="1" x14ac:dyDescent="0.2">
      <c r="Q134" s="23"/>
      <c r="R134" s="12">
        <v>12</v>
      </c>
      <c r="S134" s="26" t="s">
        <v>141</v>
      </c>
      <c r="T134" s="27"/>
      <c r="U134" s="27"/>
      <c r="V134" s="27"/>
      <c r="W134" s="6" t="s">
        <v>331</v>
      </c>
    </row>
    <row r="135" spans="17:33" ht="22" customHeight="1" x14ac:dyDescent="0.2">
      <c r="Q135" s="11"/>
      <c r="R135" s="12">
        <v>13</v>
      </c>
      <c r="S135" s="26" t="s">
        <v>155</v>
      </c>
      <c r="T135" s="27"/>
      <c r="U135" s="27"/>
      <c r="V135" s="27"/>
      <c r="W135" s="6" t="s">
        <v>332</v>
      </c>
      <c r="Y135" s="28" t="s">
        <v>266</v>
      </c>
      <c r="Z135" s="27"/>
      <c r="AA135" s="27"/>
      <c r="AB135" s="27"/>
      <c r="AC135" s="27"/>
      <c r="AD135" s="27"/>
      <c r="AE135" s="27"/>
      <c r="AF135" s="27"/>
      <c r="AG135" s="27"/>
    </row>
    <row r="136" spans="17:33" ht="22" customHeight="1" x14ac:dyDescent="0.2">
      <c r="Q136" s="13"/>
      <c r="R136" s="12">
        <v>14</v>
      </c>
      <c r="S136" s="26" t="s">
        <v>46</v>
      </c>
      <c r="T136" s="27"/>
      <c r="U136" s="27"/>
      <c r="V136" s="27"/>
      <c r="W136" s="6" t="s">
        <v>333</v>
      </c>
      <c r="Y136" s="26" t="s">
        <v>334</v>
      </c>
      <c r="Z136" s="27"/>
      <c r="AA136" s="27"/>
      <c r="AB136" s="27"/>
      <c r="AC136" s="27"/>
      <c r="AD136" s="27"/>
      <c r="AE136" s="27"/>
      <c r="AF136" s="27"/>
      <c r="AG136" s="27"/>
    </row>
    <row r="137" spans="17:33" ht="22" customHeight="1" x14ac:dyDescent="0.2">
      <c r="Q137" s="14"/>
      <c r="R137" s="12">
        <v>15</v>
      </c>
      <c r="S137" s="26" t="s">
        <v>64</v>
      </c>
      <c r="T137" s="27"/>
      <c r="U137" s="27"/>
      <c r="V137" s="27"/>
      <c r="W137" s="6" t="s">
        <v>335</v>
      </c>
      <c r="Y137" s="27"/>
      <c r="Z137" s="27"/>
      <c r="AA137" s="27"/>
      <c r="AB137" s="27"/>
      <c r="AC137" s="27"/>
      <c r="AD137" s="27"/>
      <c r="AE137" s="27"/>
      <c r="AF137" s="27"/>
      <c r="AG137" s="27"/>
    </row>
    <row r="138" spans="17:33" ht="22" customHeight="1" x14ac:dyDescent="0.2">
      <c r="Q138" s="15"/>
      <c r="R138" s="12">
        <v>16</v>
      </c>
      <c r="S138" s="26" t="s">
        <v>32</v>
      </c>
      <c r="T138" s="27"/>
      <c r="U138" s="27"/>
      <c r="V138" s="27"/>
      <c r="W138" s="6" t="s">
        <v>336</v>
      </c>
      <c r="Y138" s="27"/>
      <c r="Z138" s="27"/>
      <c r="AA138" s="27"/>
      <c r="AB138" s="27"/>
      <c r="AC138" s="27"/>
      <c r="AD138" s="27"/>
      <c r="AE138" s="27"/>
      <c r="AF138" s="27"/>
      <c r="AG138" s="27"/>
    </row>
    <row r="139" spans="17:33" ht="22" customHeight="1" x14ac:dyDescent="0.2">
      <c r="Q139" s="16"/>
      <c r="R139" s="12">
        <v>17</v>
      </c>
      <c r="S139" s="26" t="s">
        <v>29</v>
      </c>
      <c r="T139" s="27"/>
      <c r="U139" s="27"/>
      <c r="V139" s="27"/>
      <c r="W139" s="6" t="s">
        <v>337</v>
      </c>
      <c r="Y139" s="27"/>
      <c r="Z139" s="27"/>
      <c r="AA139" s="27"/>
      <c r="AB139" s="27"/>
      <c r="AC139" s="27"/>
      <c r="AD139" s="27"/>
      <c r="AE139" s="27"/>
      <c r="AF139" s="27"/>
      <c r="AG139" s="27"/>
    </row>
    <row r="140" spans="17:33" ht="22" customHeight="1" x14ac:dyDescent="0.2">
      <c r="Q140" s="17"/>
      <c r="R140" s="12">
        <v>18</v>
      </c>
      <c r="S140" s="26" t="s">
        <v>152</v>
      </c>
      <c r="T140" s="27"/>
      <c r="U140" s="27"/>
      <c r="V140" s="27"/>
      <c r="W140" s="6" t="s">
        <v>338</v>
      </c>
    </row>
    <row r="141" spans="17:33" ht="22" customHeight="1" x14ac:dyDescent="0.2">
      <c r="Q141" s="18"/>
      <c r="R141" s="12">
        <v>19</v>
      </c>
      <c r="S141" s="26" t="s">
        <v>136</v>
      </c>
      <c r="T141" s="27"/>
      <c r="U141" s="27"/>
      <c r="V141" s="27"/>
      <c r="W141" s="6" t="s">
        <v>338</v>
      </c>
      <c r="Y141" s="28" t="s">
        <v>268</v>
      </c>
      <c r="Z141" s="27"/>
      <c r="AA141" s="27"/>
      <c r="AB141" s="27"/>
      <c r="AC141" s="27"/>
      <c r="AD141" s="27"/>
      <c r="AE141" s="27"/>
      <c r="AF141" s="27"/>
      <c r="AG141" s="27"/>
    </row>
    <row r="142" spans="17:33" ht="22" customHeight="1" x14ac:dyDescent="0.2">
      <c r="Q142" s="19"/>
      <c r="R142" s="12">
        <v>20</v>
      </c>
      <c r="S142" s="26" t="s">
        <v>123</v>
      </c>
      <c r="T142" s="27"/>
      <c r="U142" s="27"/>
      <c r="V142" s="27"/>
      <c r="W142" s="6" t="s">
        <v>338</v>
      </c>
      <c r="Y142" s="26" t="s">
        <v>339</v>
      </c>
      <c r="Z142" s="27"/>
      <c r="AA142" s="27"/>
      <c r="AB142" s="27"/>
      <c r="AC142" s="27"/>
      <c r="AD142" s="27"/>
      <c r="AE142" s="27"/>
      <c r="AF142" s="27"/>
      <c r="AG142" s="27"/>
    </row>
    <row r="143" spans="17:33" ht="22" customHeight="1" x14ac:dyDescent="0.2">
      <c r="Q143" s="20"/>
      <c r="R143" s="12">
        <v>21</v>
      </c>
      <c r="S143" s="26" t="s">
        <v>163</v>
      </c>
      <c r="T143" s="27"/>
      <c r="U143" s="27"/>
      <c r="V143" s="27"/>
      <c r="W143" s="6" t="s">
        <v>340</v>
      </c>
      <c r="Y143" s="27"/>
      <c r="Z143" s="27"/>
      <c r="AA143" s="27"/>
      <c r="AB143" s="27"/>
      <c r="AC143" s="27"/>
      <c r="AD143" s="27"/>
      <c r="AE143" s="27"/>
      <c r="AF143" s="27"/>
      <c r="AG143" s="27"/>
    </row>
    <row r="144" spans="17:33" ht="22" customHeight="1" x14ac:dyDescent="0.2">
      <c r="Q144" s="21"/>
      <c r="R144" s="12">
        <v>22</v>
      </c>
      <c r="S144" s="26" t="s">
        <v>40</v>
      </c>
      <c r="T144" s="27"/>
      <c r="U144" s="27"/>
      <c r="V144" s="27"/>
      <c r="W144" s="6" t="s">
        <v>341</v>
      </c>
      <c r="Y144" s="27"/>
      <c r="Z144" s="27"/>
      <c r="AA144" s="27"/>
      <c r="AB144" s="27"/>
      <c r="AC144" s="27"/>
      <c r="AD144" s="27"/>
      <c r="AE144" s="27"/>
      <c r="AF144" s="27"/>
      <c r="AG144" s="27"/>
    </row>
    <row r="145" spans="17:33" ht="22" customHeight="1" x14ac:dyDescent="0.2">
      <c r="Q145" s="22"/>
      <c r="R145" s="12">
        <v>23</v>
      </c>
      <c r="S145" s="26" t="s">
        <v>116</v>
      </c>
      <c r="T145" s="27"/>
      <c r="U145" s="27"/>
      <c r="V145" s="27"/>
      <c r="W145" s="6" t="s">
        <v>342</v>
      </c>
      <c r="Y145" s="27"/>
      <c r="Z145" s="27"/>
      <c r="AA145" s="27"/>
      <c r="AB145" s="27"/>
      <c r="AC145" s="27"/>
      <c r="AD145" s="27"/>
      <c r="AE145" s="27"/>
      <c r="AF145" s="27"/>
      <c r="AG145" s="27"/>
    </row>
    <row r="146" spans="17:33" ht="22" customHeight="1" x14ac:dyDescent="0.2">
      <c r="Q146" s="23"/>
      <c r="R146" s="12">
        <v>24</v>
      </c>
      <c r="S146" s="26" t="s">
        <v>130</v>
      </c>
      <c r="T146" s="27"/>
      <c r="U146" s="27"/>
      <c r="V146" s="27"/>
      <c r="W146" s="6" t="s">
        <v>343</v>
      </c>
    </row>
    <row r="147" spans="17:33" ht="22" customHeight="1" x14ac:dyDescent="0.2">
      <c r="Q147" s="11"/>
      <c r="R147" s="12">
        <v>25</v>
      </c>
      <c r="S147" s="26" t="s">
        <v>93</v>
      </c>
      <c r="T147" s="27"/>
      <c r="U147" s="27"/>
      <c r="V147" s="27"/>
      <c r="W147" s="6" t="s">
        <v>344</v>
      </c>
    </row>
    <row r="148" spans="17:33" ht="22" customHeight="1" x14ac:dyDescent="0.2">
      <c r="Q148" s="13"/>
      <c r="R148" s="12">
        <v>26</v>
      </c>
      <c r="S148" s="26" t="s">
        <v>77</v>
      </c>
      <c r="T148" s="27"/>
      <c r="U148" s="27"/>
      <c r="V148" s="27"/>
      <c r="W148" s="6" t="s">
        <v>345</v>
      </c>
    </row>
    <row r="149" spans="17:33" ht="22" customHeight="1" x14ac:dyDescent="0.2">
      <c r="Q149" s="14"/>
      <c r="R149" s="12">
        <v>27</v>
      </c>
      <c r="S149" s="26" t="s">
        <v>98</v>
      </c>
      <c r="T149" s="27"/>
      <c r="U149" s="27"/>
      <c r="V149" s="27"/>
      <c r="W149" s="6" t="s">
        <v>346</v>
      </c>
    </row>
    <row r="150" spans="17:33" ht="22" customHeight="1" x14ac:dyDescent="0.2">
      <c r="Q150" s="15"/>
      <c r="R150" s="12">
        <v>28</v>
      </c>
      <c r="S150" s="26" t="s">
        <v>85</v>
      </c>
      <c r="T150" s="27"/>
      <c r="U150" s="27"/>
      <c r="V150" s="27"/>
      <c r="W150" s="6" t="s">
        <v>347</v>
      </c>
    </row>
    <row r="151" spans="17:33" ht="22" customHeight="1" x14ac:dyDescent="0.2">
      <c r="Q151" s="16"/>
      <c r="R151" s="12">
        <v>29</v>
      </c>
      <c r="S151" s="26" t="s">
        <v>146</v>
      </c>
      <c r="T151" s="27"/>
      <c r="U151" s="27"/>
      <c r="V151" s="27"/>
      <c r="W151" s="6" t="s">
        <v>348</v>
      </c>
    </row>
    <row r="152" spans="17:33" ht="22" customHeight="1" x14ac:dyDescent="0.2">
      <c r="Q152" s="17"/>
      <c r="R152" s="12">
        <v>30</v>
      </c>
      <c r="S152" s="26" t="s">
        <v>176</v>
      </c>
      <c r="T152" s="27"/>
      <c r="U152" s="27"/>
      <c r="V152" s="27"/>
      <c r="W152" s="6" t="s">
        <v>349</v>
      </c>
    </row>
    <row r="153" spans="17:33" ht="22" customHeight="1" x14ac:dyDescent="0.2">
      <c r="Q153" s="18"/>
      <c r="R153" s="12">
        <v>31</v>
      </c>
      <c r="S153" s="26" t="s">
        <v>149</v>
      </c>
      <c r="T153" s="27"/>
      <c r="U153" s="27"/>
      <c r="V153" s="27"/>
      <c r="W153" s="6" t="s">
        <v>350</v>
      </c>
    </row>
    <row r="154" spans="17:33" ht="22" customHeight="1" x14ac:dyDescent="0.2">
      <c r="Q154" s="19"/>
      <c r="R154" s="12">
        <v>32</v>
      </c>
      <c r="S154" s="26" t="s">
        <v>105</v>
      </c>
      <c r="T154" s="27"/>
      <c r="U154" s="27"/>
      <c r="V154" s="27"/>
      <c r="W154" s="6" t="s">
        <v>350</v>
      </c>
    </row>
    <row r="155" spans="17:33" ht="22" customHeight="1" x14ac:dyDescent="0.2">
      <c r="Q155" s="20"/>
      <c r="R155" s="12">
        <v>33</v>
      </c>
      <c r="S155" s="26" t="s">
        <v>127</v>
      </c>
      <c r="T155" s="27"/>
      <c r="U155" s="27"/>
      <c r="V155" s="27"/>
      <c r="W155" s="6" t="s">
        <v>351</v>
      </c>
    </row>
    <row r="156" spans="17:33" ht="22" customHeight="1" x14ac:dyDescent="0.2">
      <c r="Q156" s="21"/>
      <c r="R156" s="12">
        <v>34</v>
      </c>
      <c r="S156" s="26" t="s">
        <v>87</v>
      </c>
      <c r="T156" s="27"/>
      <c r="U156" s="27"/>
      <c r="V156" s="27"/>
      <c r="W156" s="6" t="s">
        <v>352</v>
      </c>
    </row>
    <row r="157" spans="17:33" ht="22" customHeight="1" x14ac:dyDescent="0.2">
      <c r="Q157" s="22"/>
      <c r="R157" s="12">
        <v>35</v>
      </c>
      <c r="S157" s="26" t="s">
        <v>112</v>
      </c>
      <c r="T157" s="27"/>
      <c r="U157" s="27"/>
      <c r="V157" s="27"/>
      <c r="W157" s="6" t="s">
        <v>353</v>
      </c>
    </row>
    <row r="158" spans="17:33" ht="22" customHeight="1" x14ac:dyDescent="0.2">
      <c r="Q158" s="23"/>
      <c r="R158" s="12">
        <v>36</v>
      </c>
      <c r="S158" s="26" t="s">
        <v>56</v>
      </c>
      <c r="T158" s="27"/>
      <c r="U158" s="27"/>
      <c r="V158" s="27"/>
      <c r="W158" s="6" t="s">
        <v>354</v>
      </c>
    </row>
    <row r="162" spans="17:33" ht="16" x14ac:dyDescent="0.2">
      <c r="Q162" s="30" t="s">
        <v>355</v>
      </c>
      <c r="R162" s="27"/>
      <c r="S162" s="27"/>
      <c r="T162" s="27"/>
      <c r="U162" s="27"/>
      <c r="V162" s="27"/>
      <c r="W162" s="27"/>
      <c r="Y162" s="30" t="s">
        <v>256</v>
      </c>
      <c r="Z162" s="27"/>
      <c r="AA162" s="27"/>
      <c r="AB162" s="27"/>
      <c r="AC162" s="27"/>
      <c r="AD162" s="27"/>
      <c r="AE162" s="27"/>
      <c r="AF162" s="27"/>
      <c r="AG162" s="27"/>
    </row>
    <row r="163" spans="17:33" x14ac:dyDescent="0.2">
      <c r="Q163" s="10"/>
      <c r="R163" s="10" t="s">
        <v>257</v>
      </c>
      <c r="S163" s="10" t="s">
        <v>258</v>
      </c>
      <c r="W163" s="10" t="s">
        <v>259</v>
      </c>
    </row>
    <row r="164" spans="17:33" ht="22" customHeight="1" x14ac:dyDescent="0.2">
      <c r="Q164" s="11"/>
      <c r="R164" s="12">
        <v>1</v>
      </c>
      <c r="S164" s="26" t="s">
        <v>179</v>
      </c>
      <c r="T164" s="27"/>
      <c r="U164" s="27"/>
      <c r="V164" s="27"/>
      <c r="W164" s="6" t="s">
        <v>356</v>
      </c>
      <c r="Y164" s="28" t="s">
        <v>262</v>
      </c>
      <c r="Z164" s="27"/>
      <c r="AA164" s="27"/>
      <c r="AB164" s="27"/>
      <c r="AC164" s="27"/>
      <c r="AD164" s="27"/>
      <c r="AE164" s="27"/>
      <c r="AF164" s="27"/>
      <c r="AG164" s="27"/>
    </row>
    <row r="165" spans="17:33" ht="22" customHeight="1" x14ac:dyDescent="0.2">
      <c r="Q165" s="13"/>
      <c r="R165" s="12">
        <v>2</v>
      </c>
      <c r="S165" s="26" t="s">
        <v>173</v>
      </c>
      <c r="T165" s="27"/>
      <c r="U165" s="27"/>
      <c r="V165" s="27"/>
      <c r="W165" s="6" t="s">
        <v>278</v>
      </c>
      <c r="Y165" s="26" t="s">
        <v>357</v>
      </c>
      <c r="Z165" s="27"/>
      <c r="AA165" s="27"/>
      <c r="AB165" s="27"/>
      <c r="AC165" s="27"/>
      <c r="AD165" s="27"/>
      <c r="AE165" s="27"/>
      <c r="AF165" s="27"/>
      <c r="AG165" s="27"/>
    </row>
    <row r="166" spans="17:33" ht="22" customHeight="1" x14ac:dyDescent="0.2">
      <c r="Q166" s="14"/>
      <c r="R166" s="12">
        <v>3</v>
      </c>
      <c r="S166" s="26" t="s">
        <v>36</v>
      </c>
      <c r="T166" s="27"/>
      <c r="U166" s="27"/>
      <c r="V166" s="27"/>
      <c r="W166" s="6" t="s">
        <v>283</v>
      </c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17:33" ht="22" customHeight="1" x14ac:dyDescent="0.2">
      <c r="Q167" s="15"/>
      <c r="R167" s="12">
        <v>4</v>
      </c>
      <c r="S167" s="26" t="s">
        <v>194</v>
      </c>
      <c r="T167" s="27"/>
      <c r="U167" s="27"/>
      <c r="V167" s="27"/>
      <c r="W167" s="6" t="s">
        <v>358</v>
      </c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17:33" ht="22" customHeight="1" x14ac:dyDescent="0.2">
      <c r="Q168" s="16"/>
      <c r="R168" s="12">
        <v>5</v>
      </c>
      <c r="S168" s="26" t="s">
        <v>160</v>
      </c>
      <c r="T168" s="27"/>
      <c r="U168" s="27"/>
      <c r="V168" s="27"/>
      <c r="W168" s="6" t="s">
        <v>359</v>
      </c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17:33" ht="22" customHeight="1" x14ac:dyDescent="0.2">
      <c r="Q169" s="17"/>
      <c r="R169" s="12">
        <v>6</v>
      </c>
      <c r="S169" s="26" t="s">
        <v>157</v>
      </c>
      <c r="T169" s="27"/>
      <c r="U169" s="27"/>
      <c r="V169" s="27"/>
      <c r="W169" s="6" t="s">
        <v>360</v>
      </c>
    </row>
    <row r="170" spans="17:33" ht="22" customHeight="1" x14ac:dyDescent="0.2">
      <c r="Q170" s="18"/>
      <c r="R170" s="12">
        <v>7</v>
      </c>
      <c r="S170" s="26" t="s">
        <v>140</v>
      </c>
      <c r="T170" s="27"/>
      <c r="U170" s="27"/>
      <c r="V170" s="27"/>
      <c r="W170" s="6" t="s">
        <v>285</v>
      </c>
      <c r="Y170" s="28" t="s">
        <v>264</v>
      </c>
      <c r="Z170" s="27"/>
      <c r="AA170" s="27"/>
      <c r="AB170" s="27"/>
      <c r="AC170" s="27"/>
      <c r="AD170" s="27"/>
      <c r="AE170" s="27"/>
      <c r="AF170" s="27"/>
      <c r="AG170" s="27"/>
    </row>
    <row r="171" spans="17:33" ht="22" customHeight="1" x14ac:dyDescent="0.2">
      <c r="Q171" s="19"/>
      <c r="R171" s="12">
        <v>8</v>
      </c>
      <c r="S171" s="26" t="s">
        <v>193</v>
      </c>
      <c r="T171" s="27"/>
      <c r="U171" s="27"/>
      <c r="V171" s="27"/>
      <c r="W171" s="6" t="s">
        <v>361</v>
      </c>
      <c r="Y171" s="26" t="s">
        <v>362</v>
      </c>
      <c r="Z171" s="27"/>
      <c r="AA171" s="27"/>
      <c r="AB171" s="27"/>
      <c r="AC171" s="27"/>
      <c r="AD171" s="27"/>
      <c r="AE171" s="27"/>
      <c r="AF171" s="27"/>
      <c r="AG171" s="27"/>
    </row>
    <row r="172" spans="17:33" ht="22" customHeight="1" x14ac:dyDescent="0.2">
      <c r="Q172" s="20"/>
      <c r="R172" s="12">
        <v>9</v>
      </c>
      <c r="S172" s="26" t="s">
        <v>187</v>
      </c>
      <c r="T172" s="27"/>
      <c r="U172" s="27"/>
      <c r="V172" s="27"/>
      <c r="W172" s="6" t="s">
        <v>363</v>
      </c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17:33" ht="22" customHeight="1" x14ac:dyDescent="0.2">
      <c r="Q173" s="21"/>
      <c r="R173" s="12">
        <v>10</v>
      </c>
      <c r="S173" s="26" t="s">
        <v>170</v>
      </c>
      <c r="T173" s="27"/>
      <c r="U173" s="27"/>
      <c r="V173" s="27"/>
      <c r="W173" s="6" t="s">
        <v>364</v>
      </c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17:33" x14ac:dyDescent="0.2">
      <c r="Y174" s="27"/>
      <c r="Z174" s="27"/>
      <c r="AA174" s="27"/>
      <c r="AB174" s="27"/>
      <c r="AC174" s="27"/>
      <c r="AD174" s="27"/>
      <c r="AE174" s="27"/>
      <c r="AF174" s="27"/>
      <c r="AG174" s="27"/>
    </row>
    <row r="176" spans="17:33" x14ac:dyDescent="0.2">
      <c r="Y176" s="28" t="s">
        <v>266</v>
      </c>
      <c r="Z176" s="27"/>
      <c r="AA176" s="27"/>
      <c r="AB176" s="27"/>
      <c r="AC176" s="27"/>
      <c r="AD176" s="27"/>
      <c r="AE176" s="27"/>
      <c r="AF176" s="27"/>
      <c r="AG176" s="27"/>
    </row>
    <row r="177" spans="25:33" x14ac:dyDescent="0.2">
      <c r="Y177" s="26" t="s">
        <v>365</v>
      </c>
      <c r="Z177" s="27"/>
      <c r="AA177" s="27"/>
      <c r="AB177" s="27"/>
      <c r="AC177" s="27"/>
      <c r="AD177" s="27"/>
      <c r="AE177" s="27"/>
      <c r="AF177" s="27"/>
      <c r="AG177" s="27"/>
    </row>
    <row r="178" spans="25:33" x14ac:dyDescent="0.2"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5:33" x14ac:dyDescent="0.2"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5:33" x14ac:dyDescent="0.2">
      <c r="Y180" s="27"/>
      <c r="Z180" s="27"/>
      <c r="AA180" s="27"/>
      <c r="AB180" s="27"/>
      <c r="AC180" s="27"/>
      <c r="AD180" s="27"/>
      <c r="AE180" s="27"/>
      <c r="AF180" s="27"/>
      <c r="AG180" s="27"/>
    </row>
    <row r="182" spans="25:33" x14ac:dyDescent="0.2">
      <c r="Y182" s="28" t="s">
        <v>268</v>
      </c>
      <c r="Z182" s="27"/>
      <c r="AA182" s="27"/>
      <c r="AB182" s="27"/>
      <c r="AC182" s="27"/>
      <c r="AD182" s="27"/>
      <c r="AE182" s="27"/>
      <c r="AF182" s="27"/>
      <c r="AG182" s="27"/>
    </row>
    <row r="183" spans="25:33" x14ac:dyDescent="0.2">
      <c r="Y183" s="26" t="s">
        <v>366</v>
      </c>
      <c r="Z183" s="27"/>
      <c r="AA183" s="27"/>
      <c r="AB183" s="27"/>
      <c r="AC183" s="27"/>
      <c r="AD183" s="27"/>
      <c r="AE183" s="27"/>
      <c r="AF183" s="27"/>
      <c r="AG183" s="27"/>
    </row>
    <row r="184" spans="25:33" x14ac:dyDescent="0.2">
      <c r="Y184" s="27"/>
      <c r="Z184" s="27"/>
      <c r="AA184" s="27"/>
      <c r="AB184" s="27"/>
      <c r="AC184" s="27"/>
      <c r="AD184" s="27"/>
      <c r="AE184" s="27"/>
      <c r="AF184" s="27"/>
      <c r="AG184" s="27"/>
    </row>
    <row r="185" spans="25:33" x14ac:dyDescent="0.2">
      <c r="Y185" s="27"/>
      <c r="Z185" s="27"/>
      <c r="AA185" s="27"/>
      <c r="AB185" s="27"/>
      <c r="AC185" s="27"/>
      <c r="AD185" s="27"/>
      <c r="AE185" s="27"/>
      <c r="AF185" s="27"/>
      <c r="AG185" s="27"/>
    </row>
    <row r="186" spans="25:33" x14ac:dyDescent="0.2">
      <c r="Y186" s="27"/>
      <c r="Z186" s="27"/>
      <c r="AA186" s="27"/>
      <c r="AB186" s="27"/>
      <c r="AC186" s="27"/>
      <c r="AD186" s="27"/>
      <c r="AE186" s="27"/>
      <c r="AF186" s="27"/>
      <c r="AG186" s="27"/>
    </row>
    <row r="198" spans="17:33" ht="16" x14ac:dyDescent="0.2">
      <c r="Q198" s="30" t="s">
        <v>367</v>
      </c>
      <c r="R198" s="27"/>
      <c r="S198" s="27"/>
      <c r="T198" s="27"/>
      <c r="U198" s="27"/>
      <c r="V198" s="27"/>
      <c r="W198" s="27"/>
      <c r="Y198" s="30" t="s">
        <v>256</v>
      </c>
      <c r="Z198" s="27"/>
      <c r="AA198" s="27"/>
      <c r="AB198" s="27"/>
      <c r="AC198" s="27"/>
      <c r="AD198" s="27"/>
      <c r="AE198" s="27"/>
      <c r="AF198" s="27"/>
      <c r="AG198" s="27"/>
    </row>
    <row r="199" spans="17:33" x14ac:dyDescent="0.2">
      <c r="Q199" s="10"/>
      <c r="R199" s="10" t="s">
        <v>257</v>
      </c>
      <c r="S199" s="10" t="s">
        <v>258</v>
      </c>
      <c r="W199" s="10" t="s">
        <v>259</v>
      </c>
    </row>
    <row r="200" spans="17:33" ht="22" customHeight="1" x14ac:dyDescent="0.2">
      <c r="Q200" s="11"/>
      <c r="R200" s="12">
        <v>1</v>
      </c>
      <c r="S200" s="26" t="s">
        <v>165</v>
      </c>
      <c r="T200" s="27"/>
      <c r="U200" s="27"/>
      <c r="V200" s="27"/>
      <c r="W200" s="6" t="s">
        <v>309</v>
      </c>
      <c r="Y200" s="28" t="s">
        <v>262</v>
      </c>
      <c r="Z200" s="27"/>
      <c r="AA200" s="27"/>
      <c r="AB200" s="27"/>
      <c r="AC200" s="27"/>
      <c r="AD200" s="27"/>
      <c r="AE200" s="27"/>
      <c r="AF200" s="27"/>
      <c r="AG200" s="27"/>
    </row>
    <row r="201" spans="17:33" ht="22" customHeight="1" x14ac:dyDescent="0.2">
      <c r="Q201" s="13"/>
      <c r="R201" s="12">
        <v>2</v>
      </c>
      <c r="S201" s="26" t="s">
        <v>41</v>
      </c>
      <c r="T201" s="27"/>
      <c r="U201" s="27"/>
      <c r="V201" s="27"/>
      <c r="W201" s="6" t="s">
        <v>310</v>
      </c>
      <c r="Y201" s="26" t="s">
        <v>368</v>
      </c>
      <c r="Z201" s="27"/>
      <c r="AA201" s="27"/>
      <c r="AB201" s="27"/>
      <c r="AC201" s="27"/>
      <c r="AD201" s="27"/>
      <c r="AE201" s="27"/>
      <c r="AF201" s="27"/>
      <c r="AG201" s="27"/>
    </row>
    <row r="202" spans="17:33" ht="22" customHeight="1" x14ac:dyDescent="0.2">
      <c r="Q202" s="14"/>
      <c r="R202" s="12">
        <v>3</v>
      </c>
      <c r="S202" s="26" t="s">
        <v>18</v>
      </c>
      <c r="T202" s="27"/>
      <c r="U202" s="27"/>
      <c r="V202" s="27"/>
      <c r="W202" s="6" t="s">
        <v>312</v>
      </c>
      <c r="Y202" s="27"/>
      <c r="Z202" s="27"/>
      <c r="AA202" s="27"/>
      <c r="AB202" s="27"/>
      <c r="AC202" s="27"/>
      <c r="AD202" s="27"/>
      <c r="AE202" s="27"/>
      <c r="AF202" s="27"/>
      <c r="AG202" s="27"/>
    </row>
    <row r="203" spans="17:33" ht="22" customHeight="1" x14ac:dyDescent="0.2">
      <c r="Q203" s="15"/>
      <c r="R203" s="12">
        <v>4</v>
      </c>
      <c r="S203" s="26" t="s">
        <v>153</v>
      </c>
      <c r="T203" s="27"/>
      <c r="U203" s="27"/>
      <c r="V203" s="27"/>
      <c r="W203" s="6" t="s">
        <v>313</v>
      </c>
      <c r="Y203" s="27"/>
      <c r="Z203" s="27"/>
      <c r="AA203" s="27"/>
      <c r="AB203" s="27"/>
      <c r="AC203" s="27"/>
      <c r="AD203" s="27"/>
      <c r="AE203" s="27"/>
      <c r="AF203" s="27"/>
      <c r="AG203" s="27"/>
    </row>
    <row r="204" spans="17:33" ht="22" customHeight="1" x14ac:dyDescent="0.2">
      <c r="Q204" s="16"/>
      <c r="R204" s="12">
        <v>5</v>
      </c>
      <c r="S204" s="26" t="s">
        <v>137</v>
      </c>
      <c r="T204" s="27"/>
      <c r="U204" s="27"/>
      <c r="V204" s="27"/>
      <c r="W204" s="6" t="s">
        <v>314</v>
      </c>
      <c r="Y204" s="27"/>
      <c r="Z204" s="27"/>
      <c r="AA204" s="27"/>
      <c r="AB204" s="27"/>
      <c r="AC204" s="27"/>
      <c r="AD204" s="27"/>
      <c r="AE204" s="27"/>
      <c r="AF204" s="27"/>
      <c r="AG204" s="27"/>
    </row>
    <row r="205" spans="17:33" ht="22" customHeight="1" x14ac:dyDescent="0.2">
      <c r="Q205" s="24"/>
      <c r="R205" s="12">
        <v>1</v>
      </c>
      <c r="S205" s="26" t="s">
        <v>369</v>
      </c>
      <c r="T205" s="27"/>
      <c r="U205" s="27"/>
      <c r="V205" s="27"/>
      <c r="W205" s="6" t="s">
        <v>261</v>
      </c>
    </row>
    <row r="206" spans="17:33" x14ac:dyDescent="0.2">
      <c r="Y206" s="28" t="s">
        <v>264</v>
      </c>
      <c r="Z206" s="27"/>
      <c r="AA206" s="27"/>
      <c r="AB206" s="27"/>
      <c r="AC206" s="27"/>
      <c r="AD206" s="27"/>
      <c r="AE206" s="27"/>
      <c r="AF206" s="27"/>
      <c r="AG206" s="27"/>
    </row>
    <row r="207" spans="17:33" x14ac:dyDescent="0.2">
      <c r="Y207" s="26" t="s">
        <v>370</v>
      </c>
      <c r="Z207" s="27"/>
      <c r="AA207" s="27"/>
      <c r="AB207" s="27"/>
      <c r="AC207" s="27"/>
      <c r="AD207" s="27"/>
      <c r="AE207" s="27"/>
      <c r="AF207" s="27"/>
      <c r="AG207" s="27"/>
    </row>
    <row r="208" spans="17:33" x14ac:dyDescent="0.2">
      <c r="Y208" s="27"/>
      <c r="Z208" s="27"/>
      <c r="AA208" s="27"/>
      <c r="AB208" s="27"/>
      <c r="AC208" s="27"/>
      <c r="AD208" s="27"/>
      <c r="AE208" s="27"/>
      <c r="AF208" s="27"/>
      <c r="AG208" s="27"/>
    </row>
    <row r="209" spans="25:33" x14ac:dyDescent="0.2">
      <c r="Y209" s="27"/>
      <c r="Z209" s="27"/>
      <c r="AA209" s="27"/>
      <c r="AB209" s="27"/>
      <c r="AC209" s="27"/>
      <c r="AD209" s="27"/>
      <c r="AE209" s="27"/>
      <c r="AF209" s="27"/>
      <c r="AG209" s="27"/>
    </row>
    <row r="210" spans="25:33" x14ac:dyDescent="0.2">
      <c r="Y210" s="27"/>
      <c r="Z210" s="27"/>
      <c r="AA210" s="27"/>
      <c r="AB210" s="27"/>
      <c r="AC210" s="27"/>
      <c r="AD210" s="27"/>
      <c r="AE210" s="27"/>
      <c r="AF210" s="27"/>
      <c r="AG210" s="27"/>
    </row>
    <row r="212" spans="25:33" x14ac:dyDescent="0.2">
      <c r="Y212" s="28" t="s">
        <v>266</v>
      </c>
      <c r="Z212" s="27"/>
      <c r="AA212" s="27"/>
      <c r="AB212" s="27"/>
      <c r="AC212" s="27"/>
      <c r="AD212" s="27"/>
      <c r="AE212" s="27"/>
      <c r="AF212" s="27"/>
      <c r="AG212" s="27"/>
    </row>
    <row r="213" spans="25:33" x14ac:dyDescent="0.2">
      <c r="Y213" s="26" t="s">
        <v>371</v>
      </c>
      <c r="Z213" s="27"/>
      <c r="AA213" s="27"/>
      <c r="AB213" s="27"/>
      <c r="AC213" s="27"/>
      <c r="AD213" s="27"/>
      <c r="AE213" s="27"/>
      <c r="AF213" s="27"/>
      <c r="AG213" s="27"/>
    </row>
    <row r="214" spans="25:33" x14ac:dyDescent="0.2">
      <c r="Y214" s="27"/>
      <c r="Z214" s="27"/>
      <c r="AA214" s="27"/>
      <c r="AB214" s="27"/>
      <c r="AC214" s="27"/>
      <c r="AD214" s="27"/>
      <c r="AE214" s="27"/>
      <c r="AF214" s="27"/>
      <c r="AG214" s="27"/>
    </row>
    <row r="215" spans="25:33" x14ac:dyDescent="0.2">
      <c r="Y215" s="27"/>
      <c r="Z215" s="27"/>
      <c r="AA215" s="27"/>
      <c r="AB215" s="27"/>
      <c r="AC215" s="27"/>
      <c r="AD215" s="27"/>
      <c r="AE215" s="27"/>
      <c r="AF215" s="27"/>
      <c r="AG215" s="27"/>
    </row>
    <row r="216" spans="25:33" x14ac:dyDescent="0.2">
      <c r="Y216" s="27"/>
      <c r="Z216" s="27"/>
      <c r="AA216" s="27"/>
      <c r="AB216" s="27"/>
      <c r="AC216" s="27"/>
      <c r="AD216" s="27"/>
      <c r="AE216" s="27"/>
      <c r="AF216" s="27"/>
      <c r="AG216" s="27"/>
    </row>
    <row r="218" spans="25:33" x14ac:dyDescent="0.2">
      <c r="Y218" s="28" t="s">
        <v>268</v>
      </c>
      <c r="Z218" s="27"/>
      <c r="AA218" s="27"/>
      <c r="AB218" s="27"/>
      <c r="AC218" s="27"/>
      <c r="AD218" s="27"/>
      <c r="AE218" s="27"/>
      <c r="AF218" s="27"/>
      <c r="AG218" s="27"/>
    </row>
    <row r="219" spans="25:33" x14ac:dyDescent="0.2">
      <c r="Y219" s="26" t="s">
        <v>372</v>
      </c>
      <c r="Z219" s="27"/>
      <c r="AA219" s="27"/>
      <c r="AB219" s="27"/>
      <c r="AC219" s="27"/>
      <c r="AD219" s="27"/>
      <c r="AE219" s="27"/>
      <c r="AF219" s="27"/>
      <c r="AG219" s="27"/>
    </row>
    <row r="220" spans="25:33" x14ac:dyDescent="0.2">
      <c r="Y220" s="27"/>
      <c r="Z220" s="27"/>
      <c r="AA220" s="27"/>
      <c r="AB220" s="27"/>
      <c r="AC220" s="27"/>
      <c r="AD220" s="27"/>
      <c r="AE220" s="27"/>
      <c r="AF220" s="27"/>
      <c r="AG220" s="27"/>
    </row>
    <row r="221" spans="25:33" x14ac:dyDescent="0.2">
      <c r="Y221" s="27"/>
      <c r="Z221" s="27"/>
      <c r="AA221" s="27"/>
      <c r="AB221" s="27"/>
      <c r="AC221" s="27"/>
      <c r="AD221" s="27"/>
      <c r="AE221" s="27"/>
      <c r="AF221" s="27"/>
      <c r="AG221" s="27"/>
    </row>
    <row r="222" spans="25:33" x14ac:dyDescent="0.2">
      <c r="Y222" s="27"/>
      <c r="Z222" s="27"/>
      <c r="AA222" s="27"/>
      <c r="AB222" s="27"/>
      <c r="AC222" s="27"/>
      <c r="AD222" s="27"/>
      <c r="AE222" s="27"/>
      <c r="AF222" s="27"/>
      <c r="AG222" s="27"/>
    </row>
    <row r="234" spans="17:33" ht="16" x14ac:dyDescent="0.2">
      <c r="Q234" s="30" t="s">
        <v>270</v>
      </c>
      <c r="R234" s="27"/>
      <c r="S234" s="27"/>
      <c r="T234" s="27"/>
      <c r="U234" s="27"/>
      <c r="V234" s="27"/>
      <c r="W234" s="27"/>
      <c r="Y234" s="30" t="s">
        <v>256</v>
      </c>
      <c r="Z234" s="27"/>
      <c r="AA234" s="27"/>
      <c r="AB234" s="27"/>
      <c r="AC234" s="27"/>
      <c r="AD234" s="27"/>
      <c r="AE234" s="27"/>
      <c r="AF234" s="27"/>
      <c r="AG234" s="27"/>
    </row>
    <row r="235" spans="17:33" x14ac:dyDescent="0.2">
      <c r="Q235" s="10"/>
      <c r="R235" s="10" t="s">
        <v>257</v>
      </c>
      <c r="S235" s="10" t="s">
        <v>258</v>
      </c>
      <c r="W235" s="10" t="s">
        <v>259</v>
      </c>
    </row>
    <row r="236" spans="17:33" ht="22" customHeight="1" x14ac:dyDescent="0.2">
      <c r="Q236" s="11"/>
      <c r="R236" s="12">
        <v>1</v>
      </c>
      <c r="S236" s="26" t="s">
        <v>272</v>
      </c>
      <c r="T236" s="27"/>
      <c r="U236" s="27"/>
      <c r="V236" s="27"/>
      <c r="W236" s="6" t="s">
        <v>373</v>
      </c>
      <c r="Y236" s="28" t="s">
        <v>262</v>
      </c>
      <c r="Z236" s="27"/>
      <c r="AA236" s="27"/>
      <c r="AB236" s="27"/>
      <c r="AC236" s="27"/>
      <c r="AD236" s="27"/>
      <c r="AE236" s="27"/>
      <c r="AF236" s="27"/>
      <c r="AG236" s="27"/>
    </row>
    <row r="237" spans="17:33" ht="22" customHeight="1" x14ac:dyDescent="0.2">
      <c r="Q237" s="13"/>
      <c r="R237" s="12">
        <v>2</v>
      </c>
      <c r="S237" s="26" t="s">
        <v>49</v>
      </c>
      <c r="T237" s="27"/>
      <c r="U237" s="27"/>
      <c r="V237" s="27"/>
      <c r="W237" s="6" t="s">
        <v>374</v>
      </c>
      <c r="Y237" s="26" t="s">
        <v>375</v>
      </c>
      <c r="Z237" s="27"/>
      <c r="AA237" s="27"/>
      <c r="AB237" s="27"/>
      <c r="AC237" s="27"/>
      <c r="AD237" s="27"/>
      <c r="AE237" s="27"/>
      <c r="AF237" s="27"/>
      <c r="AG237" s="27"/>
    </row>
    <row r="238" spans="17:33" ht="22" customHeight="1" x14ac:dyDescent="0.2">
      <c r="Q238" s="14"/>
      <c r="R238" s="12">
        <v>3</v>
      </c>
      <c r="S238" s="26" t="s">
        <v>71</v>
      </c>
      <c r="T238" s="27"/>
      <c r="U238" s="27"/>
      <c r="V238" s="27"/>
      <c r="W238" s="6" t="s">
        <v>376</v>
      </c>
      <c r="Y238" s="27"/>
      <c r="Z238" s="27"/>
      <c r="AA238" s="27"/>
      <c r="AB238" s="27"/>
      <c r="AC238" s="27"/>
      <c r="AD238" s="27"/>
      <c r="AE238" s="27"/>
      <c r="AF238" s="27"/>
      <c r="AG238" s="27"/>
    </row>
    <row r="239" spans="17:33" ht="22" customHeight="1" x14ac:dyDescent="0.2">
      <c r="Q239" s="15"/>
      <c r="R239" s="12">
        <v>4</v>
      </c>
      <c r="S239" s="26" t="s">
        <v>98</v>
      </c>
      <c r="T239" s="27"/>
      <c r="U239" s="27"/>
      <c r="V239" s="27"/>
      <c r="W239" s="6" t="s">
        <v>377</v>
      </c>
      <c r="Y239" s="27"/>
      <c r="Z239" s="27"/>
      <c r="AA239" s="27"/>
      <c r="AB239" s="27"/>
      <c r="AC239" s="27"/>
      <c r="AD239" s="27"/>
      <c r="AE239" s="27"/>
      <c r="AF239" s="27"/>
      <c r="AG239" s="27"/>
    </row>
    <row r="240" spans="17:33" ht="22" customHeight="1" x14ac:dyDescent="0.2">
      <c r="Q240" s="16"/>
      <c r="R240" s="12">
        <v>5</v>
      </c>
      <c r="S240" s="26" t="s">
        <v>169</v>
      </c>
      <c r="T240" s="27"/>
      <c r="U240" s="27"/>
      <c r="V240" s="27"/>
      <c r="W240" s="6" t="s">
        <v>377</v>
      </c>
      <c r="Y240" s="27"/>
      <c r="Z240" s="27"/>
      <c r="AA240" s="27"/>
      <c r="AB240" s="27"/>
      <c r="AC240" s="27"/>
      <c r="AD240" s="27"/>
      <c r="AE240" s="27"/>
      <c r="AF240" s="27"/>
      <c r="AG240" s="27"/>
    </row>
    <row r="241" spans="17:33" ht="22" customHeight="1" x14ac:dyDescent="0.2">
      <c r="Q241" s="17"/>
      <c r="R241" s="12">
        <v>6</v>
      </c>
      <c r="S241" s="26" t="s">
        <v>188</v>
      </c>
      <c r="T241" s="27"/>
      <c r="U241" s="27"/>
      <c r="V241" s="27"/>
      <c r="W241" s="6" t="s">
        <v>377</v>
      </c>
    </row>
    <row r="242" spans="17:33" ht="22" customHeight="1" x14ac:dyDescent="0.2">
      <c r="Q242" s="18"/>
      <c r="R242" s="12">
        <v>7</v>
      </c>
      <c r="S242" s="26" t="s">
        <v>178</v>
      </c>
      <c r="T242" s="27"/>
      <c r="U242" s="27"/>
      <c r="V242" s="27"/>
      <c r="W242" s="6" t="s">
        <v>378</v>
      </c>
      <c r="Y242" s="28" t="s">
        <v>264</v>
      </c>
      <c r="Z242" s="27"/>
      <c r="AA242" s="27"/>
      <c r="AB242" s="27"/>
      <c r="AC242" s="27"/>
      <c r="AD242" s="27"/>
      <c r="AE242" s="27"/>
      <c r="AF242" s="27"/>
      <c r="AG242" s="27"/>
    </row>
    <row r="243" spans="17:33" ht="22" customHeight="1" x14ac:dyDescent="0.2">
      <c r="Q243" s="19"/>
      <c r="R243" s="12">
        <v>8</v>
      </c>
      <c r="S243" s="26" t="s">
        <v>37</v>
      </c>
      <c r="T243" s="27"/>
      <c r="U243" s="27"/>
      <c r="V243" s="27"/>
      <c r="W243" s="6" t="s">
        <v>378</v>
      </c>
      <c r="Y243" s="26" t="s">
        <v>379</v>
      </c>
      <c r="Z243" s="27"/>
      <c r="AA243" s="27"/>
      <c r="AB243" s="27"/>
      <c r="AC243" s="27"/>
      <c r="AD243" s="27"/>
      <c r="AE243" s="27"/>
      <c r="AF243" s="27"/>
      <c r="AG243" s="27"/>
    </row>
    <row r="244" spans="17:33" ht="22" customHeight="1" x14ac:dyDescent="0.2">
      <c r="Q244" s="20"/>
      <c r="R244" s="12">
        <v>9</v>
      </c>
      <c r="S244" s="26" t="s">
        <v>171</v>
      </c>
      <c r="T244" s="27"/>
      <c r="U244" s="27"/>
      <c r="V244" s="27"/>
      <c r="W244" s="6" t="s">
        <v>378</v>
      </c>
      <c r="Y244" s="27"/>
      <c r="Z244" s="27"/>
      <c r="AA244" s="27"/>
      <c r="AB244" s="27"/>
      <c r="AC244" s="27"/>
      <c r="AD244" s="27"/>
      <c r="AE244" s="27"/>
      <c r="AF244" s="27"/>
      <c r="AG244" s="27"/>
    </row>
    <row r="245" spans="17:33" ht="22" customHeight="1" x14ac:dyDescent="0.2">
      <c r="Q245" s="21"/>
      <c r="R245" s="12">
        <v>10</v>
      </c>
      <c r="S245" s="26" t="s">
        <v>24</v>
      </c>
      <c r="T245" s="27"/>
      <c r="U245" s="27"/>
      <c r="V245" s="27"/>
      <c r="W245" s="6" t="s">
        <v>378</v>
      </c>
      <c r="Y245" s="27"/>
      <c r="Z245" s="27"/>
      <c r="AA245" s="27"/>
      <c r="AB245" s="27"/>
      <c r="AC245" s="27"/>
      <c r="AD245" s="27"/>
      <c r="AE245" s="27"/>
      <c r="AF245" s="27"/>
      <c r="AG245" s="27"/>
    </row>
    <row r="246" spans="17:33" ht="22" customHeight="1" x14ac:dyDescent="0.2">
      <c r="Q246" s="22"/>
      <c r="R246" s="12">
        <v>11</v>
      </c>
      <c r="S246" s="26" t="s">
        <v>46</v>
      </c>
      <c r="T246" s="27"/>
      <c r="U246" s="27"/>
      <c r="V246" s="27"/>
      <c r="W246" s="6" t="s">
        <v>380</v>
      </c>
      <c r="Y246" s="27"/>
      <c r="Z246" s="27"/>
      <c r="AA246" s="27"/>
      <c r="AB246" s="27"/>
      <c r="AC246" s="27"/>
      <c r="AD246" s="27"/>
      <c r="AE246" s="27"/>
      <c r="AF246" s="27"/>
      <c r="AG246" s="27"/>
    </row>
    <row r="247" spans="17:33" ht="22" customHeight="1" x14ac:dyDescent="0.2">
      <c r="Q247" s="23"/>
      <c r="R247" s="12">
        <v>12</v>
      </c>
      <c r="S247" s="26" t="s">
        <v>163</v>
      </c>
      <c r="T247" s="27"/>
      <c r="U247" s="27"/>
      <c r="V247" s="27"/>
      <c r="W247" s="6" t="s">
        <v>380</v>
      </c>
    </row>
    <row r="248" spans="17:33" ht="22" customHeight="1" x14ac:dyDescent="0.2">
      <c r="Q248" s="11"/>
      <c r="R248" s="12">
        <v>13</v>
      </c>
      <c r="S248" s="26" t="s">
        <v>56</v>
      </c>
      <c r="T248" s="27"/>
      <c r="U248" s="27"/>
      <c r="V248" s="27"/>
      <c r="W248" s="6" t="s">
        <v>380</v>
      </c>
      <c r="Y248" s="28" t="s">
        <v>266</v>
      </c>
      <c r="Z248" s="27"/>
      <c r="AA248" s="27"/>
      <c r="AB248" s="27"/>
      <c r="AC248" s="27"/>
      <c r="AD248" s="27"/>
      <c r="AE248" s="27"/>
      <c r="AF248" s="27"/>
      <c r="AG248" s="27"/>
    </row>
    <row r="249" spans="17:33" ht="22" customHeight="1" x14ac:dyDescent="0.2">
      <c r="Q249" s="13"/>
      <c r="R249" s="12">
        <v>14</v>
      </c>
      <c r="S249" s="26" t="s">
        <v>141</v>
      </c>
      <c r="T249" s="27"/>
      <c r="U249" s="27"/>
      <c r="V249" s="27"/>
      <c r="W249" s="6" t="s">
        <v>380</v>
      </c>
      <c r="Y249" s="26" t="s">
        <v>381</v>
      </c>
      <c r="Z249" s="27"/>
      <c r="AA249" s="27"/>
      <c r="AB249" s="27"/>
      <c r="AC249" s="27"/>
      <c r="AD249" s="27"/>
      <c r="AE249" s="27"/>
      <c r="AF249" s="27"/>
      <c r="AG249" s="27"/>
    </row>
    <row r="250" spans="17:33" ht="22" customHeight="1" x14ac:dyDescent="0.2">
      <c r="Q250" s="14"/>
      <c r="R250" s="12">
        <v>15</v>
      </c>
      <c r="S250" s="26" t="s">
        <v>32</v>
      </c>
      <c r="T250" s="27"/>
      <c r="U250" s="27"/>
      <c r="V250" s="27"/>
      <c r="W250" s="6" t="s">
        <v>380</v>
      </c>
      <c r="Y250" s="27"/>
      <c r="Z250" s="27"/>
      <c r="AA250" s="27"/>
      <c r="AB250" s="27"/>
      <c r="AC250" s="27"/>
      <c r="AD250" s="27"/>
      <c r="AE250" s="27"/>
      <c r="AF250" s="27"/>
      <c r="AG250" s="27"/>
    </row>
    <row r="251" spans="17:33" ht="22" customHeight="1" x14ac:dyDescent="0.2">
      <c r="Q251" s="15"/>
      <c r="R251" s="12">
        <v>16</v>
      </c>
      <c r="S251" s="26" t="s">
        <v>155</v>
      </c>
      <c r="T251" s="27"/>
      <c r="U251" s="27"/>
      <c r="V251" s="27"/>
      <c r="W251" s="6" t="s">
        <v>380</v>
      </c>
      <c r="Y251" s="27"/>
      <c r="Z251" s="27"/>
      <c r="AA251" s="27"/>
      <c r="AB251" s="27"/>
      <c r="AC251" s="27"/>
      <c r="AD251" s="27"/>
      <c r="AE251" s="27"/>
      <c r="AF251" s="27"/>
      <c r="AG251" s="27"/>
    </row>
    <row r="252" spans="17:33" ht="22" customHeight="1" x14ac:dyDescent="0.2">
      <c r="Q252" s="16"/>
      <c r="R252" s="12">
        <v>17</v>
      </c>
      <c r="S252" s="26" t="s">
        <v>159</v>
      </c>
      <c r="T252" s="27"/>
      <c r="U252" s="27"/>
      <c r="V252" s="27"/>
      <c r="W252" s="6" t="s">
        <v>380</v>
      </c>
      <c r="Y252" s="27"/>
      <c r="Z252" s="27"/>
      <c r="AA252" s="27"/>
      <c r="AB252" s="27"/>
      <c r="AC252" s="27"/>
      <c r="AD252" s="27"/>
      <c r="AE252" s="27"/>
      <c r="AF252" s="27"/>
      <c r="AG252" s="27"/>
    </row>
    <row r="253" spans="17:33" ht="22" customHeight="1" x14ac:dyDescent="0.2">
      <c r="Q253" s="17"/>
      <c r="R253" s="12">
        <v>18</v>
      </c>
      <c r="S253" s="26" t="s">
        <v>93</v>
      </c>
      <c r="T253" s="27"/>
      <c r="U253" s="27"/>
      <c r="V253" s="27"/>
      <c r="W253" s="6" t="s">
        <v>380</v>
      </c>
    </row>
    <row r="254" spans="17:33" ht="22" customHeight="1" x14ac:dyDescent="0.2">
      <c r="Q254" s="18"/>
      <c r="R254" s="12">
        <v>19</v>
      </c>
      <c r="S254" s="26" t="s">
        <v>130</v>
      </c>
      <c r="T254" s="27"/>
      <c r="U254" s="27"/>
      <c r="V254" s="27"/>
      <c r="W254" s="6" t="s">
        <v>380</v>
      </c>
    </row>
    <row r="255" spans="17:33" ht="22" customHeight="1" x14ac:dyDescent="0.2">
      <c r="Q255" s="19"/>
      <c r="R255" s="12">
        <v>20</v>
      </c>
      <c r="S255" s="26" t="s">
        <v>127</v>
      </c>
      <c r="T255" s="27"/>
      <c r="U255" s="27"/>
      <c r="V255" s="27"/>
      <c r="W255" s="6" t="s">
        <v>382</v>
      </c>
    </row>
    <row r="256" spans="17:33" ht="22" customHeight="1" x14ac:dyDescent="0.2">
      <c r="Q256" s="20"/>
      <c r="R256" s="12">
        <v>21</v>
      </c>
      <c r="S256" s="26" t="s">
        <v>40</v>
      </c>
      <c r="T256" s="27"/>
      <c r="U256" s="27"/>
      <c r="V256" s="27"/>
      <c r="W256" s="6" t="s">
        <v>382</v>
      </c>
    </row>
    <row r="257" spans="17:23" ht="22" customHeight="1" x14ac:dyDescent="0.2">
      <c r="Q257" s="21"/>
      <c r="R257" s="12">
        <v>22</v>
      </c>
      <c r="S257" s="26" t="s">
        <v>112</v>
      </c>
      <c r="T257" s="27"/>
      <c r="U257" s="27"/>
      <c r="V257" s="27"/>
      <c r="W257" s="6" t="s">
        <v>382</v>
      </c>
    </row>
    <row r="258" spans="17:23" ht="22" customHeight="1" x14ac:dyDescent="0.2">
      <c r="Q258" s="22"/>
      <c r="R258" s="12">
        <v>23</v>
      </c>
      <c r="S258" s="26" t="s">
        <v>85</v>
      </c>
      <c r="T258" s="27"/>
      <c r="U258" s="27"/>
      <c r="V258" s="27"/>
      <c r="W258" s="6" t="s">
        <v>382</v>
      </c>
    </row>
    <row r="259" spans="17:23" ht="22" customHeight="1" x14ac:dyDescent="0.2">
      <c r="Q259" s="23"/>
      <c r="R259" s="12">
        <v>24</v>
      </c>
      <c r="S259" s="26" t="s">
        <v>116</v>
      </c>
      <c r="T259" s="27"/>
      <c r="U259" s="27"/>
      <c r="V259" s="27"/>
      <c r="W259" s="6" t="s">
        <v>382</v>
      </c>
    </row>
    <row r="260" spans="17:23" ht="22" customHeight="1" x14ac:dyDescent="0.2">
      <c r="Q260" s="11"/>
      <c r="R260" s="12">
        <v>25</v>
      </c>
      <c r="S260" s="26" t="s">
        <v>77</v>
      </c>
      <c r="T260" s="27"/>
      <c r="U260" s="27"/>
      <c r="V260" s="27"/>
      <c r="W260" s="6" t="s">
        <v>382</v>
      </c>
    </row>
    <row r="261" spans="17:23" ht="22" customHeight="1" x14ac:dyDescent="0.2">
      <c r="Q261" s="13"/>
      <c r="R261" s="12">
        <v>26</v>
      </c>
      <c r="S261" s="26" t="s">
        <v>64</v>
      </c>
      <c r="T261" s="27"/>
      <c r="U261" s="27"/>
      <c r="V261" s="27"/>
      <c r="W261" s="6" t="s">
        <v>382</v>
      </c>
    </row>
    <row r="262" spans="17:23" ht="22" customHeight="1" x14ac:dyDescent="0.2">
      <c r="Q262" s="14"/>
      <c r="R262" s="12">
        <v>27</v>
      </c>
      <c r="S262" s="26" t="s">
        <v>146</v>
      </c>
      <c r="T262" s="27"/>
      <c r="U262" s="27"/>
      <c r="V262" s="27"/>
      <c r="W262" s="6" t="s">
        <v>382</v>
      </c>
    </row>
    <row r="263" spans="17:23" ht="22" customHeight="1" x14ac:dyDescent="0.2">
      <c r="Q263" s="15"/>
      <c r="R263" s="12">
        <v>28</v>
      </c>
      <c r="S263" s="26" t="s">
        <v>176</v>
      </c>
      <c r="T263" s="27"/>
      <c r="U263" s="27"/>
      <c r="V263" s="27"/>
      <c r="W263" s="6" t="s">
        <v>382</v>
      </c>
    </row>
    <row r="264" spans="17:23" ht="22" customHeight="1" x14ac:dyDescent="0.2">
      <c r="Q264" s="16"/>
      <c r="R264" s="12">
        <v>29</v>
      </c>
      <c r="S264" s="26" t="s">
        <v>152</v>
      </c>
      <c r="T264" s="27"/>
      <c r="U264" s="27"/>
      <c r="V264" s="27"/>
      <c r="W264" s="6" t="s">
        <v>382</v>
      </c>
    </row>
    <row r="265" spans="17:23" ht="22" customHeight="1" x14ac:dyDescent="0.2">
      <c r="Q265" s="17"/>
      <c r="R265" s="12">
        <v>30</v>
      </c>
      <c r="S265" s="26" t="s">
        <v>149</v>
      </c>
      <c r="T265" s="27"/>
      <c r="U265" s="27"/>
      <c r="V265" s="27"/>
      <c r="W265" s="6" t="s">
        <v>382</v>
      </c>
    </row>
    <row r="266" spans="17:23" ht="22" customHeight="1" x14ac:dyDescent="0.2">
      <c r="Q266" s="18"/>
      <c r="R266" s="12">
        <v>31</v>
      </c>
      <c r="S266" s="26" t="s">
        <v>174</v>
      </c>
      <c r="T266" s="27"/>
      <c r="U266" s="27"/>
      <c r="V266" s="27"/>
      <c r="W266" s="6" t="s">
        <v>382</v>
      </c>
    </row>
    <row r="267" spans="17:23" ht="22" customHeight="1" x14ac:dyDescent="0.2">
      <c r="Q267" s="19"/>
      <c r="R267" s="12">
        <v>32</v>
      </c>
      <c r="S267" s="26" t="s">
        <v>87</v>
      </c>
      <c r="T267" s="27"/>
      <c r="U267" s="27"/>
      <c r="V267" s="27"/>
      <c r="W267" s="6" t="s">
        <v>382</v>
      </c>
    </row>
    <row r="268" spans="17:23" ht="22" customHeight="1" x14ac:dyDescent="0.2">
      <c r="Q268" s="20"/>
      <c r="R268" s="12">
        <v>33</v>
      </c>
      <c r="S268" s="26" t="s">
        <v>29</v>
      </c>
      <c r="T268" s="27"/>
      <c r="U268" s="27"/>
      <c r="V268" s="27"/>
      <c r="W268" s="6" t="s">
        <v>382</v>
      </c>
    </row>
    <row r="269" spans="17:23" ht="22" customHeight="1" x14ac:dyDescent="0.2">
      <c r="Q269" s="21"/>
      <c r="R269" s="12">
        <v>34</v>
      </c>
      <c r="S269" s="26" t="s">
        <v>105</v>
      </c>
      <c r="T269" s="27"/>
      <c r="U269" s="27"/>
      <c r="V269" s="27"/>
      <c r="W269" s="6" t="s">
        <v>382</v>
      </c>
    </row>
    <row r="270" spans="17:23" ht="22" customHeight="1" x14ac:dyDescent="0.2">
      <c r="Q270" s="22"/>
      <c r="R270" s="12">
        <v>35</v>
      </c>
      <c r="S270" s="26" t="s">
        <v>136</v>
      </c>
      <c r="T270" s="27"/>
      <c r="U270" s="27"/>
      <c r="V270" s="27"/>
      <c r="W270" s="6" t="s">
        <v>382</v>
      </c>
    </row>
    <row r="271" spans="17:23" ht="22" customHeight="1" x14ac:dyDescent="0.2">
      <c r="Q271" s="23"/>
      <c r="R271" s="12">
        <v>36</v>
      </c>
      <c r="S271" s="26" t="s">
        <v>123</v>
      </c>
      <c r="T271" s="27"/>
      <c r="U271" s="27"/>
      <c r="V271" s="27"/>
      <c r="W271" s="6" t="s">
        <v>382</v>
      </c>
    </row>
  </sheetData>
  <mergeCells count="197">
    <mergeCell ref="S253:V253"/>
    <mergeCell ref="S240:V240"/>
    <mergeCell ref="Y200:AG200"/>
    <mergeCell ref="S66:V66"/>
    <mergeCell ref="Y87:AG87"/>
    <mergeCell ref="S132:V132"/>
    <mergeCell ref="Y183:AG186"/>
    <mergeCell ref="Y58:AG58"/>
    <mergeCell ref="S68:V68"/>
    <mergeCell ref="S152:V152"/>
    <mergeCell ref="S239:V239"/>
    <mergeCell ref="S171:V171"/>
    <mergeCell ref="S268:V268"/>
    <mergeCell ref="Y23:AG26"/>
    <mergeCell ref="Y46:AG46"/>
    <mergeCell ref="S252:V252"/>
    <mergeCell ref="Y28:AG28"/>
    <mergeCell ref="S56:V56"/>
    <mergeCell ref="Y198:AG198"/>
    <mergeCell ref="S90:V90"/>
    <mergeCell ref="S261:V261"/>
    <mergeCell ref="S156:V156"/>
    <mergeCell ref="Y100:AG103"/>
    <mergeCell ref="S126:V126"/>
    <mergeCell ref="Y171:AG174"/>
    <mergeCell ref="Y165:AG168"/>
    <mergeCell ref="S251:V251"/>
    <mergeCell ref="Y135:AG135"/>
    <mergeCell ref="Y248:AG248"/>
    <mergeCell ref="S238:V238"/>
    <mergeCell ref="Q234:W234"/>
    <mergeCell ref="Y29:AG32"/>
    <mergeCell ref="S130:V130"/>
    <mergeCell ref="Y142:AG145"/>
    <mergeCell ref="Y207:AG210"/>
    <mergeCell ref="S244:V244"/>
    <mergeCell ref="S271:V271"/>
    <mergeCell ref="Y53:AG56"/>
    <mergeCell ref="Y47:AG50"/>
    <mergeCell ref="S155:V155"/>
    <mergeCell ref="S264:V264"/>
    <mergeCell ref="S247:V247"/>
    <mergeCell ref="S77:V77"/>
    <mergeCell ref="S52:V52"/>
    <mergeCell ref="Q8:W8"/>
    <mergeCell ref="Q121:W121"/>
    <mergeCell ref="S170:V170"/>
    <mergeCell ref="S257:V257"/>
    <mergeCell ref="S262:V262"/>
    <mergeCell ref="S166:V166"/>
    <mergeCell ref="S67:V67"/>
    <mergeCell ref="Y88:AG91"/>
    <mergeCell ref="Y162:AG162"/>
    <mergeCell ref="Y219:AG222"/>
    <mergeCell ref="Y121:AG121"/>
    <mergeCell ref="S69:V69"/>
    <mergeCell ref="Y212:AG212"/>
    <mergeCell ref="Y93:AG93"/>
    <mergeCell ref="S78:V78"/>
    <mergeCell ref="Y164:AG164"/>
    <mergeCell ref="S269:V269"/>
    <mergeCell ref="S65:V65"/>
    <mergeCell ref="S74:V74"/>
    <mergeCell ref="S157:V157"/>
    <mergeCell ref="S201:V201"/>
    <mergeCell ref="S139:V139"/>
    <mergeCell ref="Y213:AG216"/>
    <mergeCell ref="S250:V250"/>
    <mergeCell ref="S237:V237"/>
    <mergeCell ref="S129:V129"/>
    <mergeCell ref="S123:V123"/>
    <mergeCell ref="S138:V138"/>
    <mergeCell ref="Y218:AG218"/>
    <mergeCell ref="S168:V168"/>
    <mergeCell ref="S91:V91"/>
    <mergeCell ref="S143:V143"/>
    <mergeCell ref="S236:V236"/>
    <mergeCell ref="S249:V249"/>
    <mergeCell ref="S205:V205"/>
    <mergeCell ref="Y249:AG252"/>
    <mergeCell ref="S133:V133"/>
    <mergeCell ref="S127:V127"/>
    <mergeCell ref="S142:V142"/>
    <mergeCell ref="S80:V80"/>
    <mergeCell ref="S267:V267"/>
    <mergeCell ref="S245:V245"/>
    <mergeCell ref="S49:V49"/>
    <mergeCell ref="Y236:AG236"/>
    <mergeCell ref="S128:V128"/>
    <mergeCell ref="S10:V10"/>
    <mergeCell ref="S137:V137"/>
    <mergeCell ref="S89:V89"/>
    <mergeCell ref="S260:V260"/>
    <mergeCell ref="Y124:AG127"/>
    <mergeCell ref="Y22:AG22"/>
    <mergeCell ref="S50:V50"/>
    <mergeCell ref="S51:V51"/>
    <mergeCell ref="S60:V60"/>
    <mergeCell ref="S53:V53"/>
    <mergeCell ref="Q44:W44"/>
    <mergeCell ref="Y44:AG44"/>
    <mergeCell ref="S172:V172"/>
    <mergeCell ref="S55:V55"/>
    <mergeCell ref="S64:V64"/>
    <mergeCell ref="Y85:AG85"/>
    <mergeCell ref="S148:V148"/>
    <mergeCell ref="S266:V266"/>
    <mergeCell ref="S54:V54"/>
    <mergeCell ref="S270:V270"/>
    <mergeCell ref="S151:V151"/>
    <mergeCell ref="Y182:AG182"/>
    <mergeCell ref="S141:V141"/>
    <mergeCell ref="S254:V254"/>
    <mergeCell ref="S154:V154"/>
    <mergeCell ref="S124:V124"/>
    <mergeCell ref="Y136:AG139"/>
    <mergeCell ref="S76:V76"/>
    <mergeCell ref="S256:V256"/>
    <mergeCell ref="Y105:AG105"/>
    <mergeCell ref="S140:V140"/>
    <mergeCell ref="Y99:AG99"/>
    <mergeCell ref="S246:V246"/>
    <mergeCell ref="Y170:AG170"/>
    <mergeCell ref="S149:V149"/>
    <mergeCell ref="S167:V167"/>
    <mergeCell ref="S248:V248"/>
    <mergeCell ref="S169:V169"/>
    <mergeCell ref="Q198:W198"/>
    <mergeCell ref="S165:V165"/>
    <mergeCell ref="Y177:AG180"/>
    <mergeCell ref="S200:V200"/>
    <mergeCell ref="S203:V203"/>
    <mergeCell ref="S243:V243"/>
    <mergeCell ref="Y17:AG20"/>
    <mergeCell ref="Y11:AG14"/>
    <mergeCell ref="S57:V57"/>
    <mergeCell ref="S259:V259"/>
    <mergeCell ref="Q162:W162"/>
    <mergeCell ref="Y59:AG62"/>
    <mergeCell ref="Y237:AG240"/>
    <mergeCell ref="S146:V146"/>
    <mergeCell ref="S204:V204"/>
    <mergeCell ref="Y176:AG176"/>
    <mergeCell ref="S75:V75"/>
    <mergeCell ref="S47:V47"/>
    <mergeCell ref="S59:V59"/>
    <mergeCell ref="S46:V46"/>
    <mergeCell ref="S61:V61"/>
    <mergeCell ref="S70:V70"/>
    <mergeCell ref="S48:V48"/>
    <mergeCell ref="Q85:W85"/>
    <mergeCell ref="Y234:AG234"/>
    <mergeCell ref="S131:V131"/>
    <mergeCell ref="Y243:AG246"/>
    <mergeCell ref="S87:V87"/>
    <mergeCell ref="S258:V258"/>
    <mergeCell ref="S164:V164"/>
    <mergeCell ref="S173:V173"/>
    <mergeCell ref="S62:V62"/>
    <mergeCell ref="Y130:AG133"/>
    <mergeCell ref="Y201:AG204"/>
    <mergeCell ref="A1:AG2"/>
    <mergeCell ref="S71:V71"/>
    <mergeCell ref="S241:V241"/>
    <mergeCell ref="S145:V145"/>
    <mergeCell ref="S58:V58"/>
    <mergeCell ref="Y141:AG141"/>
    <mergeCell ref="Y206:AG206"/>
    <mergeCell ref="S73:V73"/>
    <mergeCell ref="Y8:AG8"/>
    <mergeCell ref="S88:V88"/>
    <mergeCell ref="S63:V63"/>
    <mergeCell ref="Y94:AG97"/>
    <mergeCell ref="S136:V136"/>
    <mergeCell ref="S263:V263"/>
    <mergeCell ref="S158:V158"/>
    <mergeCell ref="Y129:AG129"/>
    <mergeCell ref="Y10:AG10"/>
    <mergeCell ref="Y123:AG123"/>
    <mergeCell ref="S265:V265"/>
    <mergeCell ref="S147:V147"/>
    <mergeCell ref="Y16:AG16"/>
    <mergeCell ref="S79:V79"/>
    <mergeCell ref="S135:V135"/>
    <mergeCell ref="S150:V150"/>
    <mergeCell ref="S255:V255"/>
    <mergeCell ref="Y52:AG52"/>
    <mergeCell ref="S144:V144"/>
    <mergeCell ref="S202:V202"/>
    <mergeCell ref="S153:V153"/>
    <mergeCell ref="S242:V242"/>
    <mergeCell ref="Y242:AG242"/>
    <mergeCell ref="Y106:AG109"/>
    <mergeCell ref="S125:V125"/>
    <mergeCell ref="S72:V72"/>
    <mergeCell ref="S134:V134"/>
    <mergeCell ref="S81:V8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8"/>
  <sheetViews>
    <sheetView workbookViewId="0"/>
  </sheetViews>
  <sheetFormatPr baseColWidth="10" defaultColWidth="8.83203125" defaultRowHeight="15" x14ac:dyDescent="0.2"/>
  <sheetData>
    <row r="1" spans="1:30" x14ac:dyDescent="0.2">
      <c r="A1" s="25" t="s">
        <v>383</v>
      </c>
      <c r="E1" s="25" t="s">
        <v>384</v>
      </c>
      <c r="I1" s="25" t="s">
        <v>385</v>
      </c>
      <c r="M1" s="25" t="s">
        <v>386</v>
      </c>
      <c r="Q1" s="25" t="s">
        <v>387</v>
      </c>
      <c r="U1" s="25" t="s">
        <v>388</v>
      </c>
      <c r="Y1" s="25" t="s">
        <v>389</v>
      </c>
    </row>
    <row r="2" spans="1:30" x14ac:dyDescent="0.2">
      <c r="A2" s="25" t="s">
        <v>390</v>
      </c>
      <c r="B2" s="25" t="s">
        <v>391</v>
      </c>
      <c r="C2" s="25" t="s">
        <v>392</v>
      </c>
      <c r="E2" s="25" t="s">
        <v>390</v>
      </c>
      <c r="F2" s="25" t="s">
        <v>7</v>
      </c>
      <c r="G2" s="25" t="s">
        <v>392</v>
      </c>
      <c r="I2" s="25" t="s">
        <v>390</v>
      </c>
      <c r="J2" s="25" t="s">
        <v>1</v>
      </c>
      <c r="K2" s="25" t="s">
        <v>392</v>
      </c>
      <c r="M2" s="25" t="s">
        <v>390</v>
      </c>
      <c r="N2" s="25" t="s">
        <v>7</v>
      </c>
      <c r="O2" s="25" t="s">
        <v>392</v>
      </c>
      <c r="Q2" s="25" t="s">
        <v>390</v>
      </c>
      <c r="R2" s="25" t="s">
        <v>3</v>
      </c>
      <c r="S2" s="25" t="s">
        <v>392</v>
      </c>
      <c r="U2" s="25" t="s">
        <v>390</v>
      </c>
      <c r="V2" s="25" t="s">
        <v>7</v>
      </c>
      <c r="W2" s="25" t="s">
        <v>393</v>
      </c>
      <c r="Y2" s="25" t="s">
        <v>394</v>
      </c>
      <c r="Z2" s="25" t="s">
        <v>382</v>
      </c>
      <c r="AA2" s="25" t="s">
        <v>380</v>
      </c>
      <c r="AB2" s="25" t="s">
        <v>378</v>
      </c>
      <c r="AC2" s="25" t="s">
        <v>377</v>
      </c>
      <c r="AD2" s="25" t="s">
        <v>376</v>
      </c>
    </row>
    <row r="3" spans="1:30" x14ac:dyDescent="0.2">
      <c r="A3">
        <v>1</v>
      </c>
      <c r="B3" s="4">
        <v>46235</v>
      </c>
      <c r="C3" s="5">
        <v>444.77000000000021</v>
      </c>
      <c r="E3">
        <v>1</v>
      </c>
      <c r="F3" t="s">
        <v>178</v>
      </c>
      <c r="G3" s="5">
        <v>55.570000000000007</v>
      </c>
      <c r="I3">
        <v>1</v>
      </c>
      <c r="J3" t="s">
        <v>165</v>
      </c>
      <c r="K3" s="5">
        <v>205.01</v>
      </c>
      <c r="M3">
        <v>1</v>
      </c>
      <c r="N3" t="s">
        <v>178</v>
      </c>
      <c r="O3" s="5">
        <v>55.570000000000007</v>
      </c>
      <c r="Q3">
        <v>1</v>
      </c>
      <c r="R3" t="s">
        <v>179</v>
      </c>
      <c r="S3" s="5">
        <v>39.770000000000003</v>
      </c>
      <c r="U3">
        <v>1</v>
      </c>
      <c r="V3" t="s">
        <v>272</v>
      </c>
      <c r="W3">
        <v>10</v>
      </c>
      <c r="Y3">
        <v>1</v>
      </c>
      <c r="Z3" s="5">
        <v>205.01</v>
      </c>
      <c r="AA3" s="5">
        <v>100.82</v>
      </c>
      <c r="AB3" s="5">
        <v>60.579999999999991</v>
      </c>
      <c r="AC3" s="5">
        <v>48.12</v>
      </c>
      <c r="AD3" s="5">
        <v>30.24</v>
      </c>
    </row>
    <row r="4" spans="1:30" x14ac:dyDescent="0.2">
      <c r="E4">
        <v>2</v>
      </c>
      <c r="F4" t="s">
        <v>272</v>
      </c>
      <c r="G4" s="5">
        <v>53.49</v>
      </c>
      <c r="I4">
        <v>2</v>
      </c>
      <c r="J4" t="s">
        <v>41</v>
      </c>
      <c r="K4" s="5">
        <v>100.82</v>
      </c>
      <c r="M4">
        <v>2</v>
      </c>
      <c r="N4" t="s">
        <v>272</v>
      </c>
      <c r="O4" s="5">
        <v>53.49</v>
      </c>
      <c r="Q4">
        <v>2</v>
      </c>
      <c r="R4" t="s">
        <v>173</v>
      </c>
      <c r="S4" s="5">
        <v>23.94</v>
      </c>
      <c r="U4">
        <v>2</v>
      </c>
      <c r="V4" t="s">
        <v>49</v>
      </c>
      <c r="W4">
        <v>8</v>
      </c>
    </row>
    <row r="5" spans="1:30" x14ac:dyDescent="0.2">
      <c r="E5">
        <v>3</v>
      </c>
      <c r="F5" t="s">
        <v>159</v>
      </c>
      <c r="G5" s="5">
        <v>31.2</v>
      </c>
      <c r="I5">
        <v>3</v>
      </c>
      <c r="J5" t="s">
        <v>18</v>
      </c>
      <c r="K5" s="5">
        <v>60.579999999999991</v>
      </c>
      <c r="M5">
        <v>3</v>
      </c>
      <c r="N5" t="s">
        <v>159</v>
      </c>
      <c r="O5" s="5">
        <v>31.2</v>
      </c>
      <c r="Q5">
        <v>3</v>
      </c>
      <c r="R5" t="s">
        <v>36</v>
      </c>
      <c r="S5" s="5">
        <v>18.57</v>
      </c>
      <c r="U5">
        <v>3</v>
      </c>
      <c r="V5" t="s">
        <v>71</v>
      </c>
      <c r="W5">
        <v>5</v>
      </c>
    </row>
    <row r="6" spans="1:30" x14ac:dyDescent="0.2">
      <c r="E6">
        <v>4</v>
      </c>
      <c r="F6" t="s">
        <v>188</v>
      </c>
      <c r="G6" s="5">
        <v>24.43</v>
      </c>
      <c r="I6">
        <v>4</v>
      </c>
      <c r="J6" t="s">
        <v>153</v>
      </c>
      <c r="K6" s="5">
        <v>48.12</v>
      </c>
      <c r="M6">
        <v>4</v>
      </c>
      <c r="N6" t="s">
        <v>188</v>
      </c>
      <c r="O6" s="5">
        <v>24.43</v>
      </c>
      <c r="Q6">
        <v>4</v>
      </c>
      <c r="R6" t="s">
        <v>194</v>
      </c>
      <c r="S6" s="5">
        <v>16.920000000000002</v>
      </c>
      <c r="U6">
        <v>4</v>
      </c>
      <c r="V6" t="s">
        <v>98</v>
      </c>
      <c r="W6">
        <v>4</v>
      </c>
    </row>
    <row r="7" spans="1:30" x14ac:dyDescent="0.2">
      <c r="E7">
        <v>5</v>
      </c>
      <c r="F7" t="s">
        <v>169</v>
      </c>
      <c r="G7" s="5">
        <v>24.42</v>
      </c>
      <c r="I7">
        <v>5</v>
      </c>
      <c r="J7" t="s">
        <v>137</v>
      </c>
      <c r="K7" s="5">
        <v>30.24</v>
      </c>
      <c r="M7">
        <v>5</v>
      </c>
      <c r="N7" t="s">
        <v>169</v>
      </c>
      <c r="O7" s="5">
        <v>24.42</v>
      </c>
      <c r="Q7">
        <v>5</v>
      </c>
      <c r="R7" t="s">
        <v>160</v>
      </c>
      <c r="S7" s="5">
        <v>16.3</v>
      </c>
      <c r="U7">
        <v>5</v>
      </c>
      <c r="V7" t="s">
        <v>169</v>
      </c>
      <c r="W7">
        <v>4</v>
      </c>
    </row>
    <row r="8" spans="1:30" x14ac:dyDescent="0.2">
      <c r="E8">
        <v>6</v>
      </c>
      <c r="F8" t="s">
        <v>174</v>
      </c>
      <c r="G8" s="5">
        <v>23.94</v>
      </c>
      <c r="M8">
        <v>6</v>
      </c>
      <c r="N8" t="s">
        <v>174</v>
      </c>
      <c r="O8" s="5">
        <v>23.94</v>
      </c>
      <c r="Q8">
        <v>6</v>
      </c>
      <c r="R8" t="s">
        <v>157</v>
      </c>
      <c r="S8" s="5">
        <v>14.9</v>
      </c>
      <c r="U8">
        <v>6</v>
      </c>
      <c r="V8" t="s">
        <v>188</v>
      </c>
      <c r="W8">
        <v>4</v>
      </c>
    </row>
    <row r="9" spans="1:30" x14ac:dyDescent="0.2">
      <c r="E9">
        <v>7</v>
      </c>
      <c r="F9" t="s">
        <v>24</v>
      </c>
      <c r="G9" s="5">
        <v>21.35</v>
      </c>
      <c r="M9">
        <v>7</v>
      </c>
      <c r="N9" t="s">
        <v>24</v>
      </c>
      <c r="O9" s="5">
        <v>21.35</v>
      </c>
      <c r="Q9">
        <v>7</v>
      </c>
      <c r="R9" t="s">
        <v>140</v>
      </c>
      <c r="S9" s="5">
        <v>13.98</v>
      </c>
      <c r="U9">
        <v>7</v>
      </c>
      <c r="V9" t="s">
        <v>178</v>
      </c>
      <c r="W9">
        <v>3</v>
      </c>
    </row>
    <row r="10" spans="1:30" x14ac:dyDescent="0.2">
      <c r="E10">
        <v>8</v>
      </c>
      <c r="F10" t="s">
        <v>49</v>
      </c>
      <c r="G10" s="5">
        <v>21.28</v>
      </c>
      <c r="M10">
        <v>8</v>
      </c>
      <c r="N10" t="s">
        <v>49</v>
      </c>
      <c r="O10" s="5">
        <v>21.28</v>
      </c>
      <c r="Q10">
        <v>8</v>
      </c>
      <c r="R10" t="s">
        <v>193</v>
      </c>
      <c r="S10" s="5">
        <v>9.98</v>
      </c>
      <c r="U10">
        <v>8</v>
      </c>
      <c r="V10" t="s">
        <v>37</v>
      </c>
      <c r="W10">
        <v>3</v>
      </c>
    </row>
    <row r="11" spans="1:30" x14ac:dyDescent="0.2">
      <c r="E11">
        <v>9</v>
      </c>
      <c r="F11" t="s">
        <v>171</v>
      </c>
      <c r="G11" s="5">
        <v>20</v>
      </c>
      <c r="M11">
        <v>9</v>
      </c>
      <c r="N11" t="s">
        <v>171</v>
      </c>
      <c r="O11" s="5">
        <v>20</v>
      </c>
      <c r="Q11">
        <v>9</v>
      </c>
      <c r="R11" t="s">
        <v>187</v>
      </c>
      <c r="S11" s="5">
        <v>9.67</v>
      </c>
      <c r="U11">
        <v>9</v>
      </c>
      <c r="V11" t="s">
        <v>171</v>
      </c>
      <c r="W11">
        <v>3</v>
      </c>
    </row>
    <row r="12" spans="1:30" x14ac:dyDescent="0.2">
      <c r="E12">
        <v>10</v>
      </c>
      <c r="F12" t="s">
        <v>37</v>
      </c>
      <c r="G12" s="5">
        <v>18.57</v>
      </c>
      <c r="M12">
        <v>10</v>
      </c>
      <c r="N12" t="s">
        <v>37</v>
      </c>
      <c r="O12" s="5">
        <v>18.57</v>
      </c>
      <c r="Q12">
        <v>10</v>
      </c>
      <c r="R12" t="s">
        <v>170</v>
      </c>
      <c r="S12" s="5">
        <v>8.3699999999999992</v>
      </c>
      <c r="U12">
        <v>10</v>
      </c>
      <c r="V12" t="s">
        <v>24</v>
      </c>
      <c r="W12">
        <v>3</v>
      </c>
    </row>
    <row r="13" spans="1:30" x14ac:dyDescent="0.2">
      <c r="E13">
        <v>11</v>
      </c>
      <c r="F13" t="s">
        <v>71</v>
      </c>
      <c r="G13" s="5">
        <v>15.97</v>
      </c>
      <c r="M13">
        <v>11</v>
      </c>
      <c r="N13" t="s">
        <v>71</v>
      </c>
      <c r="O13" s="5">
        <v>15.97</v>
      </c>
      <c r="U13">
        <v>11</v>
      </c>
      <c r="V13" t="s">
        <v>46</v>
      </c>
      <c r="W13">
        <v>2</v>
      </c>
    </row>
    <row r="14" spans="1:30" x14ac:dyDescent="0.2">
      <c r="E14">
        <v>12</v>
      </c>
      <c r="F14" t="s">
        <v>141</v>
      </c>
      <c r="G14" s="5">
        <v>13.98</v>
      </c>
      <c r="M14">
        <v>12</v>
      </c>
      <c r="N14" t="s">
        <v>141</v>
      </c>
      <c r="O14" s="5">
        <v>13.98</v>
      </c>
      <c r="U14">
        <v>12</v>
      </c>
      <c r="V14" t="s">
        <v>163</v>
      </c>
      <c r="W14">
        <v>2</v>
      </c>
    </row>
    <row r="15" spans="1:30" x14ac:dyDescent="0.2">
      <c r="E15">
        <v>13</v>
      </c>
      <c r="F15" t="s">
        <v>155</v>
      </c>
      <c r="G15" s="5">
        <v>11</v>
      </c>
      <c r="M15">
        <v>13</v>
      </c>
      <c r="N15" t="s">
        <v>155</v>
      </c>
      <c r="O15" s="5">
        <v>11</v>
      </c>
      <c r="U15">
        <v>13</v>
      </c>
      <c r="V15" t="s">
        <v>56</v>
      </c>
      <c r="W15">
        <v>2</v>
      </c>
    </row>
    <row r="16" spans="1:30" x14ac:dyDescent="0.2">
      <c r="E16">
        <v>14</v>
      </c>
      <c r="F16" t="s">
        <v>46</v>
      </c>
      <c r="G16" s="5">
        <v>10.16</v>
      </c>
      <c r="M16">
        <v>14</v>
      </c>
      <c r="N16" t="s">
        <v>46</v>
      </c>
      <c r="O16" s="5">
        <v>10.16</v>
      </c>
      <c r="U16">
        <v>14</v>
      </c>
      <c r="V16" t="s">
        <v>141</v>
      </c>
      <c r="W16">
        <v>2</v>
      </c>
    </row>
    <row r="17" spans="5:23" x14ac:dyDescent="0.2">
      <c r="E17">
        <v>15</v>
      </c>
      <c r="F17" t="s">
        <v>64</v>
      </c>
      <c r="G17" s="5">
        <v>8.2899999999999991</v>
      </c>
      <c r="M17">
        <v>15</v>
      </c>
      <c r="N17" t="s">
        <v>64</v>
      </c>
      <c r="O17" s="5">
        <v>8.2899999999999991</v>
      </c>
      <c r="U17">
        <v>15</v>
      </c>
      <c r="V17" t="s">
        <v>32</v>
      </c>
      <c r="W17">
        <v>2</v>
      </c>
    </row>
    <row r="18" spans="5:23" x14ac:dyDescent="0.2">
      <c r="E18">
        <v>16</v>
      </c>
      <c r="F18" t="s">
        <v>32</v>
      </c>
      <c r="G18" s="5">
        <v>7.78</v>
      </c>
      <c r="M18">
        <v>16</v>
      </c>
      <c r="N18" t="s">
        <v>32</v>
      </c>
      <c r="O18" s="5">
        <v>7.78</v>
      </c>
      <c r="U18">
        <v>16</v>
      </c>
      <c r="V18" t="s">
        <v>155</v>
      </c>
      <c r="W18">
        <v>2</v>
      </c>
    </row>
    <row r="19" spans="5:23" x14ac:dyDescent="0.2">
      <c r="E19">
        <v>17</v>
      </c>
      <c r="F19" t="s">
        <v>29</v>
      </c>
      <c r="G19" s="5">
        <v>6.99</v>
      </c>
      <c r="M19">
        <v>17</v>
      </c>
      <c r="N19" t="s">
        <v>29</v>
      </c>
      <c r="O19" s="5">
        <v>6.99</v>
      </c>
      <c r="U19">
        <v>17</v>
      </c>
      <c r="V19" t="s">
        <v>159</v>
      </c>
      <c r="W19">
        <v>2</v>
      </c>
    </row>
    <row r="20" spans="5:23" x14ac:dyDescent="0.2">
      <c r="E20">
        <v>18</v>
      </c>
      <c r="F20" t="s">
        <v>152</v>
      </c>
      <c r="G20" s="5">
        <v>5.99</v>
      </c>
      <c r="M20">
        <v>18</v>
      </c>
      <c r="N20" t="s">
        <v>152</v>
      </c>
      <c r="O20" s="5">
        <v>5.99</v>
      </c>
      <c r="U20">
        <v>18</v>
      </c>
      <c r="V20" t="s">
        <v>93</v>
      </c>
      <c r="W20">
        <v>2</v>
      </c>
    </row>
    <row r="21" spans="5:23" x14ac:dyDescent="0.2">
      <c r="E21">
        <v>19</v>
      </c>
      <c r="F21" t="s">
        <v>136</v>
      </c>
      <c r="G21" s="5">
        <v>5.99</v>
      </c>
      <c r="M21">
        <v>19</v>
      </c>
      <c r="N21" t="s">
        <v>136</v>
      </c>
      <c r="O21" s="5">
        <v>5.99</v>
      </c>
      <c r="U21">
        <v>19</v>
      </c>
      <c r="V21" t="s">
        <v>130</v>
      </c>
      <c r="W21">
        <v>2</v>
      </c>
    </row>
    <row r="22" spans="5:23" x14ac:dyDescent="0.2">
      <c r="E22">
        <v>20</v>
      </c>
      <c r="F22" t="s">
        <v>123</v>
      </c>
      <c r="G22" s="5">
        <v>5.99</v>
      </c>
      <c r="M22">
        <v>20</v>
      </c>
      <c r="N22" t="s">
        <v>123</v>
      </c>
      <c r="O22" s="5">
        <v>5.99</v>
      </c>
      <c r="U22">
        <v>20</v>
      </c>
      <c r="V22" t="s">
        <v>127</v>
      </c>
      <c r="W22">
        <v>1</v>
      </c>
    </row>
    <row r="23" spans="5:23" x14ac:dyDescent="0.2">
      <c r="E23">
        <v>21</v>
      </c>
      <c r="F23" t="s">
        <v>163</v>
      </c>
      <c r="G23" s="5">
        <v>5.92</v>
      </c>
      <c r="M23">
        <v>21</v>
      </c>
      <c r="N23" t="s">
        <v>163</v>
      </c>
      <c r="O23" s="5">
        <v>5.92</v>
      </c>
      <c r="U23">
        <v>21</v>
      </c>
      <c r="V23" t="s">
        <v>40</v>
      </c>
      <c r="W23">
        <v>1</v>
      </c>
    </row>
    <row r="24" spans="5:23" x14ac:dyDescent="0.2">
      <c r="E24">
        <v>22</v>
      </c>
      <c r="F24" t="s">
        <v>40</v>
      </c>
      <c r="G24" s="5">
        <v>5.89</v>
      </c>
      <c r="M24">
        <v>22</v>
      </c>
      <c r="N24" t="s">
        <v>40</v>
      </c>
      <c r="O24" s="5">
        <v>5.89</v>
      </c>
      <c r="U24">
        <v>22</v>
      </c>
      <c r="V24" t="s">
        <v>112</v>
      </c>
      <c r="W24">
        <v>1</v>
      </c>
    </row>
    <row r="25" spans="5:23" x14ac:dyDescent="0.2">
      <c r="E25">
        <v>23</v>
      </c>
      <c r="F25" t="s">
        <v>116</v>
      </c>
      <c r="G25" s="5">
        <v>5.25</v>
      </c>
      <c r="M25">
        <v>23</v>
      </c>
      <c r="N25" t="s">
        <v>116</v>
      </c>
      <c r="O25" s="5">
        <v>5.25</v>
      </c>
      <c r="U25">
        <v>23</v>
      </c>
      <c r="V25" t="s">
        <v>85</v>
      </c>
      <c r="W25">
        <v>1</v>
      </c>
    </row>
    <row r="26" spans="5:23" x14ac:dyDescent="0.2">
      <c r="E26">
        <v>24</v>
      </c>
      <c r="F26" t="s">
        <v>130</v>
      </c>
      <c r="G26" s="5">
        <v>4.88</v>
      </c>
      <c r="M26">
        <v>24</v>
      </c>
      <c r="N26" t="s">
        <v>130</v>
      </c>
      <c r="O26" s="5">
        <v>4.88</v>
      </c>
      <c r="U26">
        <v>24</v>
      </c>
      <c r="V26" t="s">
        <v>116</v>
      </c>
      <c r="W26">
        <v>1</v>
      </c>
    </row>
    <row r="27" spans="5:23" x14ac:dyDescent="0.2">
      <c r="E27">
        <v>25</v>
      </c>
      <c r="F27" t="s">
        <v>93</v>
      </c>
      <c r="G27" s="5">
        <v>3.98</v>
      </c>
      <c r="M27">
        <v>25</v>
      </c>
      <c r="N27" t="s">
        <v>93</v>
      </c>
      <c r="O27" s="5">
        <v>3.98</v>
      </c>
      <c r="U27">
        <v>25</v>
      </c>
      <c r="V27" t="s">
        <v>77</v>
      </c>
      <c r="W27">
        <v>1</v>
      </c>
    </row>
    <row r="28" spans="5:23" x14ac:dyDescent="0.2">
      <c r="E28">
        <v>26</v>
      </c>
      <c r="F28" t="s">
        <v>77</v>
      </c>
      <c r="G28" s="5">
        <v>3.89</v>
      </c>
      <c r="M28">
        <v>26</v>
      </c>
      <c r="N28" t="s">
        <v>77</v>
      </c>
      <c r="O28" s="5">
        <v>3.89</v>
      </c>
      <c r="U28">
        <v>26</v>
      </c>
      <c r="V28" t="s">
        <v>64</v>
      </c>
      <c r="W28">
        <v>1</v>
      </c>
    </row>
    <row r="29" spans="5:23" x14ac:dyDescent="0.2">
      <c r="E29">
        <v>27</v>
      </c>
      <c r="F29" t="s">
        <v>98</v>
      </c>
      <c r="G29" s="5">
        <v>3.68</v>
      </c>
      <c r="M29">
        <v>27</v>
      </c>
      <c r="N29" t="s">
        <v>98</v>
      </c>
      <c r="O29" s="5">
        <v>3.68</v>
      </c>
      <c r="U29">
        <v>27</v>
      </c>
      <c r="V29" t="s">
        <v>146</v>
      </c>
      <c r="W29">
        <v>1</v>
      </c>
    </row>
    <row r="30" spans="5:23" x14ac:dyDescent="0.2">
      <c r="E30">
        <v>28</v>
      </c>
      <c r="F30" t="s">
        <v>85</v>
      </c>
      <c r="G30" s="5">
        <v>3.45</v>
      </c>
      <c r="M30">
        <v>28</v>
      </c>
      <c r="N30" t="s">
        <v>85</v>
      </c>
      <c r="O30" s="5">
        <v>3.45</v>
      </c>
      <c r="U30">
        <v>28</v>
      </c>
      <c r="V30" t="s">
        <v>176</v>
      </c>
      <c r="W30">
        <v>1</v>
      </c>
    </row>
    <row r="31" spans="5:23" x14ac:dyDescent="0.2">
      <c r="E31">
        <v>29</v>
      </c>
      <c r="F31" t="s">
        <v>146</v>
      </c>
      <c r="G31" s="5">
        <v>3.29</v>
      </c>
      <c r="M31">
        <v>29</v>
      </c>
      <c r="N31" t="s">
        <v>146</v>
      </c>
      <c r="O31" s="5">
        <v>3.29</v>
      </c>
      <c r="U31">
        <v>29</v>
      </c>
      <c r="V31" t="s">
        <v>152</v>
      </c>
      <c r="W31">
        <v>1</v>
      </c>
    </row>
    <row r="32" spans="5:23" x14ac:dyDescent="0.2">
      <c r="E32">
        <v>30</v>
      </c>
      <c r="F32" t="s">
        <v>176</v>
      </c>
      <c r="G32" s="5">
        <v>3.16</v>
      </c>
      <c r="M32">
        <v>30</v>
      </c>
      <c r="N32" t="s">
        <v>176</v>
      </c>
      <c r="O32" s="5">
        <v>3.16</v>
      </c>
      <c r="U32">
        <v>30</v>
      </c>
      <c r="V32" t="s">
        <v>149</v>
      </c>
      <c r="W32">
        <v>1</v>
      </c>
    </row>
    <row r="33" spans="5:23" x14ac:dyDescent="0.2">
      <c r="E33">
        <v>31</v>
      </c>
      <c r="F33" t="s">
        <v>149</v>
      </c>
      <c r="G33" s="5">
        <v>2.99</v>
      </c>
      <c r="M33">
        <v>31</v>
      </c>
      <c r="N33" t="s">
        <v>149</v>
      </c>
      <c r="O33" s="5">
        <v>2.99</v>
      </c>
      <c r="U33">
        <v>31</v>
      </c>
      <c r="V33" t="s">
        <v>174</v>
      </c>
      <c r="W33">
        <v>1</v>
      </c>
    </row>
    <row r="34" spans="5:23" x14ac:dyDescent="0.2">
      <c r="E34">
        <v>32</v>
      </c>
      <c r="F34" t="s">
        <v>105</v>
      </c>
      <c r="G34" s="5">
        <v>2.99</v>
      </c>
      <c r="M34">
        <v>32</v>
      </c>
      <c r="N34" t="s">
        <v>105</v>
      </c>
      <c r="O34" s="5">
        <v>2.99</v>
      </c>
      <c r="U34">
        <v>32</v>
      </c>
      <c r="V34" t="s">
        <v>87</v>
      </c>
      <c r="W34">
        <v>1</v>
      </c>
    </row>
    <row r="35" spans="5:23" x14ac:dyDescent="0.2">
      <c r="E35">
        <v>33</v>
      </c>
      <c r="F35" t="s">
        <v>127</v>
      </c>
      <c r="G35" s="5">
        <v>2.79</v>
      </c>
      <c r="M35">
        <v>33</v>
      </c>
      <c r="N35" t="s">
        <v>127</v>
      </c>
      <c r="O35" s="5">
        <v>2.79</v>
      </c>
      <c r="U35">
        <v>33</v>
      </c>
      <c r="V35" t="s">
        <v>29</v>
      </c>
      <c r="W35">
        <v>1</v>
      </c>
    </row>
    <row r="36" spans="5:23" x14ac:dyDescent="0.2">
      <c r="E36">
        <v>34</v>
      </c>
      <c r="F36" t="s">
        <v>87</v>
      </c>
      <c r="G36" s="5">
        <v>2.39</v>
      </c>
      <c r="M36">
        <v>34</v>
      </c>
      <c r="N36" t="s">
        <v>87</v>
      </c>
      <c r="O36" s="5">
        <v>2.39</v>
      </c>
      <c r="U36">
        <v>34</v>
      </c>
      <c r="V36" t="s">
        <v>105</v>
      </c>
      <c r="W36">
        <v>1</v>
      </c>
    </row>
    <row r="37" spans="5:23" x14ac:dyDescent="0.2">
      <c r="E37">
        <v>35</v>
      </c>
      <c r="F37" t="s">
        <v>112</v>
      </c>
      <c r="G37" s="5">
        <v>1.99</v>
      </c>
      <c r="M37">
        <v>35</v>
      </c>
      <c r="N37" t="s">
        <v>112</v>
      </c>
      <c r="O37" s="5">
        <v>1.99</v>
      </c>
      <c r="U37">
        <v>35</v>
      </c>
      <c r="V37" t="s">
        <v>136</v>
      </c>
      <c r="W37">
        <v>1</v>
      </c>
    </row>
    <row r="38" spans="5:23" x14ac:dyDescent="0.2">
      <c r="E38">
        <v>36</v>
      </c>
      <c r="F38" t="s">
        <v>56</v>
      </c>
      <c r="G38" s="5">
        <v>1.84</v>
      </c>
      <c r="M38">
        <v>36</v>
      </c>
      <c r="N38" t="s">
        <v>56</v>
      </c>
      <c r="O38" s="5">
        <v>1.84</v>
      </c>
      <c r="U38">
        <v>36</v>
      </c>
      <c r="V38" t="s">
        <v>123</v>
      </c>
      <c r="W38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25" t="s">
        <v>395</v>
      </c>
      <c r="B1" s="25" t="s">
        <v>5</v>
      </c>
      <c r="C1" s="25" t="s">
        <v>396</v>
      </c>
      <c r="D1" s="25" t="s">
        <v>397</v>
      </c>
    </row>
    <row r="2" spans="1:4" x14ac:dyDescent="0.2">
      <c r="A2" t="s">
        <v>398</v>
      </c>
      <c r="B2" t="s">
        <v>22</v>
      </c>
      <c r="C2" s="2">
        <v>46259</v>
      </c>
      <c r="D2" s="3">
        <v>46260.753207858797</v>
      </c>
    </row>
    <row r="3" spans="1:4" x14ac:dyDescent="0.2">
      <c r="A3" t="s">
        <v>399</v>
      </c>
      <c r="B3" t="s">
        <v>44</v>
      </c>
      <c r="C3" s="2">
        <v>46257</v>
      </c>
      <c r="D3" s="3">
        <v>46260.873204756943</v>
      </c>
    </row>
    <row r="4" spans="1:4" x14ac:dyDescent="0.2">
      <c r="A4" t="s">
        <v>400</v>
      </c>
      <c r="B4" t="s">
        <v>139</v>
      </c>
      <c r="C4" s="2">
        <v>46258</v>
      </c>
      <c r="D4" s="3">
        <v>46261.509354467591</v>
      </c>
    </row>
    <row r="5" spans="1:4" x14ac:dyDescent="0.2">
      <c r="A5" t="s">
        <v>401</v>
      </c>
      <c r="B5" t="s">
        <v>19</v>
      </c>
      <c r="C5" s="2">
        <v>46261</v>
      </c>
      <c r="D5" s="3">
        <v>46261.69623483796</v>
      </c>
    </row>
    <row r="6" spans="1:4" x14ac:dyDescent="0.2">
      <c r="A6" t="s">
        <v>402</v>
      </c>
      <c r="B6" t="s">
        <v>167</v>
      </c>
      <c r="C6" s="2">
        <v>46240</v>
      </c>
      <c r="D6" s="3">
        <v>46261.874585370373</v>
      </c>
    </row>
    <row r="7" spans="1:4" x14ac:dyDescent="0.2">
      <c r="A7" t="s">
        <v>403</v>
      </c>
      <c r="B7" t="s">
        <v>167</v>
      </c>
      <c r="C7" s="2">
        <v>46241</v>
      </c>
      <c r="D7" s="3">
        <v>46262.598739479166</v>
      </c>
    </row>
    <row r="8" spans="1:4" x14ac:dyDescent="0.2">
      <c r="A8" t="s">
        <v>404</v>
      </c>
      <c r="B8" t="s">
        <v>167</v>
      </c>
      <c r="C8" s="2">
        <v>46247</v>
      </c>
      <c r="D8" s="3">
        <v>46262.65887388889</v>
      </c>
    </row>
    <row r="9" spans="1:4" x14ac:dyDescent="0.2">
      <c r="A9" t="s">
        <v>405</v>
      </c>
      <c r="B9" t="s">
        <v>167</v>
      </c>
      <c r="C9" s="2">
        <v>46247</v>
      </c>
      <c r="D9" s="3">
        <v>46262.660042743053</v>
      </c>
    </row>
    <row r="10" spans="1:4" x14ac:dyDescent="0.2">
      <c r="A10" t="s">
        <v>406</v>
      </c>
      <c r="B10" t="s">
        <v>167</v>
      </c>
      <c r="C10" s="2">
        <v>46260</v>
      </c>
      <c r="D10" s="3">
        <v>46262.676458125003</v>
      </c>
    </row>
    <row r="11" spans="1:4" x14ac:dyDescent="0.2">
      <c r="A11" t="s">
        <v>407</v>
      </c>
      <c r="B11" t="s">
        <v>232</v>
      </c>
      <c r="C11" s="2">
        <v>46262</v>
      </c>
      <c r="D11" s="3">
        <v>46262.700758637293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Purchase History</vt:lpstr>
      <vt:lpstr>Analytics</vt:lpstr>
      <vt:lpstr>_AnalyticsData</vt:lpstr>
      <vt:lpstr>Imported 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2026-08-28T21:02:48Z</dcterms:modified>
</cp:coreProperties>
</file>