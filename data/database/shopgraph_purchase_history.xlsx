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940" yWindow="760" windowWidth="33620" windowHeight="21580" tabRatio="600" firstSheet="0" activeTab="4" autoFilterDateGrouping="1"/>
  </bookViews>
  <sheets>
    <sheet xmlns:r="http://schemas.openxmlformats.org/officeDocument/2006/relationships" name="Purchase History" sheetId="1" state="visible" r:id="rId1"/>
    <sheet xmlns:r="http://schemas.openxmlformats.org/officeDocument/2006/relationships" name="Category Manager" sheetId="2" state="visible" r:id="rId2"/>
    <sheet xmlns:r="http://schemas.openxmlformats.org/officeDocument/2006/relationships" name="Sub Analytics" sheetId="3" state="visible" r:id="rId3"/>
    <sheet xmlns:r="http://schemas.openxmlformats.org/officeDocument/2006/relationships" name="_SubAnalyticsData" sheetId="4" state="hidden" r:id="rId4"/>
    <sheet xmlns:r="http://schemas.openxmlformats.org/officeDocument/2006/relationships" name="Sheet1" sheetId="5" state="visible" r:id="rId5"/>
    <sheet xmlns:r="http://schemas.openxmlformats.org/officeDocument/2006/relationships" name="Imported Receipts" sheetId="6" state="hidden" r:id="rId6"/>
  </sheets>
  <definedNames>
    <definedName name="_xlnm._FilterDatabase" localSheetId="0" hidden="1">'Purchase History'!$A$1:$S$122</definedName>
    <definedName name="_xlnm._FilterDatabase" localSheetId="1" hidden="1">'Category Manager'!$A$1:$O$59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mm/dd/yyyy"/>
    <numFmt numFmtId="165" formatCode="mm/dd/yyyy\ hh:mm"/>
    <numFmt numFmtId="166" formatCode="mmm\ yyyy"/>
    <numFmt numFmtId="167" formatCode="\$#,##0.00"/>
    <numFmt numFmtId="168" formatCode="$#,##0.00"/>
    <numFmt numFmtId="169" formatCode="mmm yyyy"/>
  </numFmts>
  <fonts count="17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color rgb="FFFFFFFF"/>
      <sz val="22"/>
    </font>
    <font>
      <name val="Calibri"/>
      <family val="2"/>
      <b val="1"/>
      <color rgb="FF404040"/>
      <sz val="11"/>
    </font>
    <font>
      <name val="Calibri"/>
      <family val="2"/>
      <b val="1"/>
      <sz val="12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1F4E78"/>
      <sz val="11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b val="1"/>
      <color rgb="00FFFFFF"/>
      <sz val="22"/>
    </font>
    <font>
      <b val="1"/>
      <color rgb="00404040"/>
    </font>
    <font>
      <b val="1"/>
      <sz val="12"/>
    </font>
    <font>
      <b val="1"/>
    </font>
    <font>
      <b val="1"/>
      <color rgb="00FFFFFF"/>
      <sz val="12"/>
    </font>
    <font>
      <b val="1"/>
      <color rgb="001F4E78"/>
    </font>
    <font>
      <b val="1"/>
      <color rgb="00FFFFFF"/>
    </font>
  </fonts>
  <fills count="42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264478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70AD47"/>
      </patternFill>
    </fill>
    <fill>
      <patternFill patternType="solid">
        <fgColor rgb="00A5A5A5"/>
      </patternFill>
    </fill>
    <fill>
      <patternFill patternType="solid">
        <fgColor rgb="00FFC000"/>
      </patternFill>
    </fill>
    <fill>
      <patternFill patternType="solid">
        <fgColor rgb="005B9BD5"/>
      </patternFill>
    </fill>
    <fill>
      <patternFill patternType="solid">
        <fgColor rgb="00C55A11"/>
      </patternFill>
    </fill>
    <fill>
      <patternFill patternType="solid">
        <fgColor rgb="00548235"/>
      </patternFill>
    </fill>
    <fill>
      <patternFill patternType="solid">
        <fgColor rgb="008064A2"/>
      </patternFill>
    </fill>
    <fill>
      <patternFill patternType="solid">
        <fgColor rgb="00264478"/>
      </patternFill>
    </fill>
    <fill>
      <patternFill patternType="solid">
        <fgColor rgb="009E480E"/>
      </patternFill>
    </fill>
    <fill>
      <patternFill patternType="solid">
        <fgColor rgb="00636363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DEBF7"/>
      </patternFill>
    </fill>
  </fills>
  <borders count="3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0" borderId="0" applyAlignment="1" pivotButton="0" quotePrefix="0" xfId="0">
      <alignment horizontal="right" vertical="top"/>
    </xf>
    <xf numFmtId="0" fontId="1" fillId="0" borderId="0" pivotButton="0" quotePrefix="0" xfId="0"/>
    <xf numFmtId="0" fontId="3" fillId="0" borderId="0" applyAlignment="1" pivotButton="0" quotePrefix="0" xfId="0">
      <alignment horizontal="left"/>
    </xf>
    <xf numFmtId="167" fontId="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left" vertical="center"/>
    </xf>
    <xf numFmtId="0" fontId="0" fillId="3" borderId="0" pivotButton="0" quotePrefix="0" xfId="0"/>
    <xf numFmtId="0" fontId="5" fillId="0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5" fillId="0" borderId="0" pivotButton="0" quotePrefix="0" xfId="0"/>
    <xf numFmtId="0" fontId="8" fillId="16" borderId="1" applyAlignment="1" pivotButton="0" quotePrefix="0" xfId="0">
      <alignment horizontal="center" vertical="center" wrapText="1"/>
    </xf>
    <xf numFmtId="0" fontId="9" fillId="17" borderId="1" applyAlignment="1" pivotButton="0" quotePrefix="0" xfId="0">
      <alignment vertical="top" wrapText="1"/>
    </xf>
    <xf numFmtId="0" fontId="0" fillId="17" borderId="1" applyAlignment="1" pivotButton="0" quotePrefix="0" xfId="0">
      <alignment vertical="top" wrapText="1"/>
    </xf>
    <xf numFmtId="0" fontId="9" fillId="18" borderId="1" applyAlignment="1" pivotButton="0" quotePrefix="0" xfId="0">
      <alignment vertical="top" wrapText="1"/>
    </xf>
    <xf numFmtId="0" fontId="0" fillId="18" borderId="1" applyAlignment="1" pivotButton="0" quotePrefix="0" xfId="0">
      <alignment vertical="top" wrapText="1"/>
    </xf>
    <xf numFmtId="0" fontId="9" fillId="19" borderId="1" applyAlignment="1" pivotButton="0" quotePrefix="0" xfId="0">
      <alignment vertical="top" wrapText="1"/>
    </xf>
    <xf numFmtId="0" fontId="0" fillId="19" borderId="1" applyAlignment="1" pivotButton="0" quotePrefix="0" xfId="0">
      <alignment vertical="top" wrapText="1"/>
    </xf>
    <xf numFmtId="0" fontId="9" fillId="20" borderId="1" applyAlignment="1" pivotButton="0" quotePrefix="0" xfId="0">
      <alignment vertical="top" wrapText="1"/>
    </xf>
    <xf numFmtId="0" fontId="0" fillId="20" borderId="1" applyAlignment="1" pivotButton="0" quotePrefix="0" xfId="0">
      <alignment vertical="top" wrapText="1"/>
    </xf>
    <xf numFmtId="0" fontId="9" fillId="21" borderId="1" applyAlignment="1" pivotButton="0" quotePrefix="0" xfId="0">
      <alignment vertical="top" wrapText="1"/>
    </xf>
    <xf numFmtId="0" fontId="0" fillId="21" borderId="1" applyAlignment="1" pivotButton="0" quotePrefix="0" xfId="0">
      <alignment vertical="top" wrapText="1"/>
    </xf>
    <xf numFmtId="0" fontId="9" fillId="22" borderId="1" applyAlignment="1" pivotButton="0" quotePrefix="0" xfId="0">
      <alignment vertical="top" wrapText="1"/>
    </xf>
    <xf numFmtId="0" fontId="0" fillId="22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pivotButton="0" quotePrefix="0" xfId="0"/>
    <xf numFmtId="0" fontId="7" fillId="0" borderId="0" pivotButton="0" quotePrefix="0" xfId="0"/>
    <xf numFmtId="0" fontId="6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10" fillId="23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/>
    </xf>
    <xf numFmtId="168" fontId="12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0" fontId="14" fillId="23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0" fillId="24" borderId="0" pivotButton="0" quotePrefix="0" xfId="0"/>
    <xf numFmtId="0" fontId="13" fillId="0" borderId="0" applyAlignment="1" pivotButton="0" quotePrefix="0" xfId="0">
      <alignment horizontal="center"/>
    </xf>
    <xf numFmtId="0" fontId="15" fillId="0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13" fillId="0" borderId="0" pivotButton="0" quotePrefix="0" xfId="0"/>
    <xf numFmtId="16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0" fontId="16" fillId="23" borderId="2" applyAlignment="1" pivotButton="0" quotePrefix="0" xfId="0">
      <alignment horizontal="center" vertical="center" wrapText="1"/>
    </xf>
    <xf numFmtId="0" fontId="0" fillId="36" borderId="2" applyAlignment="1" pivotButton="0" quotePrefix="0" xfId="0">
      <alignment vertical="top" wrapText="1"/>
    </xf>
    <xf numFmtId="0" fontId="13" fillId="36" borderId="2" applyAlignment="1" pivotButton="0" quotePrefix="0" xfId="0">
      <alignment vertical="top" wrapText="1"/>
    </xf>
    <xf numFmtId="0" fontId="0" fillId="37" borderId="2" applyAlignment="1" pivotButton="0" quotePrefix="0" xfId="0">
      <alignment vertical="top" wrapText="1"/>
    </xf>
    <xf numFmtId="0" fontId="13" fillId="37" borderId="2" applyAlignment="1" pivotButton="0" quotePrefix="0" xfId="0">
      <alignment vertical="top" wrapText="1"/>
    </xf>
    <xf numFmtId="0" fontId="0" fillId="38" borderId="2" applyAlignment="1" pivotButton="0" quotePrefix="0" xfId="0">
      <alignment vertical="top" wrapText="1"/>
    </xf>
    <xf numFmtId="0" fontId="13" fillId="38" borderId="2" applyAlignment="1" pivotButton="0" quotePrefix="0" xfId="0">
      <alignment vertical="top" wrapText="1"/>
    </xf>
    <xf numFmtId="0" fontId="0" fillId="39" borderId="2" applyAlignment="1" pivotButton="0" quotePrefix="0" xfId="0">
      <alignment vertical="top" wrapText="1"/>
    </xf>
    <xf numFmtId="0" fontId="13" fillId="39" borderId="2" applyAlignment="1" pivotButton="0" quotePrefix="0" xfId="0">
      <alignment vertical="top" wrapText="1"/>
    </xf>
    <xf numFmtId="0" fontId="0" fillId="40" borderId="2" applyAlignment="1" pivotButton="0" quotePrefix="0" xfId="0">
      <alignment vertical="top" wrapText="1"/>
    </xf>
    <xf numFmtId="0" fontId="13" fillId="40" borderId="2" applyAlignment="1" pivotButton="0" quotePrefix="0" xfId="0">
      <alignment vertical="top" wrapText="1"/>
    </xf>
    <xf numFmtId="0" fontId="0" fillId="41" borderId="2" applyAlignment="1" pivotButton="0" quotePrefix="0" xfId="0">
      <alignment vertical="top" wrapText="1"/>
    </xf>
    <xf numFmtId="0" fontId="13" fillId="41" borderId="2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Spending</a:t>
            </a:r>
          </a:p>
        </rich>
      </tx>
    </title>
    <plotArea>
      <lineChart>
        <grouping val="standard"/>
        <ser>
          <idx val="0"/>
          <order val="0"/>
          <tx>
            <strRef>
              <f>'_SubAnalyticsData'!C2</f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'_SubAnalyticsData'!$A$3</f>
            </numRef>
          </cat>
          <val>
            <numRef>
              <f>'_SubAnalyticsData'!$C$3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by Sub-Category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'_SubAnalyticsData'!G2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cat>
            <numRef>
              <f>'_SubAnalyticsData'!$E$3:$E$59</f>
            </numRef>
          </cat>
          <val>
            <numRef>
              <f>'_SubAnalyticsData'!$G$3:$G$59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by Store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'_SubAnalyticsData'!K2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cat>
            <numRef>
              <f>'_SubAnalyticsData'!$I$3:$I$7</f>
            </numRef>
          </cat>
          <val>
            <numRef>
              <f>'_SubAnalyticsData'!$K$3:$K$7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Share by Sub-Category</a:t>
            </a:r>
          </a:p>
        </rich>
      </tx>
    </title>
    <plotArea>
      <doughnutChart>
        <varyColors val="1"/>
        <ser>
          <idx val="0"/>
          <order val="0"/>
          <tx>
            <strRef>
              <f>'_SubAnalyticsData'!O2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cat>
            <numRef>
              <f>'_SubAnalyticsData'!$M$3:$M$59</f>
            </numRef>
          </cat>
          <val>
            <numRef>
              <f>'_SubAnalyticsData'!$O$3:$O$59</f>
            </numRef>
          </val>
        </ser>
        <dLbls>
          <showVal val="0"/>
          <showCatName val="1"/>
          <showPercent val="0"/>
          <showLeaderLines val="1"/>
        </dLbls>
        <firstSliceAng val="0"/>
        <holeSize val="58"/>
      </doughnutChart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'_SubAnalyticsData'!S2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cat>
            <numRef>
              <f>'_SubAnalyticsData'!$Q$3:$Q$12</f>
            </numRef>
          </cat>
          <val>
            <numRef>
              <f>'_SubAnalyticsData'!$S$3:$S$12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'_SubAnalyticsData'!Z2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'_SubAnalyticsData'!$Y$3</f>
            </numRef>
          </cat>
          <val>
            <numRef>
              <f>'_SubAnalyticsData'!$Z$3</f>
            </numRef>
          </val>
        </ser>
        <ser>
          <idx val="1"/>
          <order val="1"/>
          <tx>
            <strRef>
              <f>'_SubAnalyticsData'!AA2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'_SubAnalyticsData'!$Y$3</f>
            </numRef>
          </cat>
          <val>
            <numRef>
              <f>'_SubAnalyticsData'!$AA$3</f>
            </numRef>
          </val>
        </ser>
        <ser>
          <idx val="2"/>
          <order val="2"/>
          <tx>
            <strRef>
              <f>'_SubAnalyticsData'!AB2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cat>
            <numRef>
              <f>'_SubAnalyticsData'!$Y$3</f>
            </numRef>
          </cat>
          <val>
            <numRef>
              <f>'_SubAnalyticsData'!$AB$3</f>
            </numRef>
          </val>
        </ser>
        <ser>
          <idx val="3"/>
          <order val="3"/>
          <tx>
            <strRef>
              <f>'_SubAnalyticsData'!AC2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cat>
            <numRef>
              <f>'_SubAnalyticsData'!$Y$3</f>
            </numRef>
          </cat>
          <val>
            <numRef>
              <f>'_SubAnalyticsData'!$AC$3</f>
            </numRef>
          </val>
        </ser>
        <ser>
          <idx val="4"/>
          <order val="4"/>
          <tx>
            <strRef>
              <f>'_SubAnalyticsData'!AD2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cat>
            <numRef>
              <f>'_SubAnalyticsData'!$Y$3</f>
            </numRef>
          </cat>
          <val>
            <numRef>
              <f>'_SubAnalyticsData'!$AD$3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Purchase Frequency by Sub-Category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'_SubAnalyticsData'!W2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cat>
            <numRef>
              <f>'_SubAnalyticsData'!$U$3:$U$59</f>
            </numRef>
          </cat>
          <val>
            <numRef>
              <f>'_SubAnalyticsData'!$W$3:$W$59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105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141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203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239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275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31"/>
  <sheetViews>
    <sheetView workbookViewId="0">
      <pane ySplit="1" topLeftCell="A2" activePane="bottomLeft" state="frozen"/>
      <selection pane="bottomLeft" activeCell="H130" sqref="H130"/>
    </sheetView>
  </sheetViews>
  <sheetFormatPr baseColWidth="10" defaultColWidth="8.83203125" defaultRowHeight="15"/>
  <cols>
    <col width="14" customWidth="1" style="41" min="1" max="1"/>
    <col width="3" customWidth="1" style="41" min="2" max="2"/>
    <col width="18" customWidth="1" style="41" min="3" max="4"/>
    <col width="34" customWidth="1" style="41" min="5" max="5"/>
    <col width="14" customWidth="1" style="41" min="6" max="6"/>
    <col width="16" customWidth="1" style="41" min="7" max="7"/>
    <col width="46.83203125" bestFit="1" customWidth="1" style="41" min="8" max="8"/>
    <col width="22" customWidth="1" style="41" min="9" max="9"/>
    <col width="14" customWidth="1" style="41" min="10" max="19"/>
  </cols>
  <sheetData>
    <row r="1">
      <c r="A1" s="7" t="inlineStr">
        <is>
          <t>Total</t>
        </is>
      </c>
      <c r="B1" s="7" t="n"/>
      <c r="C1" s="7" t="inlineStr">
        <is>
          <t>Store</t>
        </is>
      </c>
      <c r="D1" s="7" t="inlineStr">
        <is>
          <t>Six-Digit SKU</t>
        </is>
      </c>
      <c r="E1" s="7" t="inlineStr">
        <is>
          <t>Product</t>
        </is>
      </c>
      <c r="F1" s="7" t="inlineStr">
        <is>
          <t>Tax Code</t>
        </is>
      </c>
      <c r="G1" s="7" t="inlineStr">
        <is>
          <t>Store Number</t>
        </is>
      </c>
      <c r="H1" s="7" t="inlineStr">
        <is>
          <t>Common Name</t>
        </is>
      </c>
      <c r="I1" s="7" t="inlineStr">
        <is>
          <t>Sub-Category</t>
        </is>
      </c>
      <c r="J1" s="7" t="inlineStr">
        <is>
          <t>Date 1</t>
        </is>
      </c>
      <c r="K1" s="7" t="inlineStr">
        <is>
          <t>Price 1</t>
        </is>
      </c>
      <c r="L1" s="7" t="inlineStr">
        <is>
          <t>Date 2</t>
        </is>
      </c>
      <c r="M1" s="7" t="inlineStr">
        <is>
          <t>Price 2</t>
        </is>
      </c>
      <c r="N1" s="7" t="inlineStr">
        <is>
          <t>Date 3</t>
        </is>
      </c>
      <c r="O1" s="7" t="inlineStr">
        <is>
          <t>Price 3</t>
        </is>
      </c>
      <c r="P1" s="7" t="inlineStr">
        <is>
          <t>Date 4</t>
        </is>
      </c>
      <c r="Q1" s="7" t="inlineStr">
        <is>
          <t>Price 4</t>
        </is>
      </c>
      <c r="R1" s="7" t="inlineStr">
        <is>
          <t>Date 5</t>
        </is>
      </c>
      <c r="S1" s="7" t="inlineStr">
        <is>
          <t>Price 5</t>
        </is>
      </c>
    </row>
    <row r="2">
      <c r="A2" s="1">
        <f>SUM(K2,M2,O2,Q2,S2)</f>
        <v/>
      </c>
      <c r="C2" t="inlineStr">
        <is>
          <t>Publix</t>
        </is>
      </c>
      <c r="D2" t="inlineStr">
        <is>
          <t>NA</t>
        </is>
      </c>
      <c r="E2" t="inlineStr">
        <is>
          <t>Stony Yobaby Pouch Peach</t>
        </is>
      </c>
      <c r="F2" t="inlineStr">
        <is>
          <t>F</t>
        </is>
      </c>
      <c r="G2" t="inlineStr">
        <is>
          <t>1058</t>
        </is>
      </c>
      <c r="H2" t="inlineStr">
        <is>
          <t>Stonyfield Organic YoBaby Yogurt Pouch, Peach</t>
        </is>
      </c>
      <c r="I2" t="inlineStr">
        <is>
          <t>Yogurt</t>
        </is>
      </c>
      <c r="J2" s="2" t="n">
        <v>46259</v>
      </c>
      <c r="K2" s="1" t="n">
        <v>7.85</v>
      </c>
    </row>
    <row r="3">
      <c r="A3" s="1">
        <f>SUM(K3,M3,O3,Q3,S3)</f>
        <v/>
      </c>
      <c r="C3" t="inlineStr">
        <is>
          <t>Publix</t>
        </is>
      </c>
      <c r="D3" t="inlineStr">
        <is>
          <t>NA</t>
        </is>
      </c>
      <c r="E3" t="inlineStr">
        <is>
          <t>Stony Yobaby Pouch Banana</t>
        </is>
      </c>
      <c r="F3" t="inlineStr">
        <is>
          <t>F</t>
        </is>
      </c>
      <c r="G3" t="inlineStr">
        <is>
          <t>1058</t>
        </is>
      </c>
      <c r="H3" t="inlineStr">
        <is>
          <t>Stonyfield Organic YoBaby Yogurt Pouch, Banana</t>
        </is>
      </c>
      <c r="I3" t="inlineStr">
        <is>
          <t>Yogurt</t>
        </is>
      </c>
      <c r="J3" s="2" t="n">
        <v>46259</v>
      </c>
      <c r="K3" s="1" t="n">
        <v>7.85</v>
      </c>
    </row>
    <row r="4">
      <c r="A4" s="1">
        <f>SUM(K4,M4,O4,Q4,S4)</f>
        <v/>
      </c>
      <c r="C4" t="inlineStr">
        <is>
          <t>Publix</t>
        </is>
      </c>
      <c r="D4" t="inlineStr">
        <is>
          <t>NA</t>
        </is>
      </c>
      <c r="E4" t="inlineStr">
        <is>
          <t>Sweet Loren's Gf Brownie</t>
        </is>
      </c>
      <c r="F4" t="inlineStr">
        <is>
          <t>F</t>
        </is>
      </c>
      <c r="G4" t="inlineStr">
        <is>
          <t>1058</t>
        </is>
      </c>
      <c r="H4" t="inlineStr">
        <is>
          <t>Sweet Loren's Gluten Free Brownie Cookie Dough</t>
        </is>
      </c>
      <c r="I4" t="inlineStr">
        <is>
          <t>Refrigerated Dough</t>
        </is>
      </c>
      <c r="J4" s="2" t="n">
        <v>46259</v>
      </c>
      <c r="K4" s="1" t="n">
        <v>6.99</v>
      </c>
    </row>
    <row r="5">
      <c r="A5" s="1">
        <f>SUM(K5,M5,O5,Q5,S5)</f>
        <v/>
      </c>
      <c r="C5" t="inlineStr">
        <is>
          <t>Publix</t>
        </is>
      </c>
      <c r="D5" t="inlineStr">
        <is>
          <t>NA</t>
        </is>
      </c>
      <c r="E5" t="inlineStr">
        <is>
          <t>Vans Waffle Blueberry Gf</t>
        </is>
      </c>
      <c r="F5" t="inlineStr">
        <is>
          <t>F</t>
        </is>
      </c>
      <c r="G5" t="inlineStr">
        <is>
          <t>1058</t>
        </is>
      </c>
      <c r="H5" t="inlineStr">
        <is>
          <t>Van's Gluten Free Blueberry Waffles</t>
        </is>
      </c>
      <c r="I5" t="inlineStr">
        <is>
          <t>Frozen Breakfast</t>
        </is>
      </c>
      <c r="J5" s="2" t="n">
        <v>46259</v>
      </c>
      <c r="K5" s="1" t="n">
        <v>3.89</v>
      </c>
      <c r="L5" s="2" t="n">
        <v>46259</v>
      </c>
      <c r="M5" s="1" t="n">
        <v>3.89</v>
      </c>
    </row>
    <row r="6">
      <c r="A6" s="1">
        <f>SUM(K6,M6,O6,Q6,S6)</f>
        <v/>
      </c>
      <c r="C6" t="inlineStr">
        <is>
          <t>Publix</t>
        </is>
      </c>
      <c r="D6" t="inlineStr">
        <is>
          <t>NA</t>
        </is>
      </c>
      <c r="E6" t="inlineStr">
        <is>
          <t>Chobani 4Pk Hero Batch</t>
        </is>
      </c>
      <c r="F6" t="inlineStr">
        <is>
          <t>F</t>
        </is>
      </c>
      <c r="G6" t="inlineStr">
        <is>
          <t>1058</t>
        </is>
      </c>
      <c r="H6" t="inlineStr">
        <is>
          <t>Chobani Greek Yogurt 4-Pack, Hero Batch</t>
        </is>
      </c>
      <c r="I6" t="inlineStr">
        <is>
          <t>Yogurt</t>
        </is>
      </c>
      <c r="J6" s="2" t="n">
        <v>46259</v>
      </c>
      <c r="K6" s="1" t="n">
        <v>5.65</v>
      </c>
    </row>
    <row r="7">
      <c r="A7" s="1">
        <f>SUM(K7,M7,O7,Q7,S7)</f>
        <v/>
      </c>
      <c r="C7" t="inlineStr">
        <is>
          <t>Publix</t>
        </is>
      </c>
      <c r="D7" t="inlineStr">
        <is>
          <t>NA</t>
        </is>
      </c>
      <c r="E7" t="inlineStr">
        <is>
          <t>Silk Soy Organic Nsa Hg</t>
        </is>
      </c>
      <c r="F7" t="inlineStr">
        <is>
          <t>F</t>
        </is>
      </c>
      <c r="G7" t="inlineStr">
        <is>
          <t>1058</t>
        </is>
      </c>
      <c r="H7" t="inlineStr">
        <is>
          <t>Silk Organic Unsweet Soymilk, Half Gallon</t>
        </is>
      </c>
      <c r="I7" t="inlineStr">
        <is>
          <t>Plant-Based Milk</t>
        </is>
      </c>
      <c r="J7" s="2" t="n">
        <v>46259</v>
      </c>
      <c r="K7" s="1" t="n">
        <v>6.19</v>
      </c>
      <c r="L7" s="2" t="n">
        <v>46259</v>
      </c>
      <c r="M7" s="1" t="n">
        <v>6.19</v>
      </c>
      <c r="N7" s="2" t="n">
        <v>46259</v>
      </c>
      <c r="O7" s="1" t="n">
        <v>6.19</v>
      </c>
    </row>
    <row r="8">
      <c r="A8" s="1">
        <f>SUM(K8,M8,O8,Q8,S8)</f>
        <v/>
      </c>
      <c r="C8" t="inlineStr">
        <is>
          <t>Publix</t>
        </is>
      </c>
      <c r="D8" t="inlineStr">
        <is>
          <t>NA</t>
        </is>
      </c>
      <c r="E8" t="inlineStr">
        <is>
          <t>Publix Half&amp;Half Hg</t>
        </is>
      </c>
      <c r="F8" t="inlineStr">
        <is>
          <t>F</t>
        </is>
      </c>
      <c r="G8" t="inlineStr">
        <is>
          <t>1058</t>
        </is>
      </c>
      <c r="H8" t="inlineStr">
        <is>
          <t>Publix Half &amp; Half, Half Gallon</t>
        </is>
      </c>
      <c r="I8" t="inlineStr">
        <is>
          <t>Cream &amp; Half-and-Half</t>
        </is>
      </c>
      <c r="J8" s="2" t="n">
        <v>46259</v>
      </c>
      <c r="K8" s="1" t="n">
        <v>5.89</v>
      </c>
    </row>
    <row r="9">
      <c r="A9" s="1">
        <f>SUM(K9,M9,O9,Q9,S9)</f>
        <v/>
      </c>
      <c r="C9" t="inlineStr">
        <is>
          <t>Aldi</t>
        </is>
      </c>
      <c r="D9" t="inlineStr">
        <is>
          <t>383212</t>
        </is>
      </c>
      <c r="E9" t="inlineStr">
        <is>
          <t>GF Wide Pan Bread</t>
        </is>
      </c>
      <c r="F9" t="inlineStr">
        <is>
          <t>NA</t>
        </is>
      </c>
      <c r="G9" t="inlineStr">
        <is>
          <t>160</t>
        </is>
      </c>
      <c r="H9" t="inlineStr">
        <is>
          <t>Gluten-Free Wide Pan Bread</t>
        </is>
      </c>
      <c r="I9" t="inlineStr">
        <is>
          <t>Bread</t>
        </is>
      </c>
      <c r="J9" s="2" t="n">
        <v>46257</v>
      </c>
      <c r="K9" s="1" t="n">
        <v>6.79</v>
      </c>
    </row>
    <row r="10">
      <c r="A10" s="1">
        <f>SUM(K10,M10,O10,Q10,S10)</f>
        <v/>
      </c>
      <c r="C10" t="inlineStr">
        <is>
          <t>Aldi</t>
        </is>
      </c>
      <c r="D10" t="inlineStr">
        <is>
          <t>356691</t>
        </is>
      </c>
      <c r="E10" t="inlineStr">
        <is>
          <t>Zucchini</t>
        </is>
      </c>
      <c r="F10" t="inlineStr">
        <is>
          <t>NA</t>
        </is>
      </c>
      <c r="G10" t="inlineStr">
        <is>
          <t>160</t>
        </is>
      </c>
      <c r="H10" t="inlineStr">
        <is>
          <t>Zucchini</t>
        </is>
      </c>
      <c r="I10" t="inlineStr">
        <is>
          <t>Fresh Vegetables</t>
        </is>
      </c>
      <c r="J10" s="2" t="n">
        <v>46257</v>
      </c>
      <c r="K10" s="1" t="n">
        <v>2.52</v>
      </c>
    </row>
    <row r="11">
      <c r="A11" s="1">
        <f>SUM(K11,M11,O11,Q11,S11)</f>
        <v/>
      </c>
      <c r="C11" t="inlineStr">
        <is>
          <t>Aldi</t>
        </is>
      </c>
      <c r="D11" t="inlineStr">
        <is>
          <t>356689</t>
        </is>
      </c>
      <c r="E11" t="inlineStr">
        <is>
          <t>Yellow Squash</t>
        </is>
      </c>
      <c r="F11" t="inlineStr">
        <is>
          <t>NA</t>
        </is>
      </c>
      <c r="G11" t="inlineStr">
        <is>
          <t>160</t>
        </is>
      </c>
      <c r="H11" t="inlineStr">
        <is>
          <t>Yellow Squash</t>
        </is>
      </c>
      <c r="I11" t="inlineStr">
        <is>
          <t>Fresh Vegetables</t>
        </is>
      </c>
      <c r="J11" s="2" t="n">
        <v>46257</v>
      </c>
      <c r="K11" s="1" t="n">
        <v>2.6</v>
      </c>
    </row>
    <row r="12">
      <c r="A12" s="1">
        <f>SUM(K12,M12,O12,Q12,S12)</f>
        <v/>
      </c>
      <c r="C12" t="inlineStr">
        <is>
          <t>Aldi</t>
        </is>
      </c>
      <c r="D12" t="inlineStr">
        <is>
          <t>356421</t>
        </is>
      </c>
      <c r="E12" t="inlineStr">
        <is>
          <t>Medley Potatoes</t>
        </is>
      </c>
      <c r="F12" t="inlineStr">
        <is>
          <t>NA</t>
        </is>
      </c>
      <c r="G12" t="inlineStr">
        <is>
          <t>160</t>
        </is>
      </c>
      <c r="H12" t="inlineStr">
        <is>
          <t>Medley Potatoes</t>
        </is>
      </c>
      <c r="I12" t="inlineStr">
        <is>
          <t>Fresh Vegetables</t>
        </is>
      </c>
      <c r="J12" s="2" t="n">
        <v>46257</v>
      </c>
      <c r="K12" s="1" t="n">
        <v>3.29</v>
      </c>
    </row>
    <row r="13">
      <c r="A13" s="1">
        <f>SUM(K13,M13,O13,Q13,S13)</f>
        <v/>
      </c>
      <c r="C13" t="inlineStr">
        <is>
          <t>Aldi</t>
        </is>
      </c>
      <c r="D13" t="inlineStr">
        <is>
          <t>356537</t>
        </is>
      </c>
      <c r="E13" t="inlineStr">
        <is>
          <t>Cilantro</t>
        </is>
      </c>
      <c r="F13" t="inlineStr">
        <is>
          <t>NA</t>
        </is>
      </c>
      <c r="G13" t="inlineStr">
        <is>
          <t>160</t>
        </is>
      </c>
      <c r="H13" t="inlineStr">
        <is>
          <t>Cilantro</t>
        </is>
      </c>
      <c r="I13" t="inlineStr">
        <is>
          <t>Fresh Herbs</t>
        </is>
      </c>
      <c r="J13" s="2" t="n">
        <v>46257</v>
      </c>
      <c r="K13" s="1" t="n">
        <v>0.89</v>
      </c>
    </row>
    <row r="14">
      <c r="A14" s="1">
        <f>SUM(K14,M14,O14,Q14,S14)</f>
        <v/>
      </c>
      <c r="C14" t="inlineStr">
        <is>
          <t>Aldi</t>
        </is>
      </c>
      <c r="D14" t="inlineStr">
        <is>
          <t>856508</t>
        </is>
      </c>
      <c r="E14" t="inlineStr">
        <is>
          <t>Broccoli Crowns</t>
        </is>
      </c>
      <c r="F14" t="inlineStr">
        <is>
          <t>NA</t>
        </is>
      </c>
      <c r="G14" t="inlineStr">
        <is>
          <t>160</t>
        </is>
      </c>
      <c r="H14" t="inlineStr">
        <is>
          <t>Broccoli Crowns</t>
        </is>
      </c>
      <c r="I14" t="inlineStr">
        <is>
          <t>Fresh Vegetables</t>
        </is>
      </c>
      <c r="J14" s="2" t="n">
        <v>46257</v>
      </c>
      <c r="K14" s="1" t="n">
        <v>3.41</v>
      </c>
    </row>
    <row r="15">
      <c r="A15" s="1">
        <f>SUM(K15,M15,O15,Q15,S15)</f>
        <v/>
      </c>
      <c r="C15" t="inlineStr">
        <is>
          <t>Aldi</t>
        </is>
      </c>
      <c r="D15" t="inlineStr">
        <is>
          <t>356496</t>
        </is>
      </c>
      <c r="E15" t="inlineStr">
        <is>
          <t>Beefsteak Tomatoes</t>
        </is>
      </c>
      <c r="F15" t="inlineStr">
        <is>
          <t>NA</t>
        </is>
      </c>
      <c r="G15" t="inlineStr">
        <is>
          <t>160</t>
        </is>
      </c>
      <c r="H15" t="inlineStr">
        <is>
          <t>Beefsteak Tomatoes</t>
        </is>
      </c>
      <c r="I15" t="inlineStr">
        <is>
          <t>Fresh Vegetables</t>
        </is>
      </c>
      <c r="J15" s="2" t="n">
        <v>46257</v>
      </c>
      <c r="K15" s="1" t="n">
        <v>2.99</v>
      </c>
    </row>
    <row r="16">
      <c r="A16" s="1">
        <f>SUM(K16,M16,O16,Q16,S16)</f>
        <v/>
      </c>
      <c r="C16" t="inlineStr">
        <is>
          <t>Aldi</t>
        </is>
      </c>
      <c r="D16" t="inlineStr">
        <is>
          <t>344280</t>
        </is>
      </c>
      <c r="E16" t="inlineStr">
        <is>
          <t>Cauli Crust Pizza</t>
        </is>
      </c>
      <c r="F16" t="inlineStr">
        <is>
          <t>NA</t>
        </is>
      </c>
      <c r="G16" t="inlineStr">
        <is>
          <t>160</t>
        </is>
      </c>
      <c r="H16" t="inlineStr">
        <is>
          <t>Cauliflower Crust Pizza</t>
        </is>
      </c>
      <c r="I16" t="inlineStr">
        <is>
          <t>Frozen Pizza</t>
        </is>
      </c>
      <c r="J16" s="2" t="n">
        <v>46257</v>
      </c>
      <c r="K16" s="1" t="n">
        <v>8.289999999999999</v>
      </c>
    </row>
    <row r="17">
      <c r="A17" s="1">
        <f>SUM(K17,M17,O17,Q17,S17)</f>
        <v/>
      </c>
      <c r="C17" t="inlineStr">
        <is>
          <t>Aldi</t>
        </is>
      </c>
      <c r="D17" t="inlineStr">
        <is>
          <t>356427</t>
        </is>
      </c>
      <c r="E17" t="inlineStr">
        <is>
          <t>Multi-Peppers 3pk</t>
        </is>
      </c>
      <c r="F17" t="inlineStr">
        <is>
          <t>NA</t>
        </is>
      </c>
      <c r="G17" t="inlineStr">
        <is>
          <t>160</t>
        </is>
      </c>
      <c r="H17" t="inlineStr">
        <is>
          <t>Multi-Color Peppers, 3-Pack</t>
        </is>
      </c>
      <c r="I17" t="inlineStr">
        <is>
          <t>Fresh Vegetables</t>
        </is>
      </c>
      <c r="J17" s="2" t="n">
        <v>46257</v>
      </c>
      <c r="K17" s="1" t="n">
        <v>2.69</v>
      </c>
    </row>
    <row r="18">
      <c r="A18" s="1">
        <f>SUM(K18,M18,O18,Q18,S18)</f>
        <v/>
      </c>
      <c r="C18" t="inlineStr">
        <is>
          <t>Aldi</t>
        </is>
      </c>
      <c r="D18" t="inlineStr">
        <is>
          <t>356591</t>
        </is>
      </c>
      <c r="E18" t="inlineStr">
        <is>
          <t>Pink Lady Apple</t>
        </is>
      </c>
      <c r="F18" t="inlineStr">
        <is>
          <t>NA</t>
        </is>
      </c>
      <c r="G18" t="inlineStr">
        <is>
          <t>160</t>
        </is>
      </c>
      <c r="H18" t="inlineStr">
        <is>
          <t>Pink Lady Apples</t>
        </is>
      </c>
      <c r="I18" t="inlineStr">
        <is>
          <t>Fresh Fruit</t>
        </is>
      </c>
      <c r="J18" s="2" t="n">
        <v>46257</v>
      </c>
      <c r="K18" s="1" t="n">
        <v>3.69</v>
      </c>
    </row>
    <row r="19">
      <c r="A19" s="1">
        <f>SUM(K19,M19,O19,Q19,S19)</f>
        <v/>
      </c>
      <c r="C19" t="inlineStr">
        <is>
          <t>Aldi</t>
        </is>
      </c>
      <c r="D19" t="inlineStr">
        <is>
          <t>356488</t>
        </is>
      </c>
      <c r="E19" t="inlineStr">
        <is>
          <t>Baby Carrots</t>
        </is>
      </c>
      <c r="F19" t="inlineStr">
        <is>
          <t>NA</t>
        </is>
      </c>
      <c r="G19" t="inlineStr">
        <is>
          <t>160</t>
        </is>
      </c>
      <c r="H19" t="inlineStr">
        <is>
          <t>Baby Carrots</t>
        </is>
      </c>
      <c r="I19" t="inlineStr">
        <is>
          <t>Fresh Vegetables</t>
        </is>
      </c>
      <c r="J19" s="2" t="n">
        <v>46257</v>
      </c>
      <c r="K19" s="1" t="n">
        <v>1.29</v>
      </c>
    </row>
    <row r="20">
      <c r="A20" s="1">
        <f>SUM(K20,M20,O20,Q20,S20)</f>
        <v/>
      </c>
      <c r="C20" t="inlineStr">
        <is>
          <t>Aldi</t>
        </is>
      </c>
      <c r="D20" t="inlineStr">
        <is>
          <t>341979</t>
        </is>
      </c>
      <c r="E20" t="inlineStr">
        <is>
          <t>Pine/Water Spears</t>
        </is>
      </c>
      <c r="F20" t="inlineStr">
        <is>
          <t>NA</t>
        </is>
      </c>
      <c r="G20" t="inlineStr">
        <is>
          <t>160</t>
        </is>
      </c>
      <c r="H20" t="inlineStr">
        <is>
          <t>Pineapple &amp; Watermelon Spears</t>
        </is>
      </c>
      <c r="I20" t="inlineStr">
        <is>
          <t>Fresh-Cut Fruit</t>
        </is>
      </c>
      <c r="J20" s="2" t="n">
        <v>46257</v>
      </c>
      <c r="K20" s="1" t="n">
        <v>3.89</v>
      </c>
    </row>
    <row r="21">
      <c r="A21" s="1">
        <f>SUM(K21,M21,O21,Q21,S21)</f>
        <v/>
      </c>
      <c r="C21" t="inlineStr">
        <is>
          <t>Aldi</t>
        </is>
      </c>
      <c r="D21" t="inlineStr">
        <is>
          <t>356504</t>
        </is>
      </c>
      <c r="E21" t="inlineStr">
        <is>
          <t>Blueberries</t>
        </is>
      </c>
      <c r="F21" t="inlineStr">
        <is>
          <t>NA</t>
        </is>
      </c>
      <c r="G21" t="inlineStr">
        <is>
          <t>160</t>
        </is>
      </c>
      <c r="H21" t="inlineStr">
        <is>
          <t>Blueberries</t>
        </is>
      </c>
      <c r="I21" t="inlineStr">
        <is>
          <t>Fresh Fruit</t>
        </is>
      </c>
      <c r="J21" s="2" t="n">
        <v>46257</v>
      </c>
      <c r="K21" s="1" t="n">
        <v>2.59</v>
      </c>
    </row>
    <row r="22">
      <c r="A22" s="1">
        <f>SUM(K22,M22,O22,Q22,S22)</f>
        <v/>
      </c>
      <c r="C22" t="inlineStr">
        <is>
          <t>Aldi</t>
        </is>
      </c>
      <c r="D22" t="inlineStr">
        <is>
          <t>356374</t>
        </is>
      </c>
      <c r="E22" t="inlineStr">
        <is>
          <t>Golden Kiwi</t>
        </is>
      </c>
      <c r="F22" t="inlineStr">
        <is>
          <t>NA</t>
        </is>
      </c>
      <c r="G22" t="inlineStr">
        <is>
          <t>160</t>
        </is>
      </c>
      <c r="H22" t="inlineStr">
        <is>
          <t>Golden Kiwi</t>
        </is>
      </c>
      <c r="I22" t="inlineStr">
        <is>
          <t>Fresh Fruit</t>
        </is>
      </c>
      <c r="J22" s="2" t="n">
        <v>46257</v>
      </c>
      <c r="K22" s="1" t="n">
        <v>4.39</v>
      </c>
    </row>
    <row r="23">
      <c r="A23" s="1">
        <f>SUM(K23,M23,O23,Q23,S23)</f>
        <v/>
      </c>
      <c r="C23" t="inlineStr">
        <is>
          <t>Aldi</t>
        </is>
      </c>
      <c r="D23" t="inlineStr">
        <is>
          <t>343738</t>
        </is>
      </c>
      <c r="E23" t="inlineStr">
        <is>
          <t>Humus Mini Cups</t>
        </is>
      </c>
      <c r="F23" t="inlineStr">
        <is>
          <t>NA</t>
        </is>
      </c>
      <c r="G23" t="inlineStr">
        <is>
          <t>160</t>
        </is>
      </c>
      <c r="H23" t="inlineStr">
        <is>
          <t>Hummus Mini Cups</t>
        </is>
      </c>
      <c r="I23" t="inlineStr">
        <is>
          <t>Dips &amp; Spreads</t>
        </is>
      </c>
      <c r="J23" s="2" t="n">
        <v>46257</v>
      </c>
      <c r="K23" s="1" t="n">
        <v>3.45</v>
      </c>
    </row>
    <row r="24">
      <c r="A24" s="1">
        <f>SUM(K24,M24,O24,Q24,S24)</f>
        <v/>
      </c>
      <c r="C24" t="inlineStr">
        <is>
          <t>Aldi</t>
        </is>
      </c>
      <c r="D24" t="inlineStr">
        <is>
          <t>NA</t>
        </is>
      </c>
      <c r="E24" t="inlineStr">
        <is>
          <t>LesserEvil Popcorn</t>
        </is>
      </c>
      <c r="F24" t="inlineStr">
        <is>
          <t>NA</t>
        </is>
      </c>
      <c r="G24" t="inlineStr">
        <is>
          <t>160</t>
        </is>
      </c>
      <c r="H24" t="inlineStr">
        <is>
          <t>LesserEvil Popcorn</t>
        </is>
      </c>
      <c r="I24" t="inlineStr">
        <is>
          <t>Popcorn</t>
        </is>
      </c>
      <c r="J24" s="2" t="n">
        <v>46257</v>
      </c>
      <c r="K24" s="1" t="n">
        <v>2.39</v>
      </c>
    </row>
    <row r="25">
      <c r="A25" s="1">
        <f>SUM(K25,M25,O25,Q25,S25)</f>
        <v/>
      </c>
      <c r="C25" t="inlineStr">
        <is>
          <t>Aldi</t>
        </is>
      </c>
      <c r="D25" t="inlineStr">
        <is>
          <t>262747</t>
        </is>
      </c>
      <c r="E25" t="inlineStr">
        <is>
          <t>Bananas LRW</t>
        </is>
      </c>
      <c r="F25" t="inlineStr">
        <is>
          <t>NA</t>
        </is>
      </c>
      <c r="G25" t="inlineStr">
        <is>
          <t>160</t>
        </is>
      </c>
      <c r="H25" t="inlineStr">
        <is>
          <t>Bananas</t>
        </is>
      </c>
      <c r="I25" t="inlineStr">
        <is>
          <t>Fresh Fruit</t>
        </is>
      </c>
      <c r="J25" s="2" t="n">
        <v>46257</v>
      </c>
      <c r="K25" s="1" t="n">
        <v>1.31</v>
      </c>
    </row>
    <row r="26">
      <c r="A26" s="1">
        <f>SUM(K26,M26,O26,Q26,S26)</f>
        <v/>
      </c>
      <c r="C26" t="inlineStr">
        <is>
          <t>Aldi</t>
        </is>
      </c>
      <c r="D26" t="inlineStr">
        <is>
          <t>328752</t>
        </is>
      </c>
      <c r="E26" t="inlineStr">
        <is>
          <t>Fruit &amp; Grain Bars</t>
        </is>
      </c>
      <c r="F26" t="inlineStr">
        <is>
          <t>NA</t>
        </is>
      </c>
      <c r="G26" t="inlineStr">
        <is>
          <t>160</t>
        </is>
      </c>
      <c r="H26" t="inlineStr">
        <is>
          <t>Fruit &amp; Grain Bars</t>
        </is>
      </c>
      <c r="I26" t="inlineStr">
        <is>
          <t>Snack Bars</t>
        </is>
      </c>
      <c r="J26" s="2" t="n">
        <v>46257</v>
      </c>
      <c r="K26" s="1" t="n">
        <v>1.99</v>
      </c>
      <c r="L26" s="2" t="n">
        <v>46257</v>
      </c>
      <c r="M26" s="1" t="n">
        <v>1.99</v>
      </c>
    </row>
    <row r="27">
      <c r="A27" s="1">
        <f>SUM(K27,M27,O27,Q27,S27)</f>
        <v/>
      </c>
      <c r="C27" t="inlineStr">
        <is>
          <t>Aldi</t>
        </is>
      </c>
      <c r="D27" t="inlineStr">
        <is>
          <t>856609</t>
        </is>
      </c>
      <c r="E27" t="inlineStr">
        <is>
          <t>Red Onions</t>
        </is>
      </c>
      <c r="F27" t="inlineStr">
        <is>
          <t>NA</t>
        </is>
      </c>
      <c r="G27" t="inlineStr">
        <is>
          <t>160</t>
        </is>
      </c>
      <c r="H27" t="inlineStr">
        <is>
          <t>Red Onions</t>
        </is>
      </c>
      <c r="I27" t="inlineStr">
        <is>
          <t>Fresh Vegetables</t>
        </is>
      </c>
      <c r="J27" s="2" t="n">
        <v>46257</v>
      </c>
      <c r="K27" s="1" t="n">
        <v>2.49</v>
      </c>
    </row>
    <row r="28">
      <c r="A28" s="1">
        <f>SUM(K28,M28,O28,Q28,S28)</f>
        <v/>
      </c>
      <c r="C28" t="inlineStr">
        <is>
          <t>Aldi</t>
        </is>
      </c>
      <c r="D28" t="inlineStr">
        <is>
          <t>739153</t>
        </is>
      </c>
      <c r="E28" t="inlineStr">
        <is>
          <t>Organic Chickpeas</t>
        </is>
      </c>
      <c r="F28" t="inlineStr">
        <is>
          <t>NA</t>
        </is>
      </c>
      <c r="G28" t="inlineStr">
        <is>
          <t>160</t>
        </is>
      </c>
      <c r="H28" t="inlineStr">
        <is>
          <t>Organic Chickpeas</t>
        </is>
      </c>
      <c r="I28" t="inlineStr">
        <is>
          <t>Canned Beans &amp; Legumes</t>
        </is>
      </c>
      <c r="J28" s="2" t="n">
        <v>46257</v>
      </c>
      <c r="K28" s="1" t="n">
        <v>0.99</v>
      </c>
      <c r="L28" s="2" t="n">
        <v>46257</v>
      </c>
      <c r="M28" s="1" t="n">
        <v>0.99</v>
      </c>
    </row>
    <row r="29">
      <c r="A29" s="1">
        <f>SUM(K29,M29,O29,Q29,S29)</f>
        <v/>
      </c>
      <c r="C29" t="inlineStr">
        <is>
          <t>Aldi</t>
        </is>
      </c>
      <c r="D29" t="inlineStr">
        <is>
          <t>381343</t>
        </is>
      </c>
      <c r="E29" t="inlineStr">
        <is>
          <t>Dark Red Kidney</t>
        </is>
      </c>
      <c r="F29" t="inlineStr">
        <is>
          <t>NA</t>
        </is>
      </c>
      <c r="G29" t="inlineStr">
        <is>
          <t>160</t>
        </is>
      </c>
      <c r="H29" t="inlineStr">
        <is>
          <t>Dark Red Kidney Beans</t>
        </is>
      </c>
      <c r="I29" t="inlineStr">
        <is>
          <t>Canned Beans &amp; Legumes</t>
        </is>
      </c>
      <c r="J29" s="2" t="n">
        <v>46257</v>
      </c>
      <c r="K29" s="1" t="n">
        <v>0.85</v>
      </c>
      <c r="L29" s="2" t="n">
        <v>46257</v>
      </c>
      <c r="M29" s="1" t="n">
        <v>0.85</v>
      </c>
    </row>
    <row r="30">
      <c r="A30" s="1">
        <f>SUM(K30,M30,O30,Q30,S30)</f>
        <v/>
      </c>
      <c r="C30" t="inlineStr">
        <is>
          <t>Aldi</t>
        </is>
      </c>
      <c r="D30" t="inlineStr">
        <is>
          <t>381359</t>
        </is>
      </c>
      <c r="E30" t="inlineStr">
        <is>
          <t>Vinaigrette Drssng</t>
        </is>
      </c>
      <c r="F30" t="inlineStr">
        <is>
          <t>NA</t>
        </is>
      </c>
      <c r="G30" t="inlineStr">
        <is>
          <t>160</t>
        </is>
      </c>
      <c r="H30" t="inlineStr">
        <is>
          <t>Vinaigrette Dressing</t>
        </is>
      </c>
      <c r="I30" t="inlineStr">
        <is>
          <t>Salad Dressing</t>
        </is>
      </c>
      <c r="J30" s="2" t="n">
        <v>46257</v>
      </c>
      <c r="K30" s="1" t="n">
        <v>2.99</v>
      </c>
    </row>
    <row r="31">
      <c r="A31" s="1">
        <f>SUM(K31,M31,O31,Q31,S31)</f>
        <v/>
      </c>
      <c r="C31" t="inlineStr">
        <is>
          <t>Aldi</t>
        </is>
      </c>
      <c r="D31" t="inlineStr">
        <is>
          <t>356578</t>
        </is>
      </c>
      <c r="E31" t="inlineStr">
        <is>
          <t>Parsley each</t>
        </is>
      </c>
      <c r="F31" t="inlineStr">
        <is>
          <t>NA</t>
        </is>
      </c>
      <c r="G31" t="inlineStr">
        <is>
          <t>160</t>
        </is>
      </c>
      <c r="H31" t="inlineStr">
        <is>
          <t>Parsley</t>
        </is>
      </c>
      <c r="I31" t="inlineStr">
        <is>
          <t>Fresh Herbs</t>
        </is>
      </c>
      <c r="J31" s="2" t="n">
        <v>46257</v>
      </c>
      <c r="K31" s="1" t="n">
        <v>0.95</v>
      </c>
    </row>
    <row r="32">
      <c r="A32" s="1">
        <f>SUM(K32,M32,O32,Q32,S32)</f>
        <v/>
      </c>
      <c r="C32" t="inlineStr">
        <is>
          <t>Aldi</t>
        </is>
      </c>
      <c r="D32" t="inlineStr">
        <is>
          <t>400462</t>
        </is>
      </c>
      <c r="E32" t="inlineStr">
        <is>
          <t>OG Croutons</t>
        </is>
      </c>
      <c r="F32" t="inlineStr">
        <is>
          <t>NA</t>
        </is>
      </c>
      <c r="G32" t="inlineStr">
        <is>
          <t>160</t>
        </is>
      </c>
      <c r="H32" t="inlineStr">
        <is>
          <t>Organic Croutons</t>
        </is>
      </c>
      <c r="I32" t="inlineStr">
        <is>
          <t>Croutons</t>
        </is>
      </c>
      <c r="J32" s="2" t="n">
        <v>46257</v>
      </c>
      <c r="K32" s="1" t="n">
        <v>1.99</v>
      </c>
    </row>
    <row r="33">
      <c r="A33" s="1">
        <f>SUM(K33,M33,O33,Q33,S33)</f>
        <v/>
      </c>
      <c r="C33" t="inlineStr">
        <is>
          <t>Aldi</t>
        </is>
      </c>
      <c r="D33" t="inlineStr">
        <is>
          <t>344583</t>
        </is>
      </c>
      <c r="E33" t="inlineStr">
        <is>
          <t>Evryd Plate 8.5in</t>
        </is>
      </c>
      <c r="F33" t="inlineStr">
        <is>
          <t>NA</t>
        </is>
      </c>
      <c r="G33" t="inlineStr">
        <is>
          <t>160</t>
        </is>
      </c>
      <c r="H33" t="inlineStr">
        <is>
          <t>Everyday Paper Plates, 8.5 Inch</t>
        </is>
      </c>
      <c r="I33" t="inlineStr">
        <is>
          <t>Disposable Tableware</t>
        </is>
      </c>
      <c r="J33" s="2" t="n">
        <v>46257</v>
      </c>
      <c r="K33" s="1" t="n">
        <v>5.25</v>
      </c>
    </row>
    <row r="34">
      <c r="A34" s="1">
        <f>SUM(K34,M34,O34,Q34,S34)</f>
        <v/>
      </c>
      <c r="C34" t="inlineStr">
        <is>
          <t>Aldi</t>
        </is>
      </c>
      <c r="D34" t="inlineStr">
        <is>
          <t>384545</t>
        </is>
      </c>
      <c r="E34" t="inlineStr">
        <is>
          <t>NO Honey Wheat Brd</t>
        </is>
      </c>
      <c r="F34" t="inlineStr">
        <is>
          <t>NA</t>
        </is>
      </c>
      <c r="G34" t="inlineStr">
        <is>
          <t>160</t>
        </is>
      </c>
      <c r="H34" t="inlineStr">
        <is>
          <t>No [or possibly Nature's Own] Honey Wheat Bread</t>
        </is>
      </c>
      <c r="I34" t="inlineStr">
        <is>
          <t>Bread</t>
        </is>
      </c>
      <c r="J34" s="2" t="n">
        <v>46257</v>
      </c>
      <c r="K34" s="1" t="n">
        <v>3.37</v>
      </c>
    </row>
    <row r="35">
      <c r="A35" s="1">
        <f>SUM(K35,M35,O35,Q35,S35)</f>
        <v/>
      </c>
      <c r="C35" t="inlineStr">
        <is>
          <t>Aldi</t>
        </is>
      </c>
      <c r="D35" t="inlineStr">
        <is>
          <t>730325</t>
        </is>
      </c>
      <c r="E35" t="inlineStr">
        <is>
          <t>3pk_Gel Pens</t>
        </is>
      </c>
      <c r="F35" t="inlineStr">
        <is>
          <t>NA</t>
        </is>
      </c>
      <c r="G35" t="inlineStr">
        <is>
          <t>160</t>
        </is>
      </c>
      <c r="H35" t="inlineStr">
        <is>
          <t>Gel Pens, 3-Pack</t>
        </is>
      </c>
      <c r="I35" t="inlineStr">
        <is>
          <t>Writing Supplies</t>
        </is>
      </c>
      <c r="J35" s="2" t="n">
        <v>46257</v>
      </c>
      <c r="K35" s="1" t="n">
        <v>5.99</v>
      </c>
    </row>
    <row r="36">
      <c r="A36" s="1">
        <f>SUM(K36,M36,O36,Q36,S36)</f>
        <v/>
      </c>
      <c r="C36" t="inlineStr">
        <is>
          <t>Aldi</t>
        </is>
      </c>
      <c r="D36" t="inlineStr">
        <is>
          <t>720921</t>
        </is>
      </c>
      <c r="E36" t="inlineStr">
        <is>
          <t>PB Toast Crackers FA</t>
        </is>
      </c>
      <c r="F36" t="inlineStr">
        <is>
          <t>NA</t>
        </is>
      </c>
      <c r="G36" t="inlineStr">
        <is>
          <t>160</t>
        </is>
      </c>
      <c r="H36" t="inlineStr">
        <is>
          <t>Peanut Butter Toast Crackers</t>
        </is>
      </c>
      <c r="I36" t="inlineStr">
        <is>
          <t>Crackers</t>
        </is>
      </c>
      <c r="J36" s="2" t="n">
        <v>46257</v>
      </c>
      <c r="K36" s="1" t="n">
        <v>2.79</v>
      </c>
    </row>
    <row r="37">
      <c r="A37" s="1">
        <f>SUM(K37,M37,O37,Q37,S37)</f>
        <v/>
      </c>
      <c r="C37" t="inlineStr">
        <is>
          <t>Aldi</t>
        </is>
      </c>
      <c r="D37" t="inlineStr">
        <is>
          <t>383548</t>
        </is>
      </c>
      <c r="E37" t="inlineStr">
        <is>
          <t>Goat Cheese Logs</t>
        </is>
      </c>
      <c r="F37" t="inlineStr">
        <is>
          <t>NA</t>
        </is>
      </c>
      <c r="G37" t="inlineStr">
        <is>
          <t>160</t>
        </is>
      </c>
      <c r="H37" t="inlineStr">
        <is>
          <t>Goat Cheese Logs</t>
        </is>
      </c>
      <c r="I37" t="inlineStr">
        <is>
          <t>Specialty Cheese</t>
        </is>
      </c>
      <c r="J37" s="2" t="n">
        <v>46257</v>
      </c>
      <c r="K37" s="1" t="n">
        <v>1.99</v>
      </c>
    </row>
    <row r="38">
      <c r="A38" s="1">
        <f>SUM(K38,M38,O38,Q38,S38)</f>
        <v/>
      </c>
      <c r="C38" t="inlineStr">
        <is>
          <t>Aldi</t>
        </is>
      </c>
      <c r="D38" t="inlineStr">
        <is>
          <t>713372</t>
        </is>
      </c>
      <c r="E38" t="inlineStr">
        <is>
          <t>Feta Crumbles</t>
        </is>
      </c>
      <c r="F38" t="inlineStr">
        <is>
          <t>NA</t>
        </is>
      </c>
      <c r="G38" t="inlineStr">
        <is>
          <t>160</t>
        </is>
      </c>
      <c r="H38" t="inlineStr">
        <is>
          <t>Feta Cheese Crumbles</t>
        </is>
      </c>
      <c r="I38" t="inlineStr">
        <is>
          <t>Specialty Cheese</t>
        </is>
      </c>
      <c r="J38" s="2" t="n">
        <v>46257</v>
      </c>
      <c r="K38" s="1" t="n">
        <v>2.89</v>
      </c>
    </row>
    <row r="39">
      <c r="A39" s="1">
        <f>SUM(K39,M39,O39,Q39,S39)</f>
        <v/>
      </c>
      <c r="C39" t="inlineStr">
        <is>
          <t>Aldi</t>
        </is>
      </c>
      <c r="D39" t="inlineStr">
        <is>
          <t>NA</t>
        </is>
      </c>
      <c r="E39" t="inlineStr">
        <is>
          <t>CollapsibleStorage</t>
        </is>
      </c>
      <c r="F39" t="inlineStr">
        <is>
          <t>NA</t>
        </is>
      </c>
      <c r="G39" t="inlineStr">
        <is>
          <t>160</t>
        </is>
      </c>
      <c r="H39" t="inlineStr">
        <is>
          <t>Collapsible Storage Container/Bin</t>
        </is>
      </c>
      <c r="I39" t="inlineStr">
        <is>
          <t>Storage &amp; Organization</t>
        </is>
      </c>
      <c r="J39" s="2" t="n">
        <v>46257</v>
      </c>
      <c r="K39" s="1" t="n">
        <v>5.99</v>
      </c>
    </row>
    <row r="40">
      <c r="A40" s="1">
        <f>SUM(K40,M40,O40,Q40,S40)</f>
        <v/>
      </c>
      <c r="C40" t="inlineStr">
        <is>
          <t>Trader Joe's</t>
        </is>
      </c>
      <c r="D40" t="inlineStr">
        <is>
          <t>NA</t>
        </is>
      </c>
      <c r="E40" t="inlineStr">
        <is>
          <t>EMPIRE KOSHER GROUND TRK</t>
        </is>
      </c>
      <c r="F40" t="inlineStr">
        <is>
          <t>NA</t>
        </is>
      </c>
      <c r="G40" t="inlineStr">
        <is>
          <t>0848</t>
        </is>
      </c>
      <c r="H40" t="inlineStr">
        <is>
          <t>Empire Kosher Ground Turkey</t>
        </is>
      </c>
      <c r="I40" t="inlineStr">
        <is>
          <t>Fresh Poultry</t>
        </is>
      </c>
      <c r="J40" s="2" t="n">
        <v>46258</v>
      </c>
      <c r="K40" s="1" t="n">
        <v>6.99</v>
      </c>
      <c r="L40" s="2" t="n">
        <v>46258</v>
      </c>
      <c r="M40" s="1" t="n">
        <v>6.99</v>
      </c>
    </row>
    <row r="41">
      <c r="A41" s="1">
        <f>SUM(K41,M41,O41,Q41,S41)</f>
        <v/>
      </c>
      <c r="C41" t="inlineStr">
        <is>
          <t>Trader Joe's</t>
        </is>
      </c>
      <c r="D41" t="inlineStr">
        <is>
          <t>NA</t>
        </is>
      </c>
      <c r="E41" t="inlineStr">
        <is>
          <t>R-STRAWBERRIES 1 LB</t>
        </is>
      </c>
      <c r="F41" t="inlineStr">
        <is>
          <t>NA</t>
        </is>
      </c>
      <c r="G41" t="inlineStr">
        <is>
          <t>0848</t>
        </is>
      </c>
      <c r="H41" t="inlineStr">
        <is>
          <t>Strawberries, 1 lb</t>
        </is>
      </c>
      <c r="I41" t="inlineStr">
        <is>
          <t>Fresh Fruit</t>
        </is>
      </c>
      <c r="J41" s="2" t="n">
        <v>46258</v>
      </c>
      <c r="K41" s="1" t="n">
        <v>3.99</v>
      </c>
    </row>
    <row r="42">
      <c r="A42" s="1">
        <f>SUM(K42,M42,O42,Q42,S42)</f>
        <v/>
      </c>
      <c r="C42" t="inlineStr">
        <is>
          <t>Trader Joe's</t>
        </is>
      </c>
      <c r="D42" t="inlineStr">
        <is>
          <t>NA</t>
        </is>
      </c>
      <c r="E42" t="inlineStr">
        <is>
          <t>FIRE ROASTED RED PEPPERS</t>
        </is>
      </c>
      <c r="F42" t="inlineStr">
        <is>
          <t>NA</t>
        </is>
      </c>
      <c r="G42" t="inlineStr">
        <is>
          <t>0848</t>
        </is>
      </c>
      <c r="H42" t="inlineStr">
        <is>
          <t>Fire Roasted Red Peppers</t>
        </is>
      </c>
      <c r="I42" t="inlineStr">
        <is>
          <t>Jarred Vegetables</t>
        </is>
      </c>
      <c r="J42" s="2" t="n">
        <v>46258</v>
      </c>
      <c r="K42" s="1" t="n">
        <v>3.29</v>
      </c>
    </row>
    <row r="43">
      <c r="A43" s="1">
        <f>SUM(K43,M43,O43,Q43,S43)</f>
        <v/>
      </c>
      <c r="C43" t="inlineStr">
        <is>
          <t>Trader Joe's</t>
        </is>
      </c>
      <c r="D43" t="inlineStr">
        <is>
          <t>NA</t>
        </is>
      </c>
      <c r="E43" t="inlineStr">
        <is>
          <t>PASTA CHICKPEA FUSILLI</t>
        </is>
      </c>
      <c r="F43" t="inlineStr">
        <is>
          <t>NA</t>
        </is>
      </c>
      <c r="G43" t="inlineStr">
        <is>
          <t>0848</t>
        </is>
      </c>
      <c r="H43" t="inlineStr">
        <is>
          <t>Chickpea Fusilli Pasta</t>
        </is>
      </c>
      <c r="I43" t="inlineStr">
        <is>
          <t>Pasta</t>
        </is>
      </c>
      <c r="J43" s="2" t="n">
        <v>46258</v>
      </c>
      <c r="K43" s="1" t="n">
        <v>2.99</v>
      </c>
    </row>
    <row r="44">
      <c r="A44" s="1">
        <f>SUM(K44,M44,O44,Q44,S44)</f>
        <v/>
      </c>
      <c r="C44" t="inlineStr">
        <is>
          <t>Trader Joe's</t>
        </is>
      </c>
      <c r="D44" t="inlineStr">
        <is>
          <t>NA</t>
        </is>
      </c>
      <c r="E44" t="inlineStr">
        <is>
          <t>MUFFIN BLUEBERRY GLUTEN</t>
        </is>
      </c>
      <c r="F44" t="inlineStr">
        <is>
          <t>NA</t>
        </is>
      </c>
      <c r="G44" t="inlineStr">
        <is>
          <t>0848</t>
        </is>
      </c>
      <c r="H44" t="inlineStr">
        <is>
          <t>Gluten-Free Blueberry Muffins</t>
        </is>
      </c>
      <c r="I44" t="inlineStr">
        <is>
          <t>Muffins &amp; Pastries</t>
        </is>
      </c>
      <c r="J44" s="2" t="n">
        <v>46258</v>
      </c>
      <c r="K44" s="1" t="n">
        <v>5.99</v>
      </c>
    </row>
    <row r="45">
      <c r="A45" s="1">
        <f>SUM(K45,M45,O45,Q45,S45)</f>
        <v/>
      </c>
      <c r="C45" t="inlineStr">
        <is>
          <t>Honey Pineapple</t>
        </is>
      </c>
      <c r="D45" t="inlineStr">
        <is>
          <t>NA</t>
        </is>
      </c>
      <c r="E45" t="inlineStr">
        <is>
          <t>1 Caramel Macchiato</t>
        </is>
      </c>
      <c r="F45" t="inlineStr">
        <is>
          <t>NA</t>
        </is>
      </c>
      <c r="G45" t="inlineStr">
        <is>
          <t>NA</t>
        </is>
      </c>
      <c r="H45" t="inlineStr">
        <is>
          <t>1 Caramel Macchiato</t>
        </is>
      </c>
      <c r="I45" t="inlineStr">
        <is>
          <t>Prepared Coffee</t>
        </is>
      </c>
      <c r="J45" s="2" t="n">
        <v>46261</v>
      </c>
      <c r="K45" s="1" t="n">
        <v>5.5</v>
      </c>
    </row>
    <row r="46">
      <c r="A46" s="1">
        <f>SUM(K46,M46,O46,Q46,S46)</f>
        <v/>
      </c>
      <c r="C46" t="inlineStr">
        <is>
          <t>Honey Pineapple</t>
        </is>
      </c>
      <c r="D46" t="inlineStr">
        <is>
          <t>NA</t>
        </is>
      </c>
      <c r="E46" t="inlineStr">
        <is>
          <t>1 Iced Caramel Macchiato</t>
        </is>
      </c>
      <c r="F46" t="inlineStr">
        <is>
          <t>NA</t>
        </is>
      </c>
      <c r="G46" t="inlineStr">
        <is>
          <t>NA</t>
        </is>
      </c>
      <c r="H46" t="inlineStr">
        <is>
          <t>1 Iced Caramel Macchiato</t>
        </is>
      </c>
      <c r="I46" t="inlineStr">
        <is>
          <t>Prepared Coffee</t>
        </is>
      </c>
      <c r="J46" s="2" t="n">
        <v>46261</v>
      </c>
      <c r="K46" s="1" t="n">
        <v>5.5</v>
      </c>
    </row>
    <row r="47">
      <c r="A47" s="1">
        <f>SUM(K47,M47,O47,Q47,S47)</f>
        <v/>
      </c>
      <c r="C47" t="inlineStr">
        <is>
          <t>Honey Pineapple</t>
        </is>
      </c>
      <c r="D47" t="inlineStr">
        <is>
          <t>NA</t>
        </is>
      </c>
      <c r="E47" t="inlineStr">
        <is>
          <t>1 Frenchy Plate</t>
        </is>
      </c>
      <c r="F47" t="inlineStr">
        <is>
          <t>LF</t>
        </is>
      </c>
      <c r="G47" t="inlineStr">
        <is>
          <t>NA</t>
        </is>
      </c>
      <c r="H47" t="inlineStr">
        <is>
          <t>1 Frenchy Plate</t>
        </is>
      </c>
      <c r="I47" t="inlineStr">
        <is>
          <t>Prepared Meals</t>
        </is>
      </c>
      <c r="J47" s="2" t="n">
        <v>46261</v>
      </c>
      <c r="K47" s="1" t="n">
        <v>14.9</v>
      </c>
    </row>
    <row r="48">
      <c r="A48" s="1">
        <f>SUM(K48,M48,O48,Q48,S48)</f>
        <v/>
      </c>
      <c r="C48" t="inlineStr">
        <is>
          <t>Honey Pineapple</t>
        </is>
      </c>
      <c r="D48" t="inlineStr">
        <is>
          <t>NA</t>
        </is>
      </c>
      <c r="E48" t="inlineStr">
        <is>
          <t>1 Chicken N French Toast</t>
        </is>
      </c>
      <c r="F48" t="inlineStr">
        <is>
          <t>T</t>
        </is>
      </c>
      <c r="G48" t="inlineStr">
        <is>
          <t>NA</t>
        </is>
      </c>
      <c r="H48" t="inlineStr">
        <is>
          <t>1 Chicken N French Toast</t>
        </is>
      </c>
      <c r="I48" t="inlineStr">
        <is>
          <t>Prepared Meals</t>
        </is>
      </c>
      <c r="J48" s="2" t="n">
        <v>46261</v>
      </c>
      <c r="K48" s="1" t="n">
        <v>16.3</v>
      </c>
    </row>
    <row r="49">
      <c r="A49" s="1">
        <f>SUM(K49,M49,O49,Q49,S49)</f>
        <v/>
      </c>
      <c r="C49" t="inlineStr">
        <is>
          <t>Honey Pineapple</t>
        </is>
      </c>
      <c r="D49" t="inlineStr">
        <is>
          <t>NA</t>
        </is>
      </c>
      <c r="E49" t="inlineStr">
        <is>
          <t>Tax</t>
        </is>
      </c>
      <c r="F49" t="inlineStr">
        <is>
          <t>NA</t>
        </is>
      </c>
      <c r="G49" t="inlineStr">
        <is>
          <t>NA</t>
        </is>
      </c>
      <c r="H49" t="inlineStr">
        <is>
          <t>Tax</t>
        </is>
      </c>
      <c r="I49" t="inlineStr">
        <is>
          <t>Fees &amp; Charges</t>
        </is>
      </c>
      <c r="J49" s="2" t="n">
        <v>46261</v>
      </c>
      <c r="K49" s="1" t="n">
        <v>2.96</v>
      </c>
    </row>
    <row r="50">
      <c r="A50" s="1">
        <f>SUM(K50,M50,O50,Q50,S50)</f>
        <v/>
      </c>
      <c r="C50" t="inlineStr">
        <is>
          <t>Honey Pineapple</t>
        </is>
      </c>
      <c r="D50" t="inlineStr">
        <is>
          <t>NA</t>
        </is>
      </c>
      <c r="E50" t="inlineStr">
        <is>
          <t>Tip</t>
        </is>
      </c>
      <c r="F50" t="inlineStr">
        <is>
          <t>NA</t>
        </is>
      </c>
      <c r="G50" t="inlineStr">
        <is>
          <t>NA</t>
        </is>
      </c>
      <c r="H50" t="inlineStr">
        <is>
          <t>Tip</t>
        </is>
      </c>
      <c r="I50" t="inlineStr">
        <is>
          <t>Fees &amp; Charges</t>
        </is>
      </c>
      <c r="J50" s="2" t="n">
        <v>46261</v>
      </c>
      <c r="K50" s="1" t="n">
        <v>2.96</v>
      </c>
    </row>
    <row r="51">
      <c r="A51" s="1">
        <f>SUM(K51,M51,O51,Q51,S51)</f>
        <v/>
      </c>
      <c r="C51" t="inlineStr">
        <is>
          <t>Walmart</t>
        </is>
      </c>
      <c r="D51" t="inlineStr">
        <is>
          <t>NA</t>
        </is>
      </c>
      <c r="E51" t="inlineStr">
        <is>
          <t>Safety 1 Soft Grip Brush &amp; Comb, Artic Blue</t>
        </is>
      </c>
      <c r="F51" t="inlineStr">
        <is>
          <t>NA</t>
        </is>
      </c>
      <c r="G51" t="inlineStr">
        <is>
          <t>0</t>
        </is>
      </c>
      <c r="H51" t="inlineStr">
        <is>
          <t>Safety 1st Soft Grip Brush &amp; Comb</t>
        </is>
      </c>
      <c r="I51" t="inlineStr">
        <is>
          <t>Baby Care</t>
        </is>
      </c>
      <c r="J51" s="2" t="n">
        <v>46240</v>
      </c>
      <c r="K51" s="1" t="n">
        <v>4.48</v>
      </c>
      <c r="L51" s="2" t="n">
        <v>46241</v>
      </c>
      <c r="M51" s="1" t="n">
        <v>4.48</v>
      </c>
    </row>
    <row r="52">
      <c r="A52" s="1">
        <f>SUM(K52,M52,O52,Q52,S52)</f>
        <v/>
      </c>
      <c r="C52" t="inlineStr">
        <is>
          <t>Walmart</t>
        </is>
      </c>
      <c r="D52" t="inlineStr">
        <is>
          <t>NA</t>
        </is>
      </c>
      <c r="E52" t="inlineStr">
        <is>
          <t>The Honest Company Conditioning Detangler Sweet Cream Comfort 4 floz</t>
        </is>
      </c>
      <c r="F52" t="inlineStr">
        <is>
          <t>NA</t>
        </is>
      </c>
      <c r="G52" t="inlineStr">
        <is>
          <t>0</t>
        </is>
      </c>
      <c r="H52" t="inlineStr">
        <is>
          <t>Honest Company Conditioning Detangler</t>
        </is>
      </c>
      <c r="I52" t="inlineStr">
        <is>
          <t>Hair Care</t>
        </is>
      </c>
      <c r="J52" s="2" t="n">
        <v>46240</v>
      </c>
      <c r="K52" s="1" t="n">
        <v>6.96</v>
      </c>
      <c r="L52" s="2" t="n">
        <v>46241</v>
      </c>
      <c r="M52" s="1" t="n">
        <v>6.96</v>
      </c>
    </row>
    <row r="53">
      <c r="A53" s="1">
        <f>SUM(K53,M53,O53,Q53,S53)</f>
        <v/>
      </c>
      <c r="C53" t="inlineStr">
        <is>
          <t>Walmart</t>
        </is>
      </c>
      <c r="D53" t="inlineStr">
        <is>
          <t>NA</t>
        </is>
      </c>
      <c r="E53" t="inlineStr">
        <is>
          <t>Nestle Toll House Organic Allergen Free Dark Chocolate Regular Baking Chips, Morsels for Baking, 9 oz Bag</t>
        </is>
      </c>
      <c r="F53" t="inlineStr">
        <is>
          <t>NA</t>
        </is>
      </c>
      <c r="G53" t="inlineStr">
        <is>
          <t>0</t>
        </is>
      </c>
      <c r="H53" t="inlineStr">
        <is>
          <t>Nestle Toll House Allergen-Free Dark Chocolate Baking Chips</t>
        </is>
      </c>
      <c r="I53" t="inlineStr">
        <is>
          <t>Baking Ingredients</t>
        </is>
      </c>
      <c r="J53" s="2" t="n">
        <v>46240</v>
      </c>
      <c r="K53" s="1" t="n">
        <v>8.369999999999999</v>
      </c>
      <c r="L53" s="2" t="n">
        <v>46241</v>
      </c>
      <c r="M53" s="1" t="n">
        <v>8.369999999999999</v>
      </c>
    </row>
    <row r="54">
      <c r="A54" s="1">
        <f>SUM(K54,M54,O54,Q54,S54)</f>
        <v/>
      </c>
      <c r="C54" t="inlineStr">
        <is>
          <t>Walmart</t>
        </is>
      </c>
      <c r="D54" t="inlineStr">
        <is>
          <t>NA</t>
        </is>
      </c>
      <c r="E54" t="inlineStr">
        <is>
          <t>GHIRARDELLI Gluten Free Double Chocolate Brownie Mix, Gluten Free Baking Mix, Includes Chocolate Chips, 18 oz Box 20 shopped Qty1</t>
        </is>
      </c>
      <c r="F54" t="inlineStr">
        <is>
          <t>NA</t>
        </is>
      </c>
      <c r="G54" t="inlineStr">
        <is>
          <t>0</t>
        </is>
      </c>
      <c r="H54" t="inlineStr">
        <is>
          <t>Ghirardelli Gluten-Free Double Chocolate Brownie Mix</t>
        </is>
      </c>
      <c r="I54" t="inlineStr">
        <is>
          <t>Baking Mixes</t>
        </is>
      </c>
      <c r="J54" s="2" t="n">
        <v>46240</v>
      </c>
      <c r="K54" s="1" t="n">
        <v>6.67</v>
      </c>
    </row>
    <row r="55">
      <c r="A55" s="1">
        <f>SUM(K55,M55,O55,Q55,S55)</f>
        <v/>
      </c>
      <c r="C55" t="inlineStr">
        <is>
          <t>Walmart</t>
        </is>
      </c>
      <c r="D55" t="inlineStr">
        <is>
          <t>NA</t>
        </is>
      </c>
      <c r="E55" t="inlineStr">
        <is>
          <t>Purina Tidy Cats With Glade Clear Springs Scented, Odor Control, Clumping Multi-Cat Litter 20 shopped Qty2</t>
        </is>
      </c>
      <c r="F55" t="inlineStr">
        <is>
          <t>NA</t>
        </is>
      </c>
      <c r="G55" t="inlineStr">
        <is>
          <t>0</t>
        </is>
      </c>
      <c r="H55" t="inlineStr">
        <is>
          <t>Purina Tidy Cats Clumping Cat Litter</t>
        </is>
      </c>
      <c r="I55" t="inlineStr">
        <is>
          <t>Cat Litter</t>
        </is>
      </c>
      <c r="J55" s="2" t="n">
        <v>46240</v>
      </c>
      <c r="K55" s="1" t="n">
        <v>23.94</v>
      </c>
      <c r="L55" s="2" t="n">
        <v>46241</v>
      </c>
      <c r="M55" s="1" t="n">
        <v>23.94</v>
      </c>
    </row>
    <row r="56">
      <c r="A56" s="1">
        <f>SUM(K56,M56,O56,Q56,S56)</f>
        <v/>
      </c>
      <c r="C56" t="inlineStr">
        <is>
          <t>Walmart</t>
        </is>
      </c>
      <c r="D56" t="inlineStr">
        <is>
          <t>NA</t>
        </is>
      </c>
      <c r="E56" t="inlineStr">
        <is>
          <t>Lawry's Kosher Coarse Ground With Parsley Garlic Salt, 6.0 oz Bottle</t>
        </is>
      </c>
      <c r="F56" t="inlineStr">
        <is>
          <t>NA</t>
        </is>
      </c>
      <c r="G56" t="inlineStr">
        <is>
          <t>0</t>
        </is>
      </c>
      <c r="H56" t="inlineStr">
        <is>
          <t>Lawry's Garlic Salt</t>
        </is>
      </c>
      <c r="I56" t="inlineStr">
        <is>
          <t>Seasonings &amp; Spices</t>
        </is>
      </c>
      <c r="J56" s="2" t="n">
        <v>46240</v>
      </c>
      <c r="K56" s="1" t="n">
        <v>3.16</v>
      </c>
      <c r="L56" s="2" t="n">
        <v>46241</v>
      </c>
      <c r="M56" s="1" t="n">
        <v>3.16</v>
      </c>
    </row>
    <row r="57">
      <c r="A57" s="1">
        <f>SUM(K57,M57,O57,Q57,S57)</f>
        <v/>
      </c>
      <c r="C57" t="inlineStr">
        <is>
          <t>Walmart</t>
        </is>
      </c>
      <c r="D57" t="inlineStr">
        <is>
          <t>NA</t>
        </is>
      </c>
      <c r="E57" t="inlineStr">
        <is>
          <t>Huggies Natural Care Sensitive Baby Wipes, Unscented, 3 Flip-Top Packs, 168 Count 20 shopped Qty1</t>
        </is>
      </c>
      <c r="F57" t="inlineStr">
        <is>
          <t>NA</t>
        </is>
      </c>
      <c r="G57" t="inlineStr">
        <is>
          <t>0</t>
        </is>
      </c>
      <c r="H57" t="inlineStr">
        <is>
          <t>Huggies Natural Care Baby Wipes</t>
        </is>
      </c>
      <c r="I57" t="inlineStr">
        <is>
          <t>Baby Care</t>
        </is>
      </c>
      <c r="J57" s="2" t="n">
        <v>46240</v>
      </c>
      <c r="K57" s="1" t="n">
        <v>5.82</v>
      </c>
      <c r="L57" s="2" t="n">
        <v>46241</v>
      </c>
      <c r="M57" s="1" t="n">
        <v>5.82</v>
      </c>
    </row>
    <row r="58">
      <c r="A58" s="1">
        <f>SUM(K58,M58,O58,Q58,S58)</f>
        <v/>
      </c>
      <c r="C58" t="inlineStr">
        <is>
          <t>Walmart</t>
        </is>
      </c>
      <c r="D58" t="inlineStr">
        <is>
          <t>NA</t>
        </is>
      </c>
      <c r="E58" t="inlineStr">
        <is>
          <t>Pampers Swaddlers Fragrance Free Baby Diapers Size 5, 100 Count (Select for More Options) 20 shopped Qty1</t>
        </is>
      </c>
      <c r="F58" t="inlineStr">
        <is>
          <t>NA</t>
        </is>
      </c>
      <c r="G58" t="inlineStr">
        <is>
          <t>0</t>
        </is>
      </c>
      <c r="H58" t="inlineStr">
        <is>
          <t>Pampers Swaddlers Size 5 Diapers</t>
        </is>
      </c>
      <c r="I58" t="inlineStr">
        <is>
          <t>Baby Care</t>
        </is>
      </c>
      <c r="J58" s="2" t="n">
        <v>46240</v>
      </c>
      <c r="K58" s="1" t="n">
        <v>39.77</v>
      </c>
    </row>
    <row r="59">
      <c r="A59" s="1">
        <f>SUM(K59,M59,O59,Q59,S59)</f>
        <v/>
      </c>
      <c r="C59" t="inlineStr">
        <is>
          <t>Walmart</t>
        </is>
      </c>
      <c r="D59" t="inlineStr">
        <is>
          <t>NA</t>
        </is>
      </c>
      <c r="E59" t="inlineStr">
        <is>
          <t>Chobani Oatmilk Extra Creamy 52 floz Carton 20 shopped aty1</t>
        </is>
      </c>
      <c r="F59" t="inlineStr">
        <is>
          <t>NA</t>
        </is>
      </c>
      <c r="G59" t="inlineStr">
        <is>
          <t>0</t>
        </is>
      </c>
      <c r="H59" t="inlineStr">
        <is>
          <t>Chobani Extra Creamy Oatmilk</t>
        </is>
      </c>
      <c r="I59" t="inlineStr">
        <is>
          <t>Plant-Based Milk</t>
        </is>
      </c>
      <c r="J59" s="2" t="n">
        <v>46240</v>
      </c>
      <c r="K59" s="1" t="n">
        <v>4.17</v>
      </c>
    </row>
    <row r="60">
      <c r="A60" s="1">
        <f>SUM(K60,M60,O60,Q60,S60)</f>
        <v/>
      </c>
      <c r="C60" t="inlineStr">
        <is>
          <t>Walmart</t>
        </is>
      </c>
      <c r="D60" t="inlineStr">
        <is>
          <t>NA</t>
        </is>
      </c>
      <c r="E60" t="inlineStr">
        <is>
          <t>Desitin Maximum Strength Diaper Rash Cream, 40% Zinc Oxide, 4.8 oz</t>
        </is>
      </c>
      <c r="F60" t="inlineStr">
        <is>
          <t>NA</t>
        </is>
      </c>
      <c r="G60" t="inlineStr">
        <is>
          <t>0</t>
        </is>
      </c>
      <c r="H60" t="inlineStr">
        <is>
          <t>Desitin Maximum Strength Diaper Rash Cream</t>
        </is>
      </c>
      <c r="I60" t="inlineStr">
        <is>
          <t>Baby Care</t>
        </is>
      </c>
      <c r="J60" s="2" t="n">
        <v>46240</v>
      </c>
      <c r="K60" s="1" t="n">
        <v>7.97</v>
      </c>
      <c r="L60" s="2" t="n">
        <v>46241</v>
      </c>
      <c r="M60" s="1" t="n">
        <v>7.97</v>
      </c>
    </row>
    <row r="61">
      <c r="A61" s="1">
        <f>SUM(K61,M61,O61,Q61,S61)</f>
        <v/>
      </c>
      <c r="C61" t="inlineStr">
        <is>
          <t>Walmart</t>
        </is>
      </c>
      <c r="D61" t="inlineStr">
        <is>
          <t>NA</t>
        </is>
      </c>
      <c r="E61" t="inlineStr">
        <is>
          <t>fairlife Lactose Free Reduced Fat Chocolate Ultra Filtered Milk, 52 floz</t>
        </is>
      </c>
      <c r="F61" t="inlineStr">
        <is>
          <t>NA</t>
        </is>
      </c>
      <c r="G61" t="inlineStr">
        <is>
          <t>0</t>
        </is>
      </c>
      <c r="H61" t="inlineStr">
        <is>
          <t>Fairlife Chocolate Milk</t>
        </is>
      </c>
      <c r="I61" t="inlineStr">
        <is>
          <t>Milk</t>
        </is>
      </c>
      <c r="J61" s="2" t="n">
        <v>46240</v>
      </c>
      <c r="K61" s="1" t="n">
        <v>5.32</v>
      </c>
      <c r="L61" s="2" t="n">
        <v>46241</v>
      </c>
      <c r="M61" s="1" t="n">
        <v>5.32</v>
      </c>
    </row>
    <row r="62">
      <c r="A62" s="1">
        <f>SUM(K62,M62,O62,Q62,S62)</f>
        <v/>
      </c>
      <c r="C62" t="inlineStr">
        <is>
          <t>Walmart</t>
        </is>
      </c>
      <c r="D62" t="inlineStr">
        <is>
          <t>NA</t>
        </is>
      </c>
      <c r="E62" t="inlineStr">
        <is>
          <t>Nestle Toll House Dark Chocolate Regular Baking Chips, 10 oz Bag 20 shopped Qty1</t>
        </is>
      </c>
      <c r="F62" t="inlineStr">
        <is>
          <t>NA</t>
        </is>
      </c>
      <c r="G62" t="inlineStr">
        <is>
          <t>0</t>
        </is>
      </c>
      <c r="H62" t="inlineStr">
        <is>
          <t>Nestle Toll House Dark Chocolate Baking Chips</t>
        </is>
      </c>
      <c r="I62" t="inlineStr">
        <is>
          <t>Baking Ingredients</t>
        </is>
      </c>
      <c r="J62" s="2" t="n">
        <v>46240</v>
      </c>
      <c r="K62" s="1" t="n">
        <v>4.96</v>
      </c>
    </row>
    <row r="63">
      <c r="A63" s="1">
        <f>SUM(K63,M63,O63,Q63,S63)</f>
        <v/>
      </c>
      <c r="C63" t="inlineStr">
        <is>
          <t>Walmart</t>
        </is>
      </c>
      <c r="D63" t="inlineStr">
        <is>
          <t>NA</t>
        </is>
      </c>
      <c r="E63" t="inlineStr">
        <is>
          <t>Dove Body Wash For 24hr Lotion-Soft Skin Sensitive Skin Moisturizing Skin Cleanser Gentle Hypoallergenic Formula With</t>
        </is>
      </c>
      <c r="F63" t="inlineStr">
        <is>
          <t>NA</t>
        </is>
      </c>
      <c r="G63" t="inlineStr">
        <is>
          <t>0</t>
        </is>
      </c>
      <c r="H63" t="inlineStr">
        <is>
          <t>Dove Sensitive Skin Body Wash</t>
        </is>
      </c>
      <c r="I63" t="inlineStr">
        <is>
          <t>Body Wash</t>
        </is>
      </c>
      <c r="J63" s="2" t="n">
        <v>46240</v>
      </c>
      <c r="K63" t="n">
        <v>4.97</v>
      </c>
      <c r="L63" s="2" t="n">
        <v>46241</v>
      </c>
      <c r="M63" s="1" t="n">
        <v>4.97</v>
      </c>
    </row>
    <row r="64">
      <c r="A64" s="1">
        <f>SUM(K64,M64,O64,Q64,S64)</f>
        <v/>
      </c>
      <c r="C64" t="inlineStr">
        <is>
          <t>Walmart</t>
        </is>
      </c>
      <c r="D64" t="inlineStr">
        <is>
          <t>NA</t>
        </is>
      </c>
      <c r="E64" t="inlineStr">
        <is>
          <t>No Sulfates No Parabens, 11 Floz</t>
        </is>
      </c>
      <c r="F64" t="inlineStr">
        <is>
          <t>NA</t>
        </is>
      </c>
      <c r="G64" t="inlineStr">
        <is>
          <t>0</t>
        </is>
      </c>
      <c r="H64" t="inlineStr">
        <is>
          <t>Dove Sensitive Skin Body Wash</t>
        </is>
      </c>
      <c r="I64" t="inlineStr">
        <is>
          <t>Body Wash</t>
        </is>
      </c>
      <c r="J64" s="2" t="n">
        <v>46240</v>
      </c>
      <c r="K64" s="1" t="n">
        <v>4.97</v>
      </c>
      <c r="L64" s="2" t="n">
        <v>46241</v>
      </c>
      <c r="M64" s="1" t="n">
        <v>4.97</v>
      </c>
    </row>
    <row r="65">
      <c r="A65" s="1">
        <f>SUM(K65,M65,O65,Q65,S65)</f>
        <v/>
      </c>
      <c r="C65" t="inlineStr">
        <is>
          <t>Walmart</t>
        </is>
      </c>
      <c r="D65" t="inlineStr">
        <is>
          <t>NA</t>
        </is>
      </c>
      <c r="E65" t="inlineStr">
        <is>
          <t>Great Value Large White Eggs 36 Count 20 shopped Qty1</t>
        </is>
      </c>
      <c r="F65" t="inlineStr">
        <is>
          <t>NA</t>
        </is>
      </c>
      <c r="G65" t="inlineStr">
        <is>
          <t>0</t>
        </is>
      </c>
      <c r="H65" t="inlineStr">
        <is>
          <t>Great Value Large White Eggs</t>
        </is>
      </c>
      <c r="I65" t="inlineStr">
        <is>
          <t>Eggs</t>
        </is>
      </c>
      <c r="J65" s="2" t="n">
        <v>46240</v>
      </c>
      <c r="K65" s="1" t="n">
        <v>4.88</v>
      </c>
      <c r="L65" s="2" t="n">
        <v>46241</v>
      </c>
      <c r="M65" s="1" t="n">
        <v>4.88</v>
      </c>
    </row>
    <row r="66">
      <c r="A66" s="1">
        <f>SUM(K66,M66,O66,Q66,S66)</f>
        <v/>
      </c>
      <c r="C66" t="inlineStr">
        <is>
          <t>Walmart</t>
        </is>
      </c>
      <c r="D66" t="inlineStr">
        <is>
          <t>NA</t>
        </is>
      </c>
      <c r="E66" t="inlineStr">
        <is>
          <t>Chobani 20G Protein Low-Fat Greek Yogurt Drink, Strawberries and Cream 10 fl oz Bottle, 4 Pack</t>
        </is>
      </c>
      <c r="F66" t="inlineStr">
        <is>
          <t>NA</t>
        </is>
      </c>
      <c r="G66" t="inlineStr">
        <is>
          <t>0</t>
        </is>
      </c>
      <c r="H66" t="inlineStr">
        <is>
          <t>Chobani Protein Greek Yogurt Drink, Strawberries &amp; Cream</t>
        </is>
      </c>
      <c r="I66" t="inlineStr">
        <is>
          <t>Yogurt</t>
        </is>
      </c>
      <c r="J66" s="2" t="n">
        <v>46240</v>
      </c>
      <c r="K66" s="1" t="n">
        <v>9.67</v>
      </c>
      <c r="L66" s="2" t="n">
        <v>46241</v>
      </c>
      <c r="M66" s="1" t="n">
        <v>9.67</v>
      </c>
    </row>
    <row r="67">
      <c r="A67" s="1">
        <f>SUM(K67,M67,O67,Q67,S67)</f>
        <v/>
      </c>
      <c r="C67" t="inlineStr">
        <is>
          <t>Walmart</t>
        </is>
      </c>
      <c r="D67" t="inlineStr">
        <is>
          <t>NA</t>
        </is>
      </c>
      <c r="E67" t="inlineStr">
        <is>
          <t>McCormick Sea Salt Grinder, oz Bottle 20 shopped aty1</t>
        </is>
      </c>
      <c r="F67" t="inlineStr">
        <is>
          <t>NA</t>
        </is>
      </c>
      <c r="G67" t="inlineStr">
        <is>
          <t>0</t>
        </is>
      </c>
      <c r="H67" t="inlineStr">
        <is>
          <t>McCormick Sea Salt Grinder</t>
        </is>
      </c>
      <c r="I67" t="inlineStr">
        <is>
          <t>Seasonings &amp; Spices</t>
        </is>
      </c>
      <c r="J67" s="2" t="n">
        <v>46240</v>
      </c>
      <c r="K67" s="1" t="n">
        <v>2.54</v>
      </c>
    </row>
    <row r="68">
      <c r="A68" s="1">
        <f>SUM(K68,M68,O68,Q68,S68)</f>
        <v/>
      </c>
      <c r="C68" t="inlineStr">
        <is>
          <t>Walmart</t>
        </is>
      </c>
      <c r="D68" t="inlineStr">
        <is>
          <t>NA</t>
        </is>
      </c>
      <c r="E68" t="inlineStr">
        <is>
          <t>Fresh Mandarin Oranges, 5 lb Bag 20 shopped Qty1</t>
        </is>
      </c>
      <c r="F68" t="inlineStr">
        <is>
          <t>NA</t>
        </is>
      </c>
      <c r="G68" t="inlineStr">
        <is>
          <t>0</t>
        </is>
      </c>
      <c r="H68" t="inlineStr">
        <is>
          <t>Mandarin Oranges</t>
        </is>
      </c>
      <c r="I68" t="inlineStr">
        <is>
          <t>Fresh Fruit</t>
        </is>
      </c>
      <c r="J68" s="2" t="n">
        <v>46240</v>
      </c>
      <c r="K68" s="1" t="n">
        <v>7.96</v>
      </c>
      <c r="L68" s="2" t="n">
        <v>46241</v>
      </c>
      <c r="M68" s="1" t="n">
        <v>7.96</v>
      </c>
    </row>
    <row r="69">
      <c r="A69" s="1">
        <f>SUM(K69,M69,O69,Q69,S69)</f>
        <v/>
      </c>
      <c r="C69" t="inlineStr">
        <is>
          <t>Walmart</t>
        </is>
      </c>
      <c r="D69" t="inlineStr">
        <is>
          <t>NA</t>
        </is>
      </c>
      <c r="E69" t="inlineStr">
        <is>
          <t>Fresh Pink Lady Apples, 3lb Bag 20 shopped Qty1</t>
        </is>
      </c>
      <c r="F69" t="inlineStr">
        <is>
          <t>NA</t>
        </is>
      </c>
      <c r="G69" t="inlineStr">
        <is>
          <t>0</t>
        </is>
      </c>
      <c r="H69" t="inlineStr">
        <is>
          <t>Pink Lady Apples</t>
        </is>
      </c>
      <c r="I69" t="inlineStr">
        <is>
          <t>Fresh Fruit</t>
        </is>
      </c>
      <c r="J69" s="2" t="n">
        <v>46240</v>
      </c>
      <c r="K69" s="1" t="n">
        <v>4.97</v>
      </c>
      <c r="L69" s="2" t="n">
        <v>46241</v>
      </c>
      <c r="M69" s="1" t="n">
        <v>4.97</v>
      </c>
    </row>
    <row r="70">
      <c r="A70" s="1">
        <f>SUM(K70,M70,O70,Q70,S70)</f>
        <v/>
      </c>
      <c r="C70" t="inlineStr">
        <is>
          <t>Walmart</t>
        </is>
      </c>
      <c r="D70" t="inlineStr">
        <is>
          <t>NA</t>
        </is>
      </c>
      <c r="E70" t="inlineStr">
        <is>
          <t>Fresh Banana, Each 7 weight adjusted Qty7</t>
        </is>
      </c>
      <c r="F70" t="inlineStr">
        <is>
          <t>NA</t>
        </is>
      </c>
      <c r="G70" t="inlineStr">
        <is>
          <t>0</t>
        </is>
      </c>
      <c r="H70" t="inlineStr">
        <is>
          <t>Bananas</t>
        </is>
      </c>
      <c r="I70" t="inlineStr">
        <is>
          <t>Fresh Fruit</t>
        </is>
      </c>
      <c r="J70" s="2" t="n">
        <v>46240</v>
      </c>
      <c r="K70" s="1" t="n">
        <v>1.83</v>
      </c>
      <c r="L70" s="2" t="n">
        <v>46241</v>
      </c>
      <c r="M70" s="1" t="n">
        <v>1.83</v>
      </c>
      <c r="N70" s="2" t="n">
        <v>46241</v>
      </c>
      <c r="O70" s="1" t="n">
        <v>1.83</v>
      </c>
    </row>
    <row r="71">
      <c r="A71" s="1">
        <f>SUM(K71,M71,O71,Q71,S71)</f>
        <v/>
      </c>
      <c r="C71" t="inlineStr">
        <is>
          <t>Walmart</t>
        </is>
      </c>
      <c r="D71" t="inlineStr">
        <is>
          <t>NA</t>
        </is>
      </c>
      <c r="E71" t="inlineStr">
        <is>
          <t>CeraVe Baby Healing Ointment for Diaper Rash &amp; Cracked Chafed Dry Skin for Baby + Toddler 3 oz</t>
        </is>
      </c>
      <c r="F71" t="inlineStr">
        <is>
          <t>NA</t>
        </is>
      </c>
      <c r="G71" t="inlineStr">
        <is>
          <t>0</t>
        </is>
      </c>
      <c r="H71" t="inlineStr">
        <is>
          <t>CeraVe Baby Healing Ointment</t>
        </is>
      </c>
      <c r="I71" t="inlineStr">
        <is>
          <t>Baby Care</t>
        </is>
      </c>
      <c r="J71" s="2" t="n">
        <v>46240</v>
      </c>
      <c r="K71" s="1" t="n">
        <v>9.98</v>
      </c>
      <c r="L71" s="2" t="n">
        <v>46241</v>
      </c>
      <c r="M71" s="1" t="n">
        <v>9.98</v>
      </c>
    </row>
    <row r="72">
      <c r="A72" s="1">
        <f>SUM(K72,M72,O72,Q72,S72)</f>
        <v/>
      </c>
      <c r="C72" t="inlineStr">
        <is>
          <t>Walmart</t>
        </is>
      </c>
      <c r="D72" t="inlineStr">
        <is>
          <t>NA</t>
        </is>
      </c>
      <c r="E72" t="inlineStr">
        <is>
          <t>Fresh Banana, Each 7 weight adjusted Qty7</t>
        </is>
      </c>
      <c r="F72" t="inlineStr">
        <is>
          <t>NA</t>
        </is>
      </c>
      <c r="G72" t="inlineStr">
        <is>
          <t>0</t>
        </is>
      </c>
      <c r="H72" t="inlineStr">
        <is>
          <t>Bananas</t>
        </is>
      </c>
      <c r="I72" t="inlineStr">
        <is>
          <t>Fresh Fruit</t>
        </is>
      </c>
      <c r="J72" s="2" t="n">
        <v>46240</v>
      </c>
      <c r="K72" s="1" t="n">
        <v>3.48</v>
      </c>
    </row>
    <row r="73">
      <c r="A73" s="1">
        <f>SUM(K73,M73,O73,Q73,S73)</f>
        <v/>
      </c>
      <c r="C73" t="inlineStr">
        <is>
          <t>Walmart</t>
        </is>
      </c>
      <c r="D73" t="inlineStr">
        <is>
          <t>NA</t>
        </is>
      </c>
      <c r="E73" t="inlineStr">
        <is>
          <t>Tax</t>
        </is>
      </c>
      <c r="F73" t="inlineStr">
        <is>
          <t>NA</t>
        </is>
      </c>
      <c r="G73" t="inlineStr">
        <is>
          <t>0</t>
        </is>
      </c>
      <c r="H73" t="inlineStr">
        <is>
          <t>Tax</t>
        </is>
      </c>
      <c r="I73" t="inlineStr">
        <is>
          <t>Fees &amp; Charges</t>
        </is>
      </c>
      <c r="J73" s="2" t="n">
        <v>46240</v>
      </c>
      <c r="K73" s="1" t="n">
        <v>3.48</v>
      </c>
      <c r="L73" s="2" t="n">
        <v>46241</v>
      </c>
      <c r="M73" s="1" t="n">
        <v>3.48</v>
      </c>
      <c r="N73" s="2" t="n">
        <v>46247</v>
      </c>
      <c r="O73" s="1" t="n">
        <v>1.76</v>
      </c>
      <c r="P73" s="2" t="n">
        <v>46260</v>
      </c>
      <c r="Q73" s="1" t="n">
        <v>6.35</v>
      </c>
      <c r="R73" s="2" t="n">
        <v>46260</v>
      </c>
      <c r="S73" s="1" t="n">
        <v>6.35</v>
      </c>
    </row>
    <row r="74">
      <c r="A74" s="1">
        <f>SUM(K74,M74,O74,Q74,S74)</f>
        <v/>
      </c>
      <c r="C74" t="inlineStr">
        <is>
          <t>Walmart</t>
        </is>
      </c>
      <c r="D74" t="inlineStr">
        <is>
          <t>NA</t>
        </is>
      </c>
      <c r="E74" t="inlineStr">
        <is>
          <t>Driver tip</t>
        </is>
      </c>
      <c r="F74" t="inlineStr">
        <is>
          <t>NA</t>
        </is>
      </c>
      <c r="G74" t="inlineStr">
        <is>
          <t>0</t>
        </is>
      </c>
      <c r="H74" t="inlineStr">
        <is>
          <t>Driver Tip</t>
        </is>
      </c>
      <c r="I74" t="inlineStr">
        <is>
          <t>Fees &amp; Charges</t>
        </is>
      </c>
      <c r="J74" s="2" t="n">
        <v>46240</v>
      </c>
      <c r="K74" s="1" t="n">
        <v>16.92</v>
      </c>
      <c r="L74" s="2" t="n">
        <v>46247</v>
      </c>
      <c r="M74" s="1" t="n">
        <v>17.72</v>
      </c>
      <c r="N74" s="2" t="n">
        <v>46260</v>
      </c>
      <c r="O74" s="1" t="n">
        <v>12.14</v>
      </c>
    </row>
    <row r="75">
      <c r="A75" s="1">
        <f>SUM(K75,M75,O75,Q75,S75)</f>
        <v/>
      </c>
      <c r="C75" t="inlineStr">
        <is>
          <t>Walmart</t>
        </is>
      </c>
      <c r="D75" t="inlineStr">
        <is>
          <t>NA</t>
        </is>
      </c>
      <c r="E75" t="inlineStr">
        <is>
          <t>3 hours orless</t>
        </is>
      </c>
      <c r="F75" t="inlineStr">
        <is>
          <t>NA</t>
        </is>
      </c>
      <c r="G75" t="inlineStr">
        <is>
          <t>0</t>
        </is>
      </c>
      <c r="H75" t="inlineStr">
        <is>
          <t>Express Delivery Fee</t>
        </is>
      </c>
      <c r="I75" t="inlineStr">
        <is>
          <t>Fees &amp; Charges</t>
        </is>
      </c>
      <c r="J75" s="2" t="n">
        <v>46240</v>
      </c>
      <c r="K75" s="1" t="n">
        <v>5</v>
      </c>
    </row>
    <row r="76">
      <c r="A76" s="1">
        <f>SUM(K76,M76,O76,Q76,S76)</f>
        <v/>
      </c>
      <c r="C76" t="inlineStr">
        <is>
          <t>Walmart</t>
        </is>
      </c>
      <c r="D76" t="inlineStr">
        <is>
          <t>NA</t>
        </is>
      </c>
      <c r="E76" t="inlineStr">
        <is>
          <t>diff</t>
        </is>
      </c>
      <c r="F76" t="inlineStr">
        <is>
          <t>NA</t>
        </is>
      </c>
      <c r="G76" t="inlineStr">
        <is>
          <t>0</t>
        </is>
      </c>
      <c r="H76" t="inlineStr">
        <is>
          <t>Price Adjustment</t>
        </is>
      </c>
      <c r="I76" t="inlineStr">
        <is>
          <t>Fees &amp; Charges</t>
        </is>
      </c>
      <c r="J76" s="2" t="n">
        <v>46240</v>
      </c>
      <c r="K76" s="1" t="n">
        <v>2.77</v>
      </c>
    </row>
    <row r="77">
      <c r="A77" s="1">
        <f>SUM(K77,M77,O77,Q77,S77)</f>
        <v/>
      </c>
      <c r="C77" t="inlineStr">
        <is>
          <t>Walmart</t>
        </is>
      </c>
      <c r="D77" t="inlineStr">
        <is>
          <t>NA</t>
        </is>
      </c>
      <c r="E77" t="inlineStr">
        <is>
          <t>GHIRARDELLI Gluten Free Double Chocolate Brownie Mix, Gluten Free Baking Mix, Includes Chocolate Chips, 18 oz Box</t>
        </is>
      </c>
      <c r="F77" t="inlineStr">
        <is>
          <t>NA</t>
        </is>
      </c>
      <c r="G77" t="inlineStr">
        <is>
          <t>0</t>
        </is>
      </c>
      <c r="H77" t="inlineStr">
        <is>
          <t>Ghirardelli Gluten-Free Double Chocolate Brownie Mix</t>
        </is>
      </c>
      <c r="I77" t="inlineStr">
        <is>
          <t>Baking Mixes</t>
        </is>
      </c>
      <c r="J77" s="2" t="n">
        <v>46241</v>
      </c>
      <c r="K77" s="1" t="n">
        <v>6.67</v>
      </c>
    </row>
    <row r="78">
      <c r="A78" s="1">
        <f>SUM(K78,M78,O78,Q78,S78)</f>
        <v/>
      </c>
      <c r="C78" t="inlineStr">
        <is>
          <t>Walmart</t>
        </is>
      </c>
      <c r="D78" t="inlineStr">
        <is>
          <t>NA</t>
        </is>
      </c>
      <c r="E78" t="inlineStr">
        <is>
          <t>Pampers Swaddlers Fragrance Free Baby Diapers Size 5, 100 Count (Select for More Options</t>
        </is>
      </c>
      <c r="F78" t="inlineStr">
        <is>
          <t>NA</t>
        </is>
      </c>
      <c r="G78" t="inlineStr">
        <is>
          <t>0</t>
        </is>
      </c>
      <c r="H78" t="inlineStr">
        <is>
          <t>Pampers Swaddlers Size 5 Diapers</t>
        </is>
      </c>
      <c r="I78" t="inlineStr">
        <is>
          <t>Baby Care</t>
        </is>
      </c>
      <c r="J78" s="2" t="n">
        <v>46241</v>
      </c>
      <c r="K78" s="1" t="n">
        <v>39.77</v>
      </c>
    </row>
    <row r="79">
      <c r="A79" s="1">
        <f>SUM(K79,M79,O79,Q79,S79)</f>
        <v/>
      </c>
      <c r="C79" t="inlineStr">
        <is>
          <t>Walmart</t>
        </is>
      </c>
      <c r="D79" t="inlineStr">
        <is>
          <t>NA</t>
        </is>
      </c>
      <c r="E79" t="inlineStr">
        <is>
          <t>Chobani Oatmitk Extra Creamy 52 floz Carton 20 shopped Qty1</t>
        </is>
      </c>
      <c r="F79" t="inlineStr">
        <is>
          <t>NA</t>
        </is>
      </c>
      <c r="G79" t="inlineStr">
        <is>
          <t>0</t>
        </is>
      </c>
      <c r="H79" t="inlineStr">
        <is>
          <t>Chobani Extra Creamy Oatmilk</t>
        </is>
      </c>
      <c r="I79" t="inlineStr">
        <is>
          <t>Plant-Based Milk</t>
        </is>
      </c>
      <c r="J79" s="2" t="n">
        <v>46241</v>
      </c>
      <c r="K79" s="1" t="n">
        <v>4.17</v>
      </c>
    </row>
    <row r="80">
      <c r="A80" s="1">
        <f>SUM(K80,M80,O80,Q80,S80)</f>
        <v/>
      </c>
      <c r="C80" t="inlineStr">
        <is>
          <t>Walmart</t>
        </is>
      </c>
      <c r="D80" t="inlineStr">
        <is>
          <t>NA</t>
        </is>
      </c>
      <c r="E80" t="inlineStr">
        <is>
          <t>Nestle Tolt House Dark Chocolate Regular Baking Chips, 10 oz Bag 20 shopped Qty1</t>
        </is>
      </c>
      <c r="F80" t="inlineStr">
        <is>
          <t>NA</t>
        </is>
      </c>
      <c r="G80" t="inlineStr">
        <is>
          <t>0</t>
        </is>
      </c>
      <c r="H80" t="inlineStr">
        <is>
          <t>Nestle Toll House Dark Chocolate Baking Chips</t>
        </is>
      </c>
      <c r="I80" t="inlineStr">
        <is>
          <t>Baking Ingredients</t>
        </is>
      </c>
      <c r="J80" s="2" t="n">
        <v>46241</v>
      </c>
      <c r="K80" s="1" t="n">
        <v>4.96</v>
      </c>
    </row>
    <row r="81">
      <c r="A81" s="1">
        <f>SUM(K81,M81,O81,Q81,S81)</f>
        <v/>
      </c>
      <c r="C81" t="inlineStr">
        <is>
          <t>Walmart</t>
        </is>
      </c>
      <c r="D81" t="inlineStr">
        <is>
          <t>NA</t>
        </is>
      </c>
      <c r="E81" t="inlineStr">
        <is>
          <t>Applegate Natural Chicken &amp; Maple Breakfast Sausage Patties, 16 oz, GF, Resealable Bag (Frozen), About 15 Pieces per Bag</t>
        </is>
      </c>
      <c r="F81" t="inlineStr">
        <is>
          <t>NA</t>
        </is>
      </c>
      <c r="G81" t="inlineStr">
        <is>
          <t>0</t>
        </is>
      </c>
      <c r="H81" t="inlineStr">
        <is>
          <t>Applegate Chicken &amp; Maple Breakfast Sausage</t>
        </is>
      </c>
      <c r="I81" t="inlineStr">
        <is>
          <t>Frozen Meat</t>
        </is>
      </c>
      <c r="J81" s="2" t="n">
        <v>46241</v>
      </c>
      <c r="K81" s="1" t="n">
        <v>11.76</v>
      </c>
    </row>
    <row r="82">
      <c r="A82" s="1">
        <f>SUM(K82,M82,O82,Q82,S82)</f>
        <v/>
      </c>
      <c r="C82" t="inlineStr">
        <is>
          <t>Walmart</t>
        </is>
      </c>
      <c r="D82" t="inlineStr">
        <is>
          <t>NA</t>
        </is>
      </c>
      <c r="E82" t="inlineStr">
        <is>
          <t>McCormick Sea Salt Grinder, oz Bottle 20 shopped Qty1</t>
        </is>
      </c>
      <c r="F82" t="inlineStr">
        <is>
          <t>NA</t>
        </is>
      </c>
      <c r="G82" t="inlineStr">
        <is>
          <t>0</t>
        </is>
      </c>
      <c r="H82" t="inlineStr">
        <is>
          <t>McCormick Sea Salt Grinder</t>
        </is>
      </c>
      <c r="I82" t="inlineStr">
        <is>
          <t>Seasonings &amp; Spices</t>
        </is>
      </c>
      <c r="J82" s="2" t="n">
        <v>46241</v>
      </c>
      <c r="K82" s="1" t="n">
        <v>2.54</v>
      </c>
    </row>
    <row r="83">
      <c r="A83" s="1">
        <f>SUM(K83,M83,O83,Q83,S83)</f>
        <v/>
      </c>
      <c r="C83" t="inlineStr">
        <is>
          <t>Walmart</t>
        </is>
      </c>
      <c r="D83" t="inlineStr">
        <is>
          <t>NA</t>
        </is>
      </c>
      <c r="E83" t="inlineStr">
        <is>
          <t>3 hours or less</t>
        </is>
      </c>
      <c r="F83" t="inlineStr">
        <is>
          <t>NA</t>
        </is>
      </c>
      <c r="G83" t="inlineStr">
        <is>
          <t>0</t>
        </is>
      </c>
      <c r="H83" t="inlineStr">
        <is>
          <t>Express Delivery Fee</t>
        </is>
      </c>
      <c r="I83" t="inlineStr">
        <is>
          <t>Fees &amp; Charges</t>
        </is>
      </c>
      <c r="J83" s="2" t="n">
        <v>46241</v>
      </c>
      <c r="K83" s="1" t="n">
        <v>5</v>
      </c>
    </row>
    <row r="84">
      <c r="A84" s="1">
        <f>SUM(K84,M84,O84,Q84,S84)</f>
        <v/>
      </c>
      <c r="C84" t="inlineStr">
        <is>
          <t>Walmart</t>
        </is>
      </c>
      <c r="D84" t="inlineStr">
        <is>
          <t>NA</t>
        </is>
      </c>
      <c r="E84" t="inlineStr">
        <is>
          <t>Nature's Bakery Gluten Free Raspberry Fig Bars in Twin pack Box, 20z Each 36 shopped Qty1</t>
        </is>
      </c>
      <c r="F84" t="inlineStr">
        <is>
          <t>NA</t>
        </is>
      </c>
      <c r="G84" t="inlineStr">
        <is>
          <t>0</t>
        </is>
      </c>
      <c r="H84" t="inlineStr">
        <is>
          <t>Nature's Bakery Gluten-Free Raspberry Fig Bars</t>
        </is>
      </c>
      <c r="I84" t="inlineStr">
        <is>
          <t>Snack Bars</t>
        </is>
      </c>
      <c r="J84" s="2" t="n">
        <v>46247</v>
      </c>
      <c r="K84" s="1" t="n">
        <v>5.97</v>
      </c>
    </row>
    <row r="85">
      <c r="A85" s="1">
        <f>SUM(K85,M85,O85,Q85,S85)</f>
        <v/>
      </c>
      <c r="C85" t="inlineStr">
        <is>
          <t>Walmart</t>
        </is>
      </c>
      <c r="D85" t="inlineStr">
        <is>
          <t>NA</t>
        </is>
      </c>
      <c r="E85" t="inlineStr">
        <is>
          <t>Mahatma Jasmine Rice, Thai Fragrant Long Grain Rice, Gluten Free, 80 oz Bag (5 lbs</t>
        </is>
      </c>
      <c r="F85" t="inlineStr">
        <is>
          <t>NA</t>
        </is>
      </c>
      <c r="G85" t="inlineStr">
        <is>
          <t>0</t>
        </is>
      </c>
      <c r="H85" t="inlineStr">
        <is>
          <t>Mahatma Jasmine Rice</t>
        </is>
      </c>
      <c r="I85" t="inlineStr">
        <is>
          <t>Rice &amp; Grains</t>
        </is>
      </c>
      <c r="J85" s="2" t="n">
        <v>46247</v>
      </c>
      <c r="K85" s="1" t="n">
        <v>6.88</v>
      </c>
    </row>
    <row r="86">
      <c r="A86" s="1">
        <f>SUM(K86,M86,O86,Q86,S86)</f>
        <v/>
      </c>
      <c r="C86" t="inlineStr">
        <is>
          <t>Walmart</t>
        </is>
      </c>
      <c r="D86" t="inlineStr">
        <is>
          <t>NA</t>
        </is>
      </c>
      <c r="E86" t="inlineStr">
        <is>
          <t>Hillshire Farm Ultra Thin Oven Roasted Turkey Breast Lunchmeat, 16 oz Plastic Tub, Refrigerated</t>
        </is>
      </c>
      <c r="F86" t="inlineStr">
        <is>
          <t>NA</t>
        </is>
      </c>
      <c r="G86" t="inlineStr">
        <is>
          <t>0</t>
        </is>
      </c>
      <c r="H86" t="inlineStr">
        <is>
          <t>Hillshire Farm Oven Roasted Turkey Breast</t>
        </is>
      </c>
      <c r="I86" t="inlineStr">
        <is>
          <t>Deli Meat</t>
        </is>
      </c>
      <c r="J86" s="2" t="n">
        <v>46247</v>
      </c>
      <c r="K86" s="1" t="n">
        <v>6.48</v>
      </c>
    </row>
    <row r="87">
      <c r="A87" s="1">
        <f>SUM(K87,M87,O87,Q87,S87)</f>
        <v/>
      </c>
      <c r="C87" t="inlineStr">
        <is>
          <t>Walmart</t>
        </is>
      </c>
      <c r="D87" t="inlineStr">
        <is>
          <t>NA</t>
        </is>
      </c>
      <c r="E87" t="inlineStr">
        <is>
          <t>Hebrew National 100% Kosher Beef Franks, Hot Dogs, 10.3 oz 6 Count</t>
        </is>
      </c>
      <c r="F87" t="inlineStr">
        <is>
          <t>NA</t>
        </is>
      </c>
      <c r="G87" t="inlineStr">
        <is>
          <t>0</t>
        </is>
      </c>
      <c r="H87" t="inlineStr">
        <is>
          <t>Hebrew National Beef Franks</t>
        </is>
      </c>
      <c r="I87" t="inlineStr">
        <is>
          <t>Hot Dogs &amp; Sausages</t>
        </is>
      </c>
      <c r="J87" s="2" t="n">
        <v>46247</v>
      </c>
      <c r="K87" s="1" t="n">
        <v>5.74</v>
      </c>
    </row>
    <row r="88">
      <c r="A88" s="1">
        <f>SUM(K88,M88,O88,Q88,S88)</f>
        <v/>
      </c>
      <c r="C88" t="inlineStr">
        <is>
          <t>Walmart</t>
        </is>
      </c>
      <c r="D88" t="inlineStr">
        <is>
          <t>NA</t>
        </is>
      </c>
      <c r="E88" t="inlineStr">
        <is>
          <t>Dave's Killer Bread Organic Oats &amp; Blues Regular Size Loaf, 25 oz, USDA Organic</t>
        </is>
      </c>
      <c r="F88" t="inlineStr">
        <is>
          <t>NA</t>
        </is>
      </c>
      <c r="G88" t="inlineStr">
        <is>
          <t>0</t>
        </is>
      </c>
      <c r="H88" t="inlineStr">
        <is>
          <t>Dave's Killer Bread Oats &amp; Blues</t>
        </is>
      </c>
      <c r="I88" t="inlineStr">
        <is>
          <t>Bread</t>
        </is>
      </c>
      <c r="J88" s="2" t="n">
        <v>46247</v>
      </c>
      <c r="K88" s="1" t="n">
        <v>5.98</v>
      </c>
    </row>
    <row r="89">
      <c r="A89" s="1">
        <f>SUM(K89,M89,O89,Q89,S89)</f>
        <v/>
      </c>
      <c r="C89" t="inlineStr">
        <is>
          <t>Walmart</t>
        </is>
      </c>
      <c r="D89" t="inlineStr">
        <is>
          <t>NA</t>
        </is>
      </c>
      <c r="E89" t="inlineStr">
        <is>
          <t>Birds Eye Steamfresh Sweet Peas, Frozen Vegetables, 10 oz. Bag</t>
        </is>
      </c>
      <c r="F89" t="inlineStr">
        <is>
          <t>NA</t>
        </is>
      </c>
      <c r="G89" t="inlineStr">
        <is>
          <t>0</t>
        </is>
      </c>
      <c r="H89" t="inlineStr">
        <is>
          <t>Birds Eye Steamfresh Sweet Peas</t>
        </is>
      </c>
      <c r="I89" t="inlineStr">
        <is>
          <t>Frozen Vegetables</t>
        </is>
      </c>
      <c r="J89" s="2" t="n">
        <v>46247</v>
      </c>
      <c r="K89" s="1" t="n">
        <v>1.27</v>
      </c>
    </row>
    <row r="90">
      <c r="A90" s="1">
        <f>SUM(K90,M90,O90,Q90,S90)</f>
        <v/>
      </c>
      <c r="C90" t="inlineStr">
        <is>
          <t>Walmart</t>
        </is>
      </c>
      <c r="D90" t="inlineStr">
        <is>
          <t>NA</t>
        </is>
      </c>
      <c r="E90" t="inlineStr">
        <is>
          <t>Cabot Creamery 4 Cheese Mexican Shredded Cheddar Cheese 2 lb (Refrigerated</t>
        </is>
      </c>
      <c r="F90" t="inlineStr">
        <is>
          <t>NA</t>
        </is>
      </c>
      <c r="G90" t="inlineStr">
        <is>
          <t>0</t>
        </is>
      </c>
      <c r="H90" t="inlineStr">
        <is>
          <t>Cabot Mexican Shredded Cheese</t>
        </is>
      </c>
      <c r="I90" t="inlineStr">
        <is>
          <t>Cheese</t>
        </is>
      </c>
      <c r="J90" s="2" t="n">
        <v>46247</v>
      </c>
      <c r="K90" s="1" t="n">
        <v>11.93</v>
      </c>
    </row>
    <row r="91">
      <c r="A91" s="1">
        <f>SUM(K91,M91,O91,Q91,S91)</f>
        <v/>
      </c>
      <c r="C91" t="inlineStr">
        <is>
          <t>Walmart</t>
        </is>
      </c>
      <c r="D91" t="inlineStr">
        <is>
          <t>NA</t>
        </is>
      </c>
      <c r="E91" t="inlineStr">
        <is>
          <t>Ziploc Brand Slider Gallon Freezer Food Storage Bags, School Supplies, with Power Shield Technology, 40 Count</t>
        </is>
      </c>
      <c r="F91" t="inlineStr">
        <is>
          <t>NA</t>
        </is>
      </c>
      <c r="G91" t="inlineStr">
        <is>
          <t>0</t>
        </is>
      </c>
      <c r="H91" t="inlineStr">
        <is>
          <t>Ziploc Gallon Freezer Bags</t>
        </is>
      </c>
      <c r="I91" t="inlineStr">
        <is>
          <t>Food Storage</t>
        </is>
      </c>
      <c r="J91" s="2" t="n">
        <v>46247</v>
      </c>
      <c r="K91" s="1" t="n">
        <v>7.98</v>
      </c>
    </row>
    <row r="92">
      <c r="A92" s="1">
        <f>SUM(K92,M92,O92,Q92,S92)</f>
        <v/>
      </c>
      <c r="C92" t="inlineStr">
        <is>
          <t>Walmart</t>
        </is>
      </c>
      <c r="D92" t="inlineStr">
        <is>
          <t>NA</t>
        </is>
      </c>
      <c r="E92" t="inlineStr">
        <is>
          <t>Ziploc Brand Freezer Food Storage Bags, School Supplies, with Grip 'n Seal Technology, Zipper, Quart, 50 Count</t>
        </is>
      </c>
      <c r="F92" t="inlineStr">
        <is>
          <t>NA</t>
        </is>
      </c>
      <c r="G92" t="inlineStr">
        <is>
          <t>0</t>
        </is>
      </c>
      <c r="H92" t="inlineStr">
        <is>
          <t>Ziploc Quart Freezer Bags</t>
        </is>
      </c>
      <c r="I92" t="inlineStr">
        <is>
          <t>Food Storage</t>
        </is>
      </c>
      <c r="J92" s="2" t="n">
        <v>46247</v>
      </c>
      <c r="K92" s="1" t="n">
        <v>6.48</v>
      </c>
    </row>
    <row r="93">
      <c r="A93" s="1">
        <f>SUM(K93,M93,O93,Q93,S93)</f>
        <v/>
      </c>
      <c r="C93" t="inlineStr">
        <is>
          <t>Walmart</t>
        </is>
      </c>
      <c r="D93" t="inlineStr">
        <is>
          <t>NA</t>
        </is>
      </c>
      <c r="E93" t="inlineStr">
        <is>
          <t>Fresh Mini Cucumbers, 16 oz</t>
        </is>
      </c>
      <c r="F93" t="inlineStr">
        <is>
          <t>NA</t>
        </is>
      </c>
      <c r="G93" t="inlineStr">
        <is>
          <t>0</t>
        </is>
      </c>
      <c r="H93" t="inlineStr">
        <is>
          <t>Mini Cucumbers</t>
        </is>
      </c>
      <c r="I93" t="inlineStr">
        <is>
          <t>Fresh Vegetables</t>
        </is>
      </c>
      <c r="J93" s="2" t="n">
        <v>46247</v>
      </c>
      <c r="K93" s="1" t="n">
        <v>2.08</v>
      </c>
    </row>
    <row r="94">
      <c r="A94" s="1">
        <f>SUM(K94,M94,O94,Q94,S94)</f>
        <v/>
      </c>
      <c r="C94" t="inlineStr">
        <is>
          <t>Walmart</t>
        </is>
      </c>
      <c r="D94" t="inlineStr">
        <is>
          <t>NA</t>
        </is>
      </c>
      <c r="E94" t="inlineStr">
        <is>
          <t>2 pack) Yehuda Sabbath Candles,12ct</t>
        </is>
      </c>
      <c r="F94" t="inlineStr">
        <is>
          <t>T</t>
        </is>
      </c>
      <c r="G94" t="inlineStr">
        <is>
          <t>0</t>
        </is>
      </c>
      <c r="H94" t="inlineStr">
        <is>
          <t>Yehuda Sabbath Candles</t>
        </is>
      </c>
      <c r="I94" t="inlineStr">
        <is>
          <t>Judaica</t>
        </is>
      </c>
      <c r="J94" s="2" t="n">
        <v>46247</v>
      </c>
      <c r="K94" s="1" t="n">
        <v>3.16</v>
      </c>
    </row>
    <row r="95">
      <c r="A95" s="1">
        <f>SUM(K95,M95,O95,Q95,S95)</f>
        <v/>
      </c>
      <c r="C95" t="inlineStr">
        <is>
          <t>Walmart</t>
        </is>
      </c>
      <c r="D95" t="inlineStr">
        <is>
          <t>NA</t>
        </is>
      </c>
      <c r="E95" t="inlineStr">
        <is>
          <t>Fresh Yellow Squash, Each 11 weight adjusted aty1</t>
        </is>
      </c>
      <c r="F95" t="inlineStr">
        <is>
          <t>NA</t>
        </is>
      </c>
      <c r="G95" t="inlineStr">
        <is>
          <t>0</t>
        </is>
      </c>
      <c r="H95" t="inlineStr">
        <is>
          <t>Yellow Squash</t>
        </is>
      </c>
      <c r="I95" t="inlineStr">
        <is>
          <t>Fresh Vegetables</t>
        </is>
      </c>
      <c r="J95" s="2" t="n">
        <v>46247</v>
      </c>
      <c r="K95" s="1" t="n">
        <v>0.42</v>
      </c>
      <c r="L95" s="2" t="n">
        <v>46247</v>
      </c>
      <c r="M95" s="1" t="n">
        <v>0.42</v>
      </c>
    </row>
    <row r="96">
      <c r="A96" s="1">
        <f>SUM(K96,M96,O96,Q96,S96)</f>
        <v/>
      </c>
      <c r="C96" t="inlineStr">
        <is>
          <t>Walmart</t>
        </is>
      </c>
      <c r="D96" t="inlineStr">
        <is>
          <t>NA</t>
        </is>
      </c>
      <c r="E96" t="inlineStr">
        <is>
          <t>Fresh Zucchini, Each 11 weight adjusted aty1</t>
        </is>
      </c>
      <c r="F96" t="inlineStr">
        <is>
          <t>NA</t>
        </is>
      </c>
      <c r="G96" t="inlineStr">
        <is>
          <t>0</t>
        </is>
      </c>
      <c r="H96" t="inlineStr">
        <is>
          <t>Zucchini</t>
        </is>
      </c>
      <c r="I96" t="inlineStr">
        <is>
          <t>Fresh Vegetables</t>
        </is>
      </c>
      <c r="J96" s="2" t="n">
        <v>46247</v>
      </c>
      <c r="K96" s="1" t="n">
        <v>0.6</v>
      </c>
      <c r="L96" s="2" t="n">
        <v>46247</v>
      </c>
      <c r="M96" s="1" t="n">
        <v>0.6</v>
      </c>
    </row>
    <row r="97">
      <c r="A97" s="1">
        <f>SUM(K97,M97,O97,Q97,S97)</f>
        <v/>
      </c>
      <c r="C97" t="inlineStr">
        <is>
          <t>Walmart</t>
        </is>
      </c>
      <c r="D97" t="inlineStr">
        <is>
          <t>NA</t>
        </is>
      </c>
      <c r="E97" t="inlineStr">
        <is>
          <t>Fresh Whole Red Onion, Each</t>
        </is>
      </c>
      <c r="F97" t="inlineStr">
        <is>
          <t>NA</t>
        </is>
      </c>
      <c r="G97" t="inlineStr">
        <is>
          <t>0</t>
        </is>
      </c>
      <c r="H97" t="inlineStr">
        <is>
          <t>Red Onion</t>
        </is>
      </c>
      <c r="I97" t="inlineStr">
        <is>
          <t>Fresh Vegetables</t>
        </is>
      </c>
      <c r="J97" s="2" t="n">
        <v>46247</v>
      </c>
      <c r="K97" s="1" t="n">
        <v>0.88</v>
      </c>
      <c r="L97" s="2" t="n">
        <v>46247</v>
      </c>
      <c r="M97" s="1" t="n">
        <v>0.88</v>
      </c>
    </row>
    <row r="98">
      <c r="A98" s="1">
        <f>SUM(K98,M98,O98,Q98,S98)</f>
        <v/>
      </c>
      <c r="C98" t="inlineStr">
        <is>
          <t>Walmart</t>
        </is>
      </c>
      <c r="D98" t="inlineStr">
        <is>
          <t>NA</t>
        </is>
      </c>
      <c r="E98" t="inlineStr">
        <is>
          <t>Fresh Tomato on the Vine, Bag (1.9 lbs/Bag Est.) 11 weight adjusted Qty1</t>
        </is>
      </c>
      <c r="F98" t="inlineStr">
        <is>
          <t>NA</t>
        </is>
      </c>
      <c r="G98" t="inlineStr">
        <is>
          <t>0</t>
        </is>
      </c>
      <c r="H98" t="inlineStr">
        <is>
          <t>Tomatoes on the Vine</t>
        </is>
      </c>
      <c r="I98" t="inlineStr">
        <is>
          <t>Fresh Vegetables</t>
        </is>
      </c>
      <c r="J98" s="2" t="n">
        <v>46247</v>
      </c>
      <c r="K98" s="1" t="n">
        <v>3.85</v>
      </c>
    </row>
    <row r="99">
      <c r="A99" s="1">
        <f>SUM(K99,M99,O99,Q99,S99)</f>
        <v/>
      </c>
      <c r="C99" t="inlineStr">
        <is>
          <t>Walmart</t>
        </is>
      </c>
      <c r="D99" t="inlineStr">
        <is>
          <t>NA</t>
        </is>
      </c>
      <c r="E99" t="inlineStr">
        <is>
          <t>Fresh Banana, Each 11 weight adjusted Qty7</t>
        </is>
      </c>
      <c r="F99" t="inlineStr">
        <is>
          <t>NA</t>
        </is>
      </c>
      <c r="G99" t="inlineStr">
        <is>
          <t>0</t>
        </is>
      </c>
      <c r="H99" t="inlineStr">
        <is>
          <t>Bananas</t>
        </is>
      </c>
      <c r="I99" t="inlineStr">
        <is>
          <t>Fresh Fruit</t>
        </is>
      </c>
      <c r="J99" s="2" t="n">
        <v>46247</v>
      </c>
      <c r="K99" s="1" t="n">
        <v>1.76</v>
      </c>
      <c r="L99" s="2" t="n">
        <v>46247</v>
      </c>
      <c r="M99" s="1" t="n">
        <v>1.76</v>
      </c>
    </row>
    <row r="100">
      <c r="A100" s="1">
        <f>SUM(K100,M100,O100,Q100,S100)</f>
        <v/>
      </c>
      <c r="C100" t="inlineStr">
        <is>
          <t>Walmart</t>
        </is>
      </c>
      <c r="D100" t="inlineStr">
        <is>
          <t>NA</t>
        </is>
      </c>
      <c r="E100" t="inlineStr">
        <is>
          <t>Command Heavy Duty Picture Hangers, Hold 20 tbs, Black, Damage-Free Hanging, 8 Pairs Adhesive Strips</t>
        </is>
      </c>
      <c r="F100" t="inlineStr">
        <is>
          <t>NA</t>
        </is>
      </c>
      <c r="G100" t="inlineStr">
        <is>
          <t>0</t>
        </is>
      </c>
      <c r="H100" t="inlineStr">
        <is>
          <t>Command Heavy Duty Picture Hangers</t>
        </is>
      </c>
      <c r="I100" t="inlineStr">
        <is>
          <t>Home Improvement</t>
        </is>
      </c>
      <c r="J100" s="2" t="n">
        <v>46260</v>
      </c>
      <c r="K100" s="1" t="n">
        <v>28.54</v>
      </c>
    </row>
    <row r="101">
      <c r="A101" s="1">
        <f>SUM(K101,M101,O101,Q101,S101)</f>
        <v/>
      </c>
      <c r="C101" t="inlineStr">
        <is>
          <t>Walmart</t>
        </is>
      </c>
      <c r="D101" t="inlineStr">
        <is>
          <t>NA</t>
        </is>
      </c>
      <c r="E101" t="inlineStr">
        <is>
          <t>Dove Men+Care Antiperspirant Deodorant Stick 72-Hour Sweat &amp; Odor Protection Clean Comfort Antiperspirant For Men</t>
        </is>
      </c>
      <c r="F101" t="inlineStr">
        <is>
          <t>NA</t>
        </is>
      </c>
      <c r="G101" t="inlineStr">
        <is>
          <t>0</t>
        </is>
      </c>
      <c r="H101" t="inlineStr">
        <is>
          <t>Dove Men+Care Antiperspirant</t>
        </is>
      </c>
      <c r="I101" t="inlineStr">
        <is>
          <t>Deodorant</t>
        </is>
      </c>
      <c r="J101" s="2" t="n">
        <v>46260</v>
      </c>
      <c r="K101" t="inlineStr">
        <is>
          <t>NA</t>
        </is>
      </c>
    </row>
    <row r="102">
      <c r="A102" s="1">
        <f>SUM(K102,M102,O102,Q102,S102)</f>
        <v/>
      </c>
      <c r="C102" t="inlineStr">
        <is>
          <t>Walmart</t>
        </is>
      </c>
      <c r="D102" t="inlineStr">
        <is>
          <t>NA</t>
        </is>
      </c>
      <c r="E102" t="inlineStr">
        <is>
          <t>Dawn Ultra 11" Puff Glassware and Dish Cleaning Brush Wand with Sponge Head</t>
        </is>
      </c>
      <c r="F102" t="inlineStr">
        <is>
          <t>NA</t>
        </is>
      </c>
      <c r="G102" t="inlineStr">
        <is>
          <t>0</t>
        </is>
      </c>
      <c r="H102" t="inlineStr">
        <is>
          <t>Dawn Dish Cleaning Brush Wand</t>
        </is>
      </c>
      <c r="I102" t="inlineStr">
        <is>
          <t>Dishwashing Supplies</t>
        </is>
      </c>
      <c r="J102" s="2" t="n">
        <v>46260</v>
      </c>
      <c r="K102" s="1" t="n">
        <v>4.46</v>
      </c>
    </row>
    <row r="103">
      <c r="A103" s="1">
        <f>SUM(K103,M103,O103,Q103,S103)</f>
        <v/>
      </c>
      <c r="C103" t="inlineStr">
        <is>
          <t>Walmart</t>
        </is>
      </c>
      <c r="D103" t="inlineStr">
        <is>
          <t>NA</t>
        </is>
      </c>
      <c r="E103" t="inlineStr">
        <is>
          <t>Once Upon a Farm Organic Tractor Wheels Toddler Bar, Apple, Sweet Potato &amp; Spinach, 10ct</t>
        </is>
      </c>
      <c r="F103" t="inlineStr">
        <is>
          <t>NA</t>
        </is>
      </c>
      <c r="G103" t="inlineStr">
        <is>
          <t>0</t>
        </is>
      </c>
      <c r="H103" t="inlineStr">
        <is>
          <t>Once Upon a Farm Tractor Wheels Toddler Bars</t>
        </is>
      </c>
      <c r="I103" t="inlineStr">
        <is>
          <t>Baby &amp; Toddler Food</t>
        </is>
      </c>
      <c r="J103" s="2" t="n">
        <v>46260</v>
      </c>
      <c r="K103" s="1" t="n">
        <v>9.98</v>
      </c>
    </row>
    <row r="104">
      <c r="A104" s="1">
        <f>SUM(K104,M104,O104,Q104,S104)</f>
        <v/>
      </c>
      <c r="C104" t="inlineStr">
        <is>
          <t>Walmart</t>
        </is>
      </c>
      <c r="D104" t="inlineStr">
        <is>
          <t>NA</t>
        </is>
      </c>
      <c r="E104" t="inlineStr">
        <is>
          <t>Weiman Granite &amp; Stone Disinfectant Cleaner &amp; Polish, 24 floz</t>
        </is>
      </c>
      <c r="F104" t="inlineStr">
        <is>
          <t>NA</t>
        </is>
      </c>
      <c r="G104" t="inlineStr">
        <is>
          <t>0</t>
        </is>
      </c>
      <c r="H104" t="inlineStr">
        <is>
          <t>Weiman Granite &amp; Stone Cleaner &amp; Polish</t>
        </is>
      </c>
      <c r="I104" t="inlineStr">
        <is>
          <t>Household Cleaners</t>
        </is>
      </c>
      <c r="J104" s="2" t="n">
        <v>46260</v>
      </c>
      <c r="K104" s="1" t="n">
        <v>6.24</v>
      </c>
    </row>
    <row r="105">
      <c r="A105" s="1">
        <f>SUM(K105,M105,O105,Q105,S105)</f>
        <v/>
      </c>
      <c r="C105" t="inlineStr">
        <is>
          <t>Walmart</t>
        </is>
      </c>
      <c r="D105" t="inlineStr">
        <is>
          <t>NA</t>
        </is>
      </c>
      <c r="E105" t="inlineStr">
        <is>
          <t>Chobani Low-Fat Vanilla Greek Yogurt Mixed Berry On The Bottom, Hero Batch z 4PK</t>
        </is>
      </c>
      <c r="F105" t="inlineStr">
        <is>
          <t>NA</t>
        </is>
      </c>
      <c r="G105" t="inlineStr">
        <is>
          <t>0</t>
        </is>
      </c>
      <c r="H105" t="inlineStr">
        <is>
          <t>Chobani Vanilla Mixed Berry Greek Yogurt</t>
        </is>
      </c>
      <c r="I105" t="inlineStr">
        <is>
          <t>Yogurt</t>
        </is>
      </c>
      <c r="J105" s="2" t="n">
        <v>46260</v>
      </c>
      <c r="K105" s="1" t="n">
        <v>4.67</v>
      </c>
    </row>
    <row r="106">
      <c r="A106" s="1">
        <f>SUM(K106,M106,O106,Q106,S106)</f>
        <v/>
      </c>
      <c r="C106" t="inlineStr">
        <is>
          <t>Walmart</t>
        </is>
      </c>
      <c r="D106" t="inlineStr">
        <is>
          <t>NA</t>
        </is>
      </c>
      <c r="E106" t="inlineStr">
        <is>
          <t>Fresh Banana, Each 4 weight adjusted aty4</t>
        </is>
      </c>
      <c r="F106" t="inlineStr">
        <is>
          <t>NA</t>
        </is>
      </c>
      <c r="G106" t="inlineStr">
        <is>
          <t>0</t>
        </is>
      </c>
      <c r="H106" t="inlineStr">
        <is>
          <t>Bananas</t>
        </is>
      </c>
      <c r="I106" t="inlineStr">
        <is>
          <t>Fresh Fruit</t>
        </is>
      </c>
      <c r="J106" s="2" t="n">
        <v>46260</v>
      </c>
      <c r="K106" s="1" t="n">
        <v>0.6</v>
      </c>
      <c r="L106" s="2" t="n">
        <v>46260</v>
      </c>
      <c r="M106" s="1" t="n">
        <v>0.6</v>
      </c>
    </row>
    <row r="107">
      <c r="A107" s="1">
        <f>SUM(K107,M107,O107,Q107,S107)</f>
        <v/>
      </c>
      <c r="C107" t="inlineStr">
        <is>
          <t>Publix</t>
        </is>
      </c>
      <c r="D107" t="inlineStr">
        <is>
          <t>NA</t>
        </is>
      </c>
      <c r="E107" t="inlineStr">
        <is>
          <t>Jif Nsa P/B Creamy</t>
        </is>
      </c>
      <c r="F107" t="inlineStr">
        <is>
          <t>F</t>
        </is>
      </c>
      <c r="G107" t="inlineStr">
        <is>
          <t>120</t>
        </is>
      </c>
      <c r="H107" t="inlineStr">
        <is>
          <t>Jif No Sugar Added Creamy Peanut Butter</t>
        </is>
      </c>
      <c r="I107" t="inlineStr">
        <is>
          <t>Peanut Butter</t>
        </is>
      </c>
      <c r="J107" s="2" t="n">
        <v>46262</v>
      </c>
      <c r="K107" s="1" t="n">
        <v>3.69</v>
      </c>
    </row>
    <row r="108">
      <c r="A108" s="1">
        <f>SUM(K108,M108,O108,Q108,S108)</f>
        <v/>
      </c>
      <c r="C108" t="inlineStr">
        <is>
          <t>Publix</t>
        </is>
      </c>
      <c r="D108" t="inlineStr">
        <is>
          <t>NA</t>
        </is>
      </c>
      <c r="E108" t="inlineStr">
        <is>
          <t>King Arth G/ Pnck Hix</t>
        </is>
      </c>
      <c r="F108" t="inlineStr">
        <is>
          <t>F</t>
        </is>
      </c>
      <c r="G108" t="inlineStr">
        <is>
          <t>120</t>
        </is>
      </c>
      <c r="H108" t="inlineStr">
        <is>
          <t>King Arthur Gluten-Free Pancake Mix</t>
        </is>
      </c>
      <c r="I108" t="inlineStr">
        <is>
          <t>Baking Mixes</t>
        </is>
      </c>
      <c r="J108" s="2" t="n">
        <v>46262</v>
      </c>
      <c r="K108" s="1" t="n">
        <v>5.15</v>
      </c>
    </row>
    <row r="109">
      <c r="A109" s="1">
        <f>SUM(K109,M109,O109,Q109,S109)</f>
        <v/>
      </c>
      <c r="C109" t="inlineStr">
        <is>
          <t>Publix</t>
        </is>
      </c>
      <c r="D109" t="inlineStr">
        <is>
          <t>NA</t>
        </is>
      </c>
      <c r="E109" t="inlineStr">
        <is>
          <t>Bagged Green Beans</t>
        </is>
      </c>
      <c r="F109" t="inlineStr">
        <is>
          <t>F</t>
        </is>
      </c>
      <c r="G109" t="inlineStr">
        <is>
          <t>120</t>
        </is>
      </c>
      <c r="H109" t="inlineStr">
        <is>
          <t>Green Beans</t>
        </is>
      </c>
      <c r="I109" t="inlineStr">
        <is>
          <t>Fresh Vegetables</t>
        </is>
      </c>
      <c r="J109" s="2" t="n">
        <v>46262</v>
      </c>
      <c r="K109" s="1" t="n">
        <v>2.99</v>
      </c>
    </row>
    <row r="110">
      <c r="A110" s="1">
        <f>SUM(K110,M110,O110,Q110,S110)</f>
        <v/>
      </c>
      <c r="C110" t="inlineStr">
        <is>
          <t>Publix</t>
        </is>
      </c>
      <c r="D110" t="inlineStr">
        <is>
          <t>NA</t>
        </is>
      </c>
      <c r="E110" t="inlineStr">
        <is>
          <t>Potato Nibbles Ruby Sensa</t>
        </is>
      </c>
      <c r="F110" t="inlineStr">
        <is>
          <t>F</t>
        </is>
      </c>
      <c r="G110" t="inlineStr">
        <is>
          <t>120</t>
        </is>
      </c>
      <c r="H110" t="inlineStr">
        <is>
          <t>Ruby Sensation Potato Nibbles</t>
        </is>
      </c>
      <c r="I110" t="inlineStr">
        <is>
          <t>Fresh Vegetables</t>
        </is>
      </c>
      <c r="J110" s="2" t="n">
        <v>46262</v>
      </c>
      <c r="K110" s="1" t="n">
        <v>5.15</v>
      </c>
    </row>
    <row r="111">
      <c r="A111" s="1">
        <f>SUM(K111,M111,O111,Q111,S111)</f>
        <v/>
      </c>
      <c r="C111" t="inlineStr">
        <is>
          <t>Publix</t>
        </is>
      </c>
      <c r="D111" t="inlineStr">
        <is>
          <t>NA</t>
        </is>
      </c>
      <c r="E111" t="inlineStr">
        <is>
          <t>Cholula Cremosa Gltro Lme</t>
        </is>
      </c>
      <c r="F111" t="inlineStr">
        <is>
          <t>F</t>
        </is>
      </c>
      <c r="G111" t="inlineStr">
        <is>
          <t>120</t>
        </is>
      </c>
      <c r="H111" t="inlineStr">
        <is>
          <t>Cholula Cremosa Cilantro Lime Sauce</t>
        </is>
      </c>
      <c r="I111" t="inlineStr">
        <is>
          <t>Sauces &amp; Condiments</t>
        </is>
      </c>
      <c r="J111" s="2" t="n">
        <v>46262</v>
      </c>
      <c r="K111" s="1" t="n">
        <v>3.19</v>
      </c>
    </row>
    <row r="112">
      <c r="A112" s="1">
        <f>SUM(K112,M112,O112,Q112,S112)</f>
        <v/>
      </c>
      <c r="C112" t="inlineStr">
        <is>
          <t>Publix</t>
        </is>
      </c>
      <c r="D112" t="inlineStr">
        <is>
          <t>NA</t>
        </is>
      </c>
      <c r="E112" t="inlineStr">
        <is>
          <t>Mc Sig Evrythng Bgel Ssng</t>
        </is>
      </c>
      <c r="F112" t="inlineStr">
        <is>
          <t>F</t>
        </is>
      </c>
      <c r="G112" t="inlineStr">
        <is>
          <t>120</t>
        </is>
      </c>
      <c r="H112" t="inlineStr">
        <is>
          <t>McCormick Everything Bagel Seasoning</t>
        </is>
      </c>
      <c r="I112" t="inlineStr">
        <is>
          <t>Seasonings &amp; Spices</t>
        </is>
      </c>
      <c r="J112" s="2" t="n">
        <v>46262</v>
      </c>
      <c r="K112" s="1" t="n">
        <v>6.79</v>
      </c>
    </row>
    <row r="113">
      <c r="A113" s="1">
        <f>SUM(K113,M113,O113,Q113,S113)</f>
        <v/>
      </c>
      <c r="C113" t="inlineStr">
        <is>
          <t>Publix</t>
        </is>
      </c>
      <c r="D113" t="inlineStr">
        <is>
          <t>NA</t>
        </is>
      </c>
      <c r="E113" t="inlineStr">
        <is>
          <t>Banza White Cheddar Shel</t>
        </is>
      </c>
      <c r="F113" t="inlineStr">
        <is>
          <t>F</t>
        </is>
      </c>
      <c r="G113" t="inlineStr">
        <is>
          <t>120</t>
        </is>
      </c>
      <c r="H113" t="inlineStr">
        <is>
          <t>Banza White Cheddar Shells</t>
        </is>
      </c>
      <c r="I113" t="inlineStr">
        <is>
          <t>Macaroni &amp; Cheese</t>
        </is>
      </c>
      <c r="J113" s="2" t="n">
        <v>46262</v>
      </c>
      <c r="K113" s="1" t="n">
        <v>3.99</v>
      </c>
    </row>
    <row r="114">
      <c r="A114" s="1">
        <f>SUM(K114,M114,O114,Q114,S114)</f>
        <v/>
      </c>
      <c r="C114" t="inlineStr">
        <is>
          <t>Publix</t>
        </is>
      </c>
      <c r="D114" t="inlineStr">
        <is>
          <t>NA</t>
        </is>
      </c>
      <c r="E114" t="inlineStr">
        <is>
          <t>anza White Cheddar Shel</t>
        </is>
      </c>
      <c r="F114" t="inlineStr">
        <is>
          <t>F</t>
        </is>
      </c>
      <c r="G114" t="inlineStr">
        <is>
          <t>120</t>
        </is>
      </c>
      <c r="H114" t="inlineStr">
        <is>
          <t>Banza White Cheddar Shells</t>
        </is>
      </c>
      <c r="I114" t="inlineStr">
        <is>
          <t>Macaroni &amp; Cheese</t>
        </is>
      </c>
      <c r="J114" s="2" t="n">
        <v>46262</v>
      </c>
      <c r="K114" s="1" t="n">
        <v>3.99</v>
      </c>
    </row>
    <row r="115">
      <c r="A115" s="1">
        <f>SUM(K115,M115,O115,Q115,S115)</f>
        <v/>
      </c>
      <c r="C115" t="inlineStr">
        <is>
          <t>Publix</t>
        </is>
      </c>
      <c r="D115" t="inlineStr">
        <is>
          <t>NA</t>
        </is>
      </c>
      <c r="E115" t="inlineStr">
        <is>
          <t>Annie's Dlx Shi&amp;Chd Gf</t>
        </is>
      </c>
      <c r="F115" t="inlineStr">
        <is>
          <t>F</t>
        </is>
      </c>
      <c r="G115" t="inlineStr">
        <is>
          <t>120</t>
        </is>
      </c>
      <c r="H115" t="inlineStr">
        <is>
          <t>Annie's Gluten-Free Deluxe Shells &amp; Cheddar</t>
        </is>
      </c>
      <c r="I115" t="inlineStr">
        <is>
          <t>Macaroni &amp; Cheese</t>
        </is>
      </c>
      <c r="J115" s="2" t="n">
        <v>46262</v>
      </c>
      <c r="K115" s="1" t="n">
        <v>5.45</v>
      </c>
    </row>
    <row r="116">
      <c r="A116" s="1">
        <f>SUM(K116,M116,O116,Q116,S116)</f>
        <v/>
      </c>
      <c r="C116" t="inlineStr">
        <is>
          <t>Publix</t>
        </is>
      </c>
      <c r="D116" t="inlineStr">
        <is>
          <t>NA</t>
        </is>
      </c>
      <c r="E116" t="inlineStr">
        <is>
          <t>Annie's Dlx Shl&amp;Chd Gf</t>
        </is>
      </c>
      <c r="F116" t="inlineStr">
        <is>
          <t>F</t>
        </is>
      </c>
      <c r="G116" t="inlineStr">
        <is>
          <t>120</t>
        </is>
      </c>
      <c r="H116" t="inlineStr">
        <is>
          <t>Annie's Gluten-Free Deluxe Shells &amp; Cheddar</t>
        </is>
      </c>
      <c r="I116" t="inlineStr">
        <is>
          <t>Macaroni &amp; Cheese</t>
        </is>
      </c>
      <c r="J116" s="2" t="n">
        <v>46262</v>
      </c>
      <c r="K116" s="1" t="n">
        <v>5.45</v>
      </c>
    </row>
    <row r="117">
      <c r="A117" s="1">
        <f>SUM(K117,M117,O117,Q117,S117)</f>
        <v/>
      </c>
      <c r="C117" t="inlineStr">
        <is>
          <t>Publix</t>
        </is>
      </c>
      <c r="D117" t="inlineStr">
        <is>
          <t>NA</t>
        </is>
      </c>
      <c r="E117" t="inlineStr">
        <is>
          <t>Gw Keta Salmon Fillet</t>
        </is>
      </c>
      <c r="F117" t="inlineStr">
        <is>
          <t>F</t>
        </is>
      </c>
      <c r="G117" t="inlineStr">
        <is>
          <t>120</t>
        </is>
      </c>
      <c r="H117" t="inlineStr">
        <is>
          <t>GreenWise Keta Salmon Fillet</t>
        </is>
      </c>
      <c r="I117" t="inlineStr">
        <is>
          <t>Fresh Seafood</t>
        </is>
      </c>
      <c r="J117" s="2" t="n">
        <v>46262</v>
      </c>
      <c r="K117" s="1" t="n">
        <v>14.29</v>
      </c>
    </row>
    <row r="118">
      <c r="A118" s="1">
        <f>SUM(K118,M118,O118,Q118,S118)</f>
        <v/>
      </c>
      <c r="C118" t="inlineStr">
        <is>
          <t>Publix</t>
        </is>
      </c>
      <c r="D118" t="inlineStr">
        <is>
          <t>NA</t>
        </is>
      </c>
      <c r="E118" t="inlineStr">
        <is>
          <t>Bananas</t>
        </is>
      </c>
      <c r="F118" t="inlineStr">
        <is>
          <t>NA</t>
        </is>
      </c>
      <c r="G118" t="inlineStr">
        <is>
          <t>120</t>
        </is>
      </c>
      <c r="H118" t="inlineStr">
        <is>
          <t>Bananas</t>
        </is>
      </c>
      <c r="I118" t="inlineStr">
        <is>
          <t>Fresh Fruit</t>
        </is>
      </c>
      <c r="J118" s="2" t="n">
        <v>46262</v>
      </c>
      <c r="K118" t="n">
        <v>1.53</v>
      </c>
    </row>
    <row r="119">
      <c r="A119" s="1">
        <f>SUM(K119,M119,O119,Q119,S119)</f>
        <v/>
      </c>
      <c r="C119" t="inlineStr">
        <is>
          <t>Publix</t>
        </is>
      </c>
      <c r="D119" t="inlineStr">
        <is>
          <t>NA</t>
        </is>
      </c>
      <c r="E119" t="inlineStr">
        <is>
          <t>Daiya Shreds Mexican Bld</t>
        </is>
      </c>
      <c r="F119" t="inlineStr">
        <is>
          <t>F</t>
        </is>
      </c>
      <c r="G119" t="inlineStr">
        <is>
          <t>120</t>
        </is>
      </c>
      <c r="H119" t="inlineStr">
        <is>
          <t>Daiya Mexican Blend Shreds</t>
        </is>
      </c>
      <c r="I119" t="inlineStr">
        <is>
          <t>Plant-Based Cheese</t>
        </is>
      </c>
      <c r="J119" s="2" t="n">
        <v>46262</v>
      </c>
      <c r="K119" s="1" t="n">
        <v>5.65</v>
      </c>
      <c r="L119" s="2" t="n">
        <v>46262</v>
      </c>
      <c r="M119" s="1" t="n">
        <v>0</v>
      </c>
    </row>
    <row r="120">
      <c r="A120" s="1">
        <f>SUM(K120,M120,O120,Q120,S120)</f>
        <v/>
      </c>
      <c r="C120" t="inlineStr">
        <is>
          <t>Publix</t>
        </is>
      </c>
      <c r="D120" t="inlineStr">
        <is>
          <t>NA</t>
        </is>
      </c>
      <c r="E120" t="inlineStr">
        <is>
          <t>Tf Caesar Salad Kit Chop F</t>
        </is>
      </c>
      <c r="F120" t="inlineStr">
        <is>
          <t>NA</t>
        </is>
      </c>
      <c r="G120" t="inlineStr">
        <is>
          <t>120</t>
        </is>
      </c>
      <c r="H120" t="inlineStr">
        <is>
          <t>Taylor Farms Chopped Caesar Salad Kit</t>
        </is>
      </c>
      <c r="I120" t="inlineStr">
        <is>
          <t>Salad Kits</t>
        </is>
      </c>
      <c r="J120" s="2" t="n">
        <v>46262</v>
      </c>
      <c r="K120" t="n">
        <v>3.33</v>
      </c>
    </row>
    <row r="121">
      <c r="A121" s="1">
        <f>SUM(K121,M121,O121,Q121,S121)</f>
        <v/>
      </c>
      <c r="C121" t="inlineStr">
        <is>
          <t>Publix</t>
        </is>
      </c>
      <c r="D121" t="inlineStr">
        <is>
          <t>NA</t>
        </is>
      </c>
      <c r="E121" t="inlineStr">
        <is>
          <t>Tf Everything Salad Chop</t>
        </is>
      </c>
      <c r="F121" t="inlineStr">
        <is>
          <t>TF</t>
        </is>
      </c>
      <c r="G121" t="inlineStr">
        <is>
          <t>120</t>
        </is>
      </c>
      <c r="H121" t="inlineStr">
        <is>
          <t>Taylor Farms Everything Chopped Salad Kit</t>
        </is>
      </c>
      <c r="I121" t="inlineStr">
        <is>
          <t>Salad Kits</t>
        </is>
      </c>
      <c r="J121" s="2" t="n">
        <v>46262</v>
      </c>
      <c r="K121" t="n">
        <v>3.33</v>
      </c>
    </row>
    <row r="122">
      <c r="A122" s="1">
        <f>SUM(K122,M122,O122,Q122,S122)</f>
        <v/>
      </c>
      <c r="C122" t="inlineStr">
        <is>
          <t>Publix</t>
        </is>
      </c>
      <c r="D122" t="inlineStr">
        <is>
          <t>NA</t>
        </is>
      </c>
      <c r="E122" t="inlineStr">
        <is>
          <t>Hagen David Blackberry</t>
        </is>
      </c>
      <c r="F122" t="inlineStr">
        <is>
          <t>T</t>
        </is>
      </c>
      <c r="G122" t="inlineStr">
        <is>
          <t>120</t>
        </is>
      </c>
      <c r="H122" t="inlineStr">
        <is>
          <t>Häagen-Dazs Blackberry Ice Cream</t>
        </is>
      </c>
      <c r="I122" t="inlineStr">
        <is>
          <t>Ice Cream</t>
        </is>
      </c>
      <c r="J122" s="2" t="n">
        <v>46262</v>
      </c>
      <c r="K122" s="1" t="n">
        <v>7.19</v>
      </c>
    </row>
    <row r="123">
      <c r="A123" s="1">
        <f>SUM(K123,M123,O123,Q123,S123)</f>
        <v/>
      </c>
      <c r="C123" t="inlineStr">
        <is>
          <t>Publix</t>
        </is>
      </c>
      <c r="D123" t="inlineStr">
        <is>
          <t>NA</t>
        </is>
      </c>
      <c r="E123" t="inlineStr">
        <is>
          <t>Tax</t>
        </is>
      </c>
      <c r="F123" t="inlineStr">
        <is>
          <t>NA</t>
        </is>
      </c>
      <c r="G123" t="inlineStr">
        <is>
          <t>120</t>
        </is>
      </c>
      <c r="H123" t="inlineStr">
        <is>
          <t>Tax</t>
        </is>
      </c>
      <c r="I123" t="inlineStr">
        <is>
          <t>Fees &amp; Charges</t>
        </is>
      </c>
      <c r="J123" s="2" t="n">
        <v>46262</v>
      </c>
      <c r="K123" t="n">
        <v>0.5</v>
      </c>
    </row>
    <row r="124">
      <c r="A124" s="1">
        <f>SUM(K124,M124,O124,Q124,S124)</f>
        <v/>
      </c>
      <c r="C124" t="inlineStr">
        <is>
          <t>Publix</t>
        </is>
      </c>
      <c r="D124" t="inlineStr">
        <is>
          <t>NA</t>
        </is>
      </c>
      <c r="E124" t="inlineStr">
        <is>
          <t>Tf Everything Salad Chop</t>
        </is>
      </c>
      <c r="F124" t="inlineStr">
        <is>
          <t>TF</t>
        </is>
      </c>
      <c r="G124" t="inlineStr">
        <is>
          <t>120</t>
        </is>
      </c>
      <c r="H124" t="inlineStr">
        <is>
          <t>Taylor Farms Everything Chopped Salad Kit</t>
        </is>
      </c>
      <c r="I124" t="inlineStr">
        <is>
          <t>Salad Kits</t>
        </is>
      </c>
      <c r="J124" s="2" t="n">
        <v>46262</v>
      </c>
      <c r="K124" t="n">
        <v>3.34</v>
      </c>
    </row>
    <row r="125">
      <c r="A125" s="1">
        <f>SUM(K125,M125,O125,Q125,S125)</f>
        <v/>
      </c>
    </row>
    <row r="126">
      <c r="A126" s="1">
        <f>SUM(K126,M126,O126,Q126,S126)</f>
        <v/>
      </c>
    </row>
    <row r="127">
      <c r="A127" s="1">
        <f>SUM(K127,M127,O127,Q127,S127)</f>
        <v/>
      </c>
    </row>
    <row r="128">
      <c r="A128" s="1">
        <f>SUM(K128,M128,O128,Q128,S128)</f>
        <v/>
      </c>
    </row>
    <row r="129">
      <c r="A129" s="1">
        <f>SUM(K129,M129,O129,Q129,S129)</f>
        <v/>
      </c>
    </row>
    <row r="130">
      <c r="A130" s="1">
        <f>SUM(K130,M130,O130,Q130,S130)</f>
        <v/>
      </c>
    </row>
    <row r="131">
      <c r="A131" s="1">
        <f>SUM(K131,M131,O131,Q131,S131)</f>
        <v/>
      </c>
    </row>
  </sheetData>
  <autoFilter ref="A1:S12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style="41" min="1" max="1"/>
    <col width="28" customWidth="1" style="41" min="2" max="2"/>
    <col width="34" customWidth="1" style="41" min="3" max="3"/>
    <col width="34" customWidth="1" style="41" min="4" max="4"/>
    <col width="34" customWidth="1" style="41" min="5" max="5"/>
    <col width="34" customWidth="1" style="41" min="6" max="6"/>
    <col width="34" customWidth="1" style="41" min="7" max="7"/>
    <col width="34" customWidth="1" style="41" min="8" max="8"/>
    <col width="34" customWidth="1" style="41" min="9" max="9"/>
    <col width="34" customWidth="1" style="41" min="10" max="10"/>
    <col width="34" customWidth="1" style="41" min="11" max="11"/>
    <col width="34" customWidth="1" style="41" min="12" max="12"/>
    <col width="34" customWidth="1" style="41" min="13" max="13"/>
    <col width="34" customWidth="1" style="41" min="14" max="14"/>
    <col width="34" customWidth="1" style="41" min="15" max="15"/>
  </cols>
  <sheetData>
    <row r="1" ht="24" customHeight="1" s="41">
      <c r="A1" s="70" t="inlineStr">
        <is>
          <t>Category</t>
        </is>
      </c>
      <c r="B1" s="70" t="inlineStr">
        <is>
          <t>Sub-Category</t>
        </is>
      </c>
      <c r="C1" s="70" t="inlineStr">
        <is>
          <t>Product 1</t>
        </is>
      </c>
      <c r="D1" s="70" t="inlineStr">
        <is>
          <t>Product 2</t>
        </is>
      </c>
      <c r="E1" s="70" t="inlineStr">
        <is>
          <t>Product 3</t>
        </is>
      </c>
      <c r="F1" s="70" t="inlineStr">
        <is>
          <t>Product 4</t>
        </is>
      </c>
      <c r="G1" s="70" t="inlineStr">
        <is>
          <t>Product 5</t>
        </is>
      </c>
      <c r="H1" s="70" t="inlineStr">
        <is>
          <t>Product 6</t>
        </is>
      </c>
      <c r="I1" s="70" t="inlineStr">
        <is>
          <t>Product 7</t>
        </is>
      </c>
      <c r="J1" s="70" t="inlineStr">
        <is>
          <t>Product 8</t>
        </is>
      </c>
      <c r="K1" s="70" t="inlineStr">
        <is>
          <t>Product 9</t>
        </is>
      </c>
      <c r="L1" s="70" t="inlineStr">
        <is>
          <t>Product 10</t>
        </is>
      </c>
      <c r="M1" s="70" t="inlineStr">
        <is>
          <t>Product 11</t>
        </is>
      </c>
      <c r="N1" s="70" t="inlineStr">
        <is>
          <t>Product 12</t>
        </is>
      </c>
      <c r="O1" s="70" t="inlineStr">
        <is>
          <t>Product 13</t>
        </is>
      </c>
    </row>
    <row r="2" ht="36" customHeight="1" s="41">
      <c r="A2" s="72" t="inlineStr">
        <is>
          <t>NA</t>
        </is>
      </c>
      <c r="B2" s="72" t="inlineStr">
        <is>
          <t>Baby &amp; Toddler Food</t>
        </is>
      </c>
      <c r="C2" s="71" t="inlineStr">
        <is>
          <t>Once Upon a Farm Tractor Wheels Toddler Bars</t>
        </is>
      </c>
      <c r="D2" s="71" t="n"/>
      <c r="E2" s="71" t="n"/>
      <c r="F2" s="71" t="n"/>
      <c r="G2" s="71" t="n"/>
      <c r="H2" s="71" t="n"/>
      <c r="I2" s="71" t="n"/>
      <c r="J2" s="71" t="n"/>
      <c r="K2" s="71" t="n"/>
      <c r="L2" s="71" t="n"/>
      <c r="M2" s="71" t="n"/>
      <c r="N2" s="71" t="n"/>
      <c r="O2" s="71" t="n"/>
    </row>
    <row r="3" ht="36" customHeight="1" s="41">
      <c r="A3" s="74" t="inlineStr">
        <is>
          <t>NA</t>
        </is>
      </c>
      <c r="B3" s="74" t="inlineStr">
        <is>
          <t>Baby Care</t>
        </is>
      </c>
      <c r="C3" s="73" t="inlineStr">
        <is>
          <t>CeraVe Baby Healing Ointment</t>
        </is>
      </c>
      <c r="D3" s="73" t="inlineStr">
        <is>
          <t>Desitin Maximum Strength Diaper Rash Cream</t>
        </is>
      </c>
      <c r="E3" s="73" t="inlineStr">
        <is>
          <t>Huggies Natural Care Baby Wipes</t>
        </is>
      </c>
      <c r="F3" s="73" t="inlineStr">
        <is>
          <t>Pampers Swaddlers Size 5 Diapers</t>
        </is>
      </c>
      <c r="G3" s="73" t="inlineStr">
        <is>
          <t>Safety 1st Soft Grip Brush &amp; Comb</t>
        </is>
      </c>
      <c r="H3" s="73" t="n"/>
      <c r="I3" s="73" t="n"/>
      <c r="J3" s="73" t="n"/>
      <c r="K3" s="73" t="n"/>
      <c r="L3" s="73" t="n"/>
      <c r="M3" s="73" t="n"/>
      <c r="N3" s="73" t="n"/>
      <c r="O3" s="73" t="n"/>
    </row>
    <row r="4" ht="36" customHeight="1" s="41">
      <c r="A4" s="76" t="inlineStr">
        <is>
          <t>NA</t>
        </is>
      </c>
      <c r="B4" s="76" t="inlineStr">
        <is>
          <t>Baking Ingredients</t>
        </is>
      </c>
      <c r="C4" s="75" t="inlineStr">
        <is>
          <t>Nestle Toll House Allergen-Free Dark Chocolate Baking Chips</t>
        </is>
      </c>
      <c r="D4" s="75" t="inlineStr">
        <is>
          <t>Nestle Toll House Dark Chocolate Baking Chips</t>
        </is>
      </c>
      <c r="E4" s="75" t="n"/>
      <c r="F4" s="75" t="n"/>
      <c r="G4" s="75" t="n"/>
      <c r="H4" s="75" t="n"/>
      <c r="I4" s="75" t="n"/>
      <c r="J4" s="75" t="n"/>
      <c r="K4" s="75" t="n"/>
      <c r="L4" s="75" t="n"/>
      <c r="M4" s="75" t="n"/>
      <c r="N4" s="75" t="n"/>
      <c r="O4" s="75" t="n"/>
    </row>
    <row r="5" ht="36" customHeight="1" s="41">
      <c r="A5" s="78" t="inlineStr">
        <is>
          <t>NA</t>
        </is>
      </c>
      <c r="B5" s="78" t="inlineStr">
        <is>
          <t>Baking Mixes</t>
        </is>
      </c>
      <c r="C5" s="77" t="inlineStr">
        <is>
          <t>Ghirardelli Gluten-Free Double Chocolate Brownie Mix</t>
        </is>
      </c>
      <c r="D5" s="77" t="inlineStr">
        <is>
          <t>King Arthur Gluten-Free Pancake Mix</t>
        </is>
      </c>
      <c r="E5" s="77" t="n"/>
      <c r="F5" s="77" t="n"/>
      <c r="G5" s="77" t="n"/>
      <c r="H5" s="77" t="n"/>
      <c r="I5" s="77" t="n"/>
      <c r="J5" s="77" t="n"/>
      <c r="K5" s="77" t="n"/>
      <c r="L5" s="77" t="n"/>
      <c r="M5" s="77" t="n"/>
      <c r="N5" s="77" t="n"/>
      <c r="O5" s="77" t="n"/>
    </row>
    <row r="6" ht="36" customHeight="1" s="41">
      <c r="A6" s="80" t="inlineStr">
        <is>
          <t>NA</t>
        </is>
      </c>
      <c r="B6" s="80" t="inlineStr">
        <is>
          <t>Body Wash</t>
        </is>
      </c>
      <c r="C6" s="79" t="inlineStr">
        <is>
          <t>Dove Sensitive Skin Body Wash</t>
        </is>
      </c>
      <c r="D6" s="79" t="n"/>
      <c r="E6" s="79" t="n"/>
      <c r="F6" s="79" t="n"/>
      <c r="G6" s="79" t="n"/>
      <c r="H6" s="79" t="n"/>
      <c r="I6" s="79" t="n"/>
      <c r="J6" s="79" t="n"/>
      <c r="K6" s="79" t="n"/>
      <c r="L6" s="79" t="n"/>
      <c r="M6" s="79" t="n"/>
      <c r="N6" s="79" t="n"/>
      <c r="O6" s="79" t="n"/>
    </row>
    <row r="7" ht="36" customHeight="1" s="41">
      <c r="A7" s="82" t="inlineStr">
        <is>
          <t>NA</t>
        </is>
      </c>
      <c r="B7" s="82" t="inlineStr">
        <is>
          <t>Bread</t>
        </is>
      </c>
      <c r="C7" s="81" t="inlineStr">
        <is>
          <t>Dave's Killer Bread Oats &amp; Blues</t>
        </is>
      </c>
      <c r="D7" s="81" t="inlineStr">
        <is>
          <t>Gluten-Free Wide Pan Bread</t>
        </is>
      </c>
      <c r="E7" s="81" t="inlineStr">
        <is>
          <t>No [or possibly Nature's Own] Honey Wheat Bread</t>
        </is>
      </c>
      <c r="F7" s="81" t="n"/>
      <c r="G7" s="81" t="n"/>
      <c r="H7" s="81" t="n"/>
      <c r="I7" s="81" t="n"/>
      <c r="J7" s="81" t="n"/>
      <c r="K7" s="81" t="n"/>
      <c r="L7" s="81" t="n"/>
      <c r="M7" s="81" t="n"/>
      <c r="N7" s="81" t="n"/>
      <c r="O7" s="81" t="n"/>
    </row>
    <row r="8" ht="36" customHeight="1" s="41">
      <c r="A8" s="72" t="inlineStr">
        <is>
          <t>NA</t>
        </is>
      </c>
      <c r="B8" s="72" t="inlineStr">
        <is>
          <t>Canned Beans &amp; Legumes</t>
        </is>
      </c>
      <c r="C8" s="71" t="inlineStr">
        <is>
          <t>Dark Red Kidney Beans</t>
        </is>
      </c>
      <c r="D8" s="71" t="inlineStr">
        <is>
          <t>Organic Chickpeas</t>
        </is>
      </c>
      <c r="E8" s="71" t="n"/>
      <c r="F8" s="71" t="n"/>
      <c r="G8" s="71" t="n"/>
      <c r="H8" s="71" t="n"/>
      <c r="I8" s="71" t="n"/>
      <c r="J8" s="71" t="n"/>
      <c r="K8" s="71" t="n"/>
      <c r="L8" s="71" t="n"/>
      <c r="M8" s="71" t="n"/>
      <c r="N8" s="71" t="n"/>
      <c r="O8" s="71" t="n"/>
    </row>
    <row r="9" ht="36" customHeight="1" s="41">
      <c r="A9" s="74" t="inlineStr">
        <is>
          <t>NA</t>
        </is>
      </c>
      <c r="B9" s="74" t="inlineStr">
        <is>
          <t>Cat Litter</t>
        </is>
      </c>
      <c r="C9" s="73" t="inlineStr">
        <is>
          <t>Purina Tidy Cats Clumping Cat Litter</t>
        </is>
      </c>
      <c r="D9" s="73" t="n"/>
      <c r="E9" s="73" t="n"/>
      <c r="F9" s="73" t="n"/>
      <c r="G9" s="73" t="n"/>
      <c r="H9" s="73" t="n"/>
      <c r="I9" s="73" t="n"/>
      <c r="J9" s="73" t="n"/>
      <c r="K9" s="73" t="n"/>
      <c r="L9" s="73" t="n"/>
      <c r="M9" s="73" t="n"/>
      <c r="N9" s="73" t="n"/>
      <c r="O9" s="73" t="n"/>
    </row>
    <row r="10" ht="36" customHeight="1" s="41">
      <c r="A10" s="76" t="inlineStr">
        <is>
          <t>NA</t>
        </is>
      </c>
      <c r="B10" s="76" t="inlineStr">
        <is>
          <t>Cheese</t>
        </is>
      </c>
      <c r="C10" s="75" t="inlineStr">
        <is>
          <t>Cabot Mexican Shredded Cheese</t>
        </is>
      </c>
      <c r="D10" s="75" t="n"/>
      <c r="E10" s="75" t="n"/>
      <c r="F10" s="75" t="n"/>
      <c r="G10" s="75" t="n"/>
      <c r="H10" s="75" t="n"/>
      <c r="I10" s="75" t="n"/>
      <c r="J10" s="75" t="n"/>
      <c r="K10" s="75" t="n"/>
      <c r="L10" s="75" t="n"/>
      <c r="M10" s="75" t="n"/>
      <c r="N10" s="75" t="n"/>
      <c r="O10" s="75" t="n"/>
    </row>
    <row r="11" ht="36" customHeight="1" s="41">
      <c r="A11" s="78" t="inlineStr">
        <is>
          <t>NA</t>
        </is>
      </c>
      <c r="B11" s="78" t="inlineStr">
        <is>
          <t>Crackers</t>
        </is>
      </c>
      <c r="C11" s="77" t="inlineStr">
        <is>
          <t>Peanut Butter Toast Crackers</t>
        </is>
      </c>
      <c r="D11" s="77" t="n"/>
      <c r="E11" s="77" t="n"/>
      <c r="F11" s="77" t="n"/>
      <c r="G11" s="77" t="n"/>
      <c r="H11" s="77" t="n"/>
      <c r="I11" s="77" t="n"/>
      <c r="J11" s="77" t="n"/>
      <c r="K11" s="77" t="n"/>
      <c r="L11" s="77" t="n"/>
      <c r="M11" s="77" t="n"/>
      <c r="N11" s="77" t="n"/>
      <c r="O11" s="77" t="n"/>
    </row>
    <row r="12" ht="36" customHeight="1" s="41">
      <c r="A12" s="80" t="inlineStr">
        <is>
          <t>NA</t>
        </is>
      </c>
      <c r="B12" s="80" t="inlineStr">
        <is>
          <t>Cream &amp; Half-and-Half</t>
        </is>
      </c>
      <c r="C12" s="79" t="inlineStr">
        <is>
          <t>Publix Half &amp; Half, Half Gallon</t>
        </is>
      </c>
      <c r="D12" s="79" t="n"/>
      <c r="E12" s="79" t="n"/>
      <c r="F12" s="79" t="n"/>
      <c r="G12" s="79" t="n"/>
      <c r="H12" s="79" t="n"/>
      <c r="I12" s="79" t="n"/>
      <c r="J12" s="79" t="n"/>
      <c r="K12" s="79" t="n"/>
      <c r="L12" s="79" t="n"/>
      <c r="M12" s="79" t="n"/>
      <c r="N12" s="79" t="n"/>
      <c r="O12" s="79" t="n"/>
    </row>
    <row r="13" ht="36" customHeight="1" s="41">
      <c r="A13" s="82" t="inlineStr">
        <is>
          <t>NA</t>
        </is>
      </c>
      <c r="B13" s="82" t="inlineStr">
        <is>
          <t>Croutons</t>
        </is>
      </c>
      <c r="C13" s="81" t="inlineStr">
        <is>
          <t>Organic Croutons</t>
        </is>
      </c>
      <c r="D13" s="81" t="n"/>
      <c r="E13" s="81" t="n"/>
      <c r="F13" s="81" t="n"/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</row>
    <row r="14" ht="36" customHeight="1" s="41">
      <c r="A14" s="72" t="inlineStr">
        <is>
          <t>NA</t>
        </is>
      </c>
      <c r="B14" s="72" t="inlineStr">
        <is>
          <t>Deli Meat</t>
        </is>
      </c>
      <c r="C14" s="71" t="inlineStr">
        <is>
          <t>Hillshire Farm Oven Roasted Turkey Breast</t>
        </is>
      </c>
      <c r="D14" s="71" t="n"/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  <c r="N14" s="71" t="n"/>
      <c r="O14" s="71" t="n"/>
    </row>
    <row r="15" ht="36" customHeight="1" s="41">
      <c r="A15" s="74" t="inlineStr">
        <is>
          <t>NA</t>
        </is>
      </c>
      <c r="B15" s="74" t="inlineStr">
        <is>
          <t>Deodorant</t>
        </is>
      </c>
      <c r="C15" s="73" t="inlineStr">
        <is>
          <t>Dove Men+Care Antiperspirant</t>
        </is>
      </c>
      <c r="D15" s="73" t="n"/>
      <c r="E15" s="73" t="n"/>
      <c r="F15" s="73" t="n"/>
      <c r="G15" s="73" t="n"/>
      <c r="H15" s="73" t="n"/>
      <c r="I15" s="73" t="n"/>
      <c r="J15" s="73" t="n"/>
      <c r="K15" s="73" t="n"/>
      <c r="L15" s="73" t="n"/>
      <c r="M15" s="73" t="n"/>
      <c r="N15" s="73" t="n"/>
      <c r="O15" s="73" t="n"/>
    </row>
    <row r="16" ht="36" customHeight="1" s="41">
      <c r="A16" s="76" t="inlineStr">
        <is>
          <t>NA</t>
        </is>
      </c>
      <c r="B16" s="76" t="inlineStr">
        <is>
          <t>Dips &amp; Spreads</t>
        </is>
      </c>
      <c r="C16" s="75" t="inlineStr">
        <is>
          <t>Hummus Mini Cups</t>
        </is>
      </c>
      <c r="D16" s="75" t="n"/>
      <c r="E16" s="75" t="n"/>
      <c r="F16" s="75" t="n"/>
      <c r="G16" s="75" t="n"/>
      <c r="H16" s="75" t="n"/>
      <c r="I16" s="75" t="n"/>
      <c r="J16" s="75" t="n"/>
      <c r="K16" s="75" t="n"/>
      <c r="L16" s="75" t="n"/>
      <c r="M16" s="75" t="n"/>
      <c r="N16" s="75" t="n"/>
      <c r="O16" s="75" t="n"/>
    </row>
    <row r="17" ht="36" customHeight="1" s="41">
      <c r="A17" s="78" t="inlineStr">
        <is>
          <t>NA</t>
        </is>
      </c>
      <c r="B17" s="78" t="inlineStr">
        <is>
          <t>Dishwashing Supplies</t>
        </is>
      </c>
      <c r="C17" s="77" t="inlineStr">
        <is>
          <t>Dawn Dish Cleaning Brush Wand</t>
        </is>
      </c>
      <c r="D17" s="77" t="n"/>
      <c r="E17" s="77" t="n"/>
      <c r="F17" s="77" t="n"/>
      <c r="G17" s="77" t="n"/>
      <c r="H17" s="77" t="n"/>
      <c r="I17" s="77" t="n"/>
      <c r="J17" s="77" t="n"/>
      <c r="K17" s="77" t="n"/>
      <c r="L17" s="77" t="n"/>
      <c r="M17" s="77" t="n"/>
      <c r="N17" s="77" t="n"/>
      <c r="O17" s="77" t="n"/>
    </row>
    <row r="18" ht="36" customHeight="1" s="41">
      <c r="A18" s="80" t="inlineStr">
        <is>
          <t>NA</t>
        </is>
      </c>
      <c r="B18" s="80" t="inlineStr">
        <is>
          <t>Disposable Tableware</t>
        </is>
      </c>
      <c r="C18" s="79" t="inlineStr">
        <is>
          <t>Everyday Paper Plates, 8.5 Inch</t>
        </is>
      </c>
      <c r="D18" s="79" t="n"/>
      <c r="E18" s="79" t="n"/>
      <c r="F18" s="79" t="n"/>
      <c r="G18" s="79" t="n"/>
      <c r="H18" s="79" t="n"/>
      <c r="I18" s="79" t="n"/>
      <c r="J18" s="79" t="n"/>
      <c r="K18" s="79" t="n"/>
      <c r="L18" s="79" t="n"/>
      <c r="M18" s="79" t="n"/>
      <c r="N18" s="79" t="n"/>
      <c r="O18" s="79" t="n"/>
    </row>
    <row r="19" ht="36" customHeight="1" s="41">
      <c r="A19" s="82" t="inlineStr">
        <is>
          <t>NA</t>
        </is>
      </c>
      <c r="B19" s="82" t="inlineStr">
        <is>
          <t>Eggs</t>
        </is>
      </c>
      <c r="C19" s="81" t="inlineStr">
        <is>
          <t>Great Value Large White Eggs</t>
        </is>
      </c>
      <c r="D19" s="81" t="n"/>
      <c r="E19" s="81" t="n"/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</row>
    <row r="20" ht="36" customHeight="1" s="41">
      <c r="A20" s="72" t="inlineStr">
        <is>
          <t>NA</t>
        </is>
      </c>
      <c r="B20" s="72" t="inlineStr">
        <is>
          <t>Fees &amp; Charges</t>
        </is>
      </c>
      <c r="C20" s="71" t="inlineStr">
        <is>
          <t>Driver Tip</t>
        </is>
      </c>
      <c r="D20" s="71" t="inlineStr">
        <is>
          <t>Express Delivery Fee</t>
        </is>
      </c>
      <c r="E20" s="71" t="inlineStr">
        <is>
          <t>Price Adjustment</t>
        </is>
      </c>
      <c r="F20" s="71" t="inlineStr">
        <is>
          <t>Tax</t>
        </is>
      </c>
      <c r="G20" s="71" t="inlineStr">
        <is>
          <t>Tip</t>
        </is>
      </c>
      <c r="H20" s="71" t="n"/>
      <c r="I20" s="71" t="n"/>
      <c r="J20" s="71" t="n"/>
      <c r="K20" s="71" t="n"/>
      <c r="L20" s="71" t="n"/>
      <c r="M20" s="71" t="n"/>
      <c r="N20" s="71" t="n"/>
      <c r="O20" s="71" t="n"/>
    </row>
    <row r="21" ht="36" customHeight="1" s="41">
      <c r="A21" s="74" t="inlineStr">
        <is>
          <t>NA</t>
        </is>
      </c>
      <c r="B21" s="74" t="inlineStr">
        <is>
          <t>Food Storage</t>
        </is>
      </c>
      <c r="C21" s="73" t="inlineStr">
        <is>
          <t>Ziploc Gallon Freezer Bags</t>
        </is>
      </c>
      <c r="D21" s="73" t="inlineStr">
        <is>
          <t>Ziploc Quart Freezer Bags</t>
        </is>
      </c>
      <c r="E21" s="73" t="n"/>
      <c r="F21" s="73" t="n"/>
      <c r="G21" s="73" t="n"/>
      <c r="H21" s="73" t="n"/>
      <c r="I21" s="73" t="n"/>
      <c r="J21" s="73" t="n"/>
      <c r="K21" s="73" t="n"/>
      <c r="L21" s="73" t="n"/>
      <c r="M21" s="73" t="n"/>
      <c r="N21" s="73" t="n"/>
      <c r="O21" s="73" t="n"/>
    </row>
    <row r="22" ht="36" customHeight="1" s="41">
      <c r="A22" s="76" t="inlineStr">
        <is>
          <t>NA</t>
        </is>
      </c>
      <c r="B22" s="76" t="inlineStr">
        <is>
          <t>Fresh Fruit</t>
        </is>
      </c>
      <c r="C22" s="75" t="inlineStr">
        <is>
          <t>Bananas</t>
        </is>
      </c>
      <c r="D22" s="75" t="inlineStr">
        <is>
          <t>Blueberries</t>
        </is>
      </c>
      <c r="E22" s="75" t="inlineStr">
        <is>
          <t>Golden Kiwi</t>
        </is>
      </c>
      <c r="F22" s="75" t="inlineStr">
        <is>
          <t>Mandarin Oranges</t>
        </is>
      </c>
      <c r="G22" s="75" t="inlineStr">
        <is>
          <t>Pink Lady Apples</t>
        </is>
      </c>
      <c r="H22" s="75" t="inlineStr">
        <is>
          <t>Strawberries, 1 lb</t>
        </is>
      </c>
      <c r="I22" s="75" t="n"/>
      <c r="J22" s="75" t="n"/>
      <c r="K22" s="75" t="n"/>
      <c r="L22" s="75" t="n"/>
      <c r="M22" s="75" t="n"/>
      <c r="N22" s="75" t="n"/>
      <c r="O22" s="75" t="n"/>
    </row>
    <row r="23" ht="36" customHeight="1" s="41">
      <c r="A23" s="78" t="inlineStr">
        <is>
          <t>NA</t>
        </is>
      </c>
      <c r="B23" s="78" t="inlineStr">
        <is>
          <t>Fresh Herbs</t>
        </is>
      </c>
      <c r="C23" s="77" t="inlineStr">
        <is>
          <t>Cilantro</t>
        </is>
      </c>
      <c r="D23" s="77" t="inlineStr">
        <is>
          <t>Parsley</t>
        </is>
      </c>
      <c r="E23" s="77" t="n"/>
      <c r="F23" s="77" t="n"/>
      <c r="G23" s="77" t="n"/>
      <c r="H23" s="77" t="n"/>
      <c r="I23" s="77" t="n"/>
      <c r="J23" s="77" t="n"/>
      <c r="K23" s="77" t="n"/>
      <c r="L23" s="77" t="n"/>
      <c r="M23" s="77" t="n"/>
      <c r="N23" s="77" t="n"/>
      <c r="O23" s="77" t="n"/>
    </row>
    <row r="24" ht="36" customHeight="1" s="41">
      <c r="A24" s="80" t="inlineStr">
        <is>
          <t>NA</t>
        </is>
      </c>
      <c r="B24" s="80" t="inlineStr">
        <is>
          <t>Fresh Poultry</t>
        </is>
      </c>
      <c r="C24" s="79" t="inlineStr">
        <is>
          <t>Empire Kosher Ground Turkey</t>
        </is>
      </c>
      <c r="D24" s="79" t="n"/>
      <c r="E24" s="79" t="n"/>
      <c r="F24" s="79" t="n"/>
      <c r="G24" s="79" t="n"/>
      <c r="H24" s="79" t="n"/>
      <c r="I24" s="79" t="n"/>
      <c r="J24" s="79" t="n"/>
      <c r="K24" s="79" t="n"/>
      <c r="L24" s="79" t="n"/>
      <c r="M24" s="79" t="n"/>
      <c r="N24" s="79" t="n"/>
      <c r="O24" s="79" t="n"/>
    </row>
    <row r="25" ht="36" customHeight="1" s="41">
      <c r="A25" s="82" t="inlineStr">
        <is>
          <t>NA</t>
        </is>
      </c>
      <c r="B25" s="82" t="inlineStr">
        <is>
          <t>Fresh Seafood</t>
        </is>
      </c>
      <c r="C25" s="81" t="inlineStr">
        <is>
          <t>GreenWise Keta Salmon Fillet</t>
        </is>
      </c>
      <c r="D25" s="81" t="n"/>
      <c r="E25" s="81" t="n"/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</row>
    <row r="26" ht="36" customHeight="1" s="41">
      <c r="A26" s="72" t="inlineStr">
        <is>
          <t>NA</t>
        </is>
      </c>
      <c r="B26" s="72" t="inlineStr">
        <is>
          <t>Fresh Vegetables</t>
        </is>
      </c>
      <c r="C26" s="71" t="inlineStr">
        <is>
          <t>Baby Carrots</t>
        </is>
      </c>
      <c r="D26" s="71" t="inlineStr">
        <is>
          <t>Beefsteak Tomatoes</t>
        </is>
      </c>
      <c r="E26" s="71" t="inlineStr">
        <is>
          <t>Broccoli Crowns</t>
        </is>
      </c>
      <c r="F26" s="71" t="inlineStr">
        <is>
          <t>Green Beans</t>
        </is>
      </c>
      <c r="G26" s="71" t="inlineStr">
        <is>
          <t>Medley Potatoes</t>
        </is>
      </c>
      <c r="H26" s="71" t="inlineStr">
        <is>
          <t>Mini Cucumbers</t>
        </is>
      </c>
      <c r="I26" s="71" t="inlineStr">
        <is>
          <t>Multi-Color Peppers, 3-Pack</t>
        </is>
      </c>
      <c r="J26" s="71" t="inlineStr">
        <is>
          <t>Red Onion</t>
        </is>
      </c>
      <c r="K26" s="71" t="inlineStr">
        <is>
          <t>Red Onions</t>
        </is>
      </c>
      <c r="L26" s="71" t="inlineStr">
        <is>
          <t>Ruby Sensation Potato Nibbles</t>
        </is>
      </c>
      <c r="M26" s="71" t="inlineStr">
        <is>
          <t>Tomatoes on the Vine</t>
        </is>
      </c>
      <c r="N26" s="71" t="inlineStr">
        <is>
          <t>Yellow Squash</t>
        </is>
      </c>
      <c r="O26" s="71" t="inlineStr">
        <is>
          <t>Zucchini</t>
        </is>
      </c>
    </row>
    <row r="27" ht="36" customHeight="1" s="41">
      <c r="A27" s="74" t="inlineStr">
        <is>
          <t>NA</t>
        </is>
      </c>
      <c r="B27" s="74" t="inlineStr">
        <is>
          <t>Fresh-Cut Fruit</t>
        </is>
      </c>
      <c r="C27" s="73" t="inlineStr">
        <is>
          <t>Pineapple &amp; Watermelon Spears</t>
        </is>
      </c>
      <c r="D27" s="73" t="n"/>
      <c r="E27" s="73" t="n"/>
      <c r="F27" s="73" t="n"/>
      <c r="G27" s="73" t="n"/>
      <c r="H27" s="73" t="n"/>
      <c r="I27" s="73" t="n"/>
      <c r="J27" s="73" t="n"/>
      <c r="K27" s="73" t="n"/>
      <c r="L27" s="73" t="n"/>
      <c r="M27" s="73" t="n"/>
      <c r="N27" s="73" t="n"/>
      <c r="O27" s="73" t="n"/>
    </row>
    <row r="28" ht="36" customHeight="1" s="41">
      <c r="A28" s="76" t="inlineStr">
        <is>
          <t>NA</t>
        </is>
      </c>
      <c r="B28" s="76" t="inlineStr">
        <is>
          <t>Frozen Breakfast</t>
        </is>
      </c>
      <c r="C28" s="75" t="inlineStr">
        <is>
          <t>Van's Gluten Free Blueberry Waffles</t>
        </is>
      </c>
      <c r="D28" s="75" t="n"/>
      <c r="E28" s="75" t="n"/>
      <c r="F28" s="75" t="n"/>
      <c r="G28" s="75" t="n"/>
      <c r="H28" s="75" t="n"/>
      <c r="I28" s="75" t="n"/>
      <c r="J28" s="75" t="n"/>
      <c r="K28" s="75" t="n"/>
      <c r="L28" s="75" t="n"/>
      <c r="M28" s="75" t="n"/>
      <c r="N28" s="75" t="n"/>
      <c r="O28" s="75" t="n"/>
    </row>
    <row r="29" ht="36" customHeight="1" s="41">
      <c r="A29" s="78" t="inlineStr">
        <is>
          <t>NA</t>
        </is>
      </c>
      <c r="B29" s="78" t="inlineStr">
        <is>
          <t>Frozen Meat</t>
        </is>
      </c>
      <c r="C29" s="77" t="inlineStr">
        <is>
          <t>Applegate Chicken &amp; Maple Breakfast Sausage</t>
        </is>
      </c>
      <c r="D29" s="77" t="n"/>
      <c r="E29" s="77" t="n"/>
      <c r="F29" s="77" t="n"/>
      <c r="G29" s="77" t="n"/>
      <c r="H29" s="77" t="n"/>
      <c r="I29" s="77" t="n"/>
      <c r="J29" s="77" t="n"/>
      <c r="K29" s="77" t="n"/>
      <c r="L29" s="77" t="n"/>
      <c r="M29" s="77" t="n"/>
      <c r="N29" s="77" t="n"/>
      <c r="O29" s="77" t="n"/>
    </row>
    <row r="30" ht="36" customHeight="1" s="41">
      <c r="A30" s="80" t="inlineStr">
        <is>
          <t>NA</t>
        </is>
      </c>
      <c r="B30" s="80" t="inlineStr">
        <is>
          <t>Frozen Pizza</t>
        </is>
      </c>
      <c r="C30" s="79" t="inlineStr">
        <is>
          <t>Cauliflower Crust Pizza</t>
        </is>
      </c>
      <c r="D30" s="79" t="n"/>
      <c r="E30" s="79" t="n"/>
      <c r="F30" s="79" t="n"/>
      <c r="G30" s="79" t="n"/>
      <c r="H30" s="79" t="n"/>
      <c r="I30" s="79" t="n"/>
      <c r="J30" s="79" t="n"/>
      <c r="K30" s="79" t="n"/>
      <c r="L30" s="79" t="n"/>
      <c r="M30" s="79" t="n"/>
      <c r="N30" s="79" t="n"/>
      <c r="O30" s="79" t="n"/>
    </row>
    <row r="31" ht="36" customHeight="1" s="41">
      <c r="A31" s="82" t="inlineStr">
        <is>
          <t>NA</t>
        </is>
      </c>
      <c r="B31" s="82" t="inlineStr">
        <is>
          <t>Frozen Vegetables</t>
        </is>
      </c>
      <c r="C31" s="81" t="inlineStr">
        <is>
          <t>Birds Eye Steamfresh Sweet Peas</t>
        </is>
      </c>
      <c r="D31" s="81" t="n"/>
      <c r="E31" s="81" t="n"/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</row>
    <row r="32" ht="36" customHeight="1" s="41">
      <c r="A32" s="72" t="inlineStr">
        <is>
          <t>NA</t>
        </is>
      </c>
      <c r="B32" s="72" t="inlineStr">
        <is>
          <t>Hair Care</t>
        </is>
      </c>
      <c r="C32" s="71" t="inlineStr">
        <is>
          <t>Honest Company Conditioning Detangler</t>
        </is>
      </c>
      <c r="D32" s="71" t="n"/>
      <c r="E32" s="71" t="n"/>
      <c r="F32" s="71" t="n"/>
      <c r="G32" s="71" t="n"/>
      <c r="H32" s="71" t="n"/>
      <c r="I32" s="71" t="n"/>
      <c r="J32" s="71" t="n"/>
      <c r="K32" s="71" t="n"/>
      <c r="L32" s="71" t="n"/>
      <c r="M32" s="71" t="n"/>
      <c r="N32" s="71" t="n"/>
      <c r="O32" s="71" t="n"/>
    </row>
    <row r="33" ht="36" customHeight="1" s="41">
      <c r="A33" s="74" t="inlineStr">
        <is>
          <t>NA</t>
        </is>
      </c>
      <c r="B33" s="74" t="inlineStr">
        <is>
          <t>Home Improvement</t>
        </is>
      </c>
      <c r="C33" s="73" t="inlineStr">
        <is>
          <t>Command Heavy Duty Picture Hangers</t>
        </is>
      </c>
      <c r="D33" s="73" t="n"/>
      <c r="E33" s="73" t="n"/>
      <c r="F33" s="73" t="n"/>
      <c r="G33" s="73" t="n"/>
      <c r="H33" s="73" t="n"/>
      <c r="I33" s="73" t="n"/>
      <c r="J33" s="73" t="n"/>
      <c r="K33" s="73" t="n"/>
      <c r="L33" s="73" t="n"/>
      <c r="M33" s="73" t="n"/>
      <c r="N33" s="73" t="n"/>
      <c r="O33" s="73" t="n"/>
    </row>
    <row r="34" ht="36" customHeight="1" s="41">
      <c r="A34" s="76" t="inlineStr">
        <is>
          <t>NA</t>
        </is>
      </c>
      <c r="B34" s="76" t="inlineStr">
        <is>
          <t>Hot Dogs &amp; Sausages</t>
        </is>
      </c>
      <c r="C34" s="75" t="inlineStr">
        <is>
          <t>Hebrew National Beef Franks</t>
        </is>
      </c>
      <c r="D34" s="75" t="n"/>
      <c r="E34" s="75" t="n"/>
      <c r="F34" s="75" t="n"/>
      <c r="G34" s="75" t="n"/>
      <c r="H34" s="75" t="n"/>
      <c r="I34" s="75" t="n"/>
      <c r="J34" s="75" t="n"/>
      <c r="K34" s="75" t="n"/>
      <c r="L34" s="75" t="n"/>
      <c r="M34" s="75" t="n"/>
      <c r="N34" s="75" t="n"/>
      <c r="O34" s="75" t="n"/>
    </row>
    <row r="35" ht="36" customHeight="1" s="41">
      <c r="A35" s="78" t="inlineStr">
        <is>
          <t>NA</t>
        </is>
      </c>
      <c r="B35" s="78" t="inlineStr">
        <is>
          <t>Household Cleaners</t>
        </is>
      </c>
      <c r="C35" s="77" t="inlineStr">
        <is>
          <t>Weiman Granite &amp; Stone Cleaner &amp; Polish</t>
        </is>
      </c>
      <c r="D35" s="77" t="n"/>
      <c r="E35" s="77" t="n"/>
      <c r="F35" s="77" t="n"/>
      <c r="G35" s="77" t="n"/>
      <c r="H35" s="77" t="n"/>
      <c r="I35" s="77" t="n"/>
      <c r="J35" s="77" t="n"/>
      <c r="K35" s="77" t="n"/>
      <c r="L35" s="77" t="n"/>
      <c r="M35" s="77" t="n"/>
      <c r="N35" s="77" t="n"/>
      <c r="O35" s="77" t="n"/>
    </row>
    <row r="36" ht="36" customHeight="1" s="41">
      <c r="A36" s="80" t="inlineStr">
        <is>
          <t>NA</t>
        </is>
      </c>
      <c r="B36" s="80" t="inlineStr">
        <is>
          <t>Ice Cream</t>
        </is>
      </c>
      <c r="C36" s="79" t="inlineStr">
        <is>
          <t>Häagen-Dazs Blackberry Ice Cream</t>
        </is>
      </c>
      <c r="D36" s="79" t="n"/>
      <c r="E36" s="79" t="n"/>
      <c r="F36" s="79" t="n"/>
      <c r="G36" s="79" t="n"/>
      <c r="H36" s="79" t="n"/>
      <c r="I36" s="79" t="n"/>
      <c r="J36" s="79" t="n"/>
      <c r="K36" s="79" t="n"/>
      <c r="L36" s="79" t="n"/>
      <c r="M36" s="79" t="n"/>
      <c r="N36" s="79" t="n"/>
      <c r="O36" s="79" t="n"/>
    </row>
    <row r="37" ht="36" customHeight="1" s="41">
      <c r="A37" s="82" t="inlineStr">
        <is>
          <t>NA</t>
        </is>
      </c>
      <c r="B37" s="82" t="inlineStr">
        <is>
          <t>Jarred Vegetables</t>
        </is>
      </c>
      <c r="C37" s="81" t="inlineStr">
        <is>
          <t>Fire Roasted Red Peppers</t>
        </is>
      </c>
      <c r="D37" s="81" t="n"/>
      <c r="E37" s="81" t="n"/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</row>
    <row r="38" ht="36" customHeight="1" s="41">
      <c r="A38" s="72" t="inlineStr">
        <is>
          <t>NA</t>
        </is>
      </c>
      <c r="B38" s="72" t="inlineStr">
        <is>
          <t>Judaica</t>
        </is>
      </c>
      <c r="C38" s="71" t="inlineStr">
        <is>
          <t>Yehuda Sabbath Candles</t>
        </is>
      </c>
      <c r="D38" s="71" t="n"/>
      <c r="E38" s="71" t="n"/>
      <c r="F38" s="71" t="n"/>
      <c r="G38" s="71" t="n"/>
      <c r="H38" s="71" t="n"/>
      <c r="I38" s="71" t="n"/>
      <c r="J38" s="71" t="n"/>
      <c r="K38" s="71" t="n"/>
      <c r="L38" s="71" t="n"/>
      <c r="M38" s="71" t="n"/>
      <c r="N38" s="71" t="n"/>
      <c r="O38" s="71" t="n"/>
    </row>
    <row r="39" ht="36" customHeight="1" s="41">
      <c r="A39" s="74" t="inlineStr">
        <is>
          <t>NA</t>
        </is>
      </c>
      <c r="B39" s="74" t="inlineStr">
        <is>
          <t>Macaroni &amp; Cheese</t>
        </is>
      </c>
      <c r="C39" s="73" t="inlineStr">
        <is>
          <t>Annie's Gluten-Free Deluxe Shells &amp; Cheddar</t>
        </is>
      </c>
      <c r="D39" s="73" t="inlineStr">
        <is>
          <t>Banza White Cheddar Shells</t>
        </is>
      </c>
      <c r="E39" s="73" t="n"/>
      <c r="F39" s="73" t="n"/>
      <c r="G39" s="73" t="n"/>
      <c r="H39" s="73" t="n"/>
      <c r="I39" s="73" t="n"/>
      <c r="J39" s="73" t="n"/>
      <c r="K39" s="73" t="n"/>
      <c r="L39" s="73" t="n"/>
      <c r="M39" s="73" t="n"/>
      <c r="N39" s="73" t="n"/>
      <c r="O39" s="73" t="n"/>
    </row>
    <row r="40" ht="36" customHeight="1" s="41">
      <c r="A40" s="76" t="inlineStr">
        <is>
          <t>NA</t>
        </is>
      </c>
      <c r="B40" s="76" t="inlineStr">
        <is>
          <t>Milk</t>
        </is>
      </c>
      <c r="C40" s="75" t="inlineStr">
        <is>
          <t>Fairlife Chocolate Milk</t>
        </is>
      </c>
      <c r="D40" s="75" t="n"/>
      <c r="E40" s="75" t="n"/>
      <c r="F40" s="75" t="n"/>
      <c r="G40" s="75" t="n"/>
      <c r="H40" s="75" t="n"/>
      <c r="I40" s="75" t="n"/>
      <c r="J40" s="75" t="n"/>
      <c r="K40" s="75" t="n"/>
      <c r="L40" s="75" t="n"/>
      <c r="M40" s="75" t="n"/>
      <c r="N40" s="75" t="n"/>
      <c r="O40" s="75" t="n"/>
    </row>
    <row r="41" ht="36" customHeight="1" s="41">
      <c r="A41" s="78" t="inlineStr">
        <is>
          <t>NA</t>
        </is>
      </c>
      <c r="B41" s="78" t="inlineStr">
        <is>
          <t>Muffins &amp; Pastries</t>
        </is>
      </c>
      <c r="C41" s="77" t="inlineStr">
        <is>
          <t>Gluten-Free Blueberry Muffins</t>
        </is>
      </c>
      <c r="D41" s="77" t="n"/>
      <c r="E41" s="77" t="n"/>
      <c r="F41" s="77" t="n"/>
      <c r="G41" s="77" t="n"/>
      <c r="H41" s="77" t="n"/>
      <c r="I41" s="77" t="n"/>
      <c r="J41" s="77" t="n"/>
      <c r="K41" s="77" t="n"/>
      <c r="L41" s="77" t="n"/>
      <c r="M41" s="77" t="n"/>
      <c r="N41" s="77" t="n"/>
      <c r="O41" s="77" t="n"/>
    </row>
    <row r="42" ht="36" customHeight="1" s="41">
      <c r="A42" s="80" t="inlineStr">
        <is>
          <t>NA</t>
        </is>
      </c>
      <c r="B42" s="80" t="inlineStr">
        <is>
          <t>Pasta</t>
        </is>
      </c>
      <c r="C42" s="79" t="inlineStr">
        <is>
          <t>Chickpea Fusilli Pasta</t>
        </is>
      </c>
      <c r="D42" s="79" t="n"/>
      <c r="E42" s="79" t="n"/>
      <c r="F42" s="79" t="n"/>
      <c r="G42" s="79" t="n"/>
      <c r="H42" s="79" t="n"/>
      <c r="I42" s="79" t="n"/>
      <c r="J42" s="79" t="n"/>
      <c r="K42" s="79" t="n"/>
      <c r="L42" s="79" t="n"/>
      <c r="M42" s="79" t="n"/>
      <c r="N42" s="79" t="n"/>
      <c r="O42" s="79" t="n"/>
    </row>
    <row r="43" ht="36" customHeight="1" s="41">
      <c r="A43" s="82" t="inlineStr">
        <is>
          <t>NA</t>
        </is>
      </c>
      <c r="B43" s="82" t="inlineStr">
        <is>
          <t>Peanut Butter</t>
        </is>
      </c>
      <c r="C43" s="81" t="inlineStr">
        <is>
          <t>Jif No Sugar Added Creamy Peanut Butter</t>
        </is>
      </c>
      <c r="D43" s="81" t="n"/>
      <c r="E43" s="81" t="n"/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</row>
    <row r="44" ht="36" customHeight="1" s="41">
      <c r="A44" s="72" t="inlineStr">
        <is>
          <t>NA</t>
        </is>
      </c>
      <c r="B44" s="72" t="inlineStr">
        <is>
          <t>Plant-Based Cheese</t>
        </is>
      </c>
      <c r="C44" s="71" t="inlineStr">
        <is>
          <t>Daiya Mexican Blend Shreds</t>
        </is>
      </c>
      <c r="D44" s="71" t="n"/>
      <c r="E44" s="71" t="n"/>
      <c r="F44" s="71" t="n"/>
      <c r="G44" s="71" t="n"/>
      <c r="H44" s="71" t="n"/>
      <c r="I44" s="71" t="n"/>
      <c r="J44" s="71" t="n"/>
      <c r="K44" s="71" t="n"/>
      <c r="L44" s="71" t="n"/>
      <c r="M44" s="71" t="n"/>
      <c r="N44" s="71" t="n"/>
      <c r="O44" s="71" t="n"/>
    </row>
    <row r="45" ht="36" customHeight="1" s="41">
      <c r="A45" s="74" t="inlineStr">
        <is>
          <t>NA</t>
        </is>
      </c>
      <c r="B45" s="74" t="inlineStr">
        <is>
          <t>Plant-Based Milk</t>
        </is>
      </c>
      <c r="C45" s="73" t="inlineStr">
        <is>
          <t>Chobani Extra Creamy Oatmilk</t>
        </is>
      </c>
      <c r="D45" s="73" t="inlineStr">
        <is>
          <t>Silk Organic Unsweet Soymilk, Half Gallon</t>
        </is>
      </c>
      <c r="E45" s="73" t="n"/>
      <c r="F45" s="73" t="n"/>
      <c r="G45" s="73" t="n"/>
      <c r="H45" s="73" t="n"/>
      <c r="I45" s="73" t="n"/>
      <c r="J45" s="73" t="n"/>
      <c r="K45" s="73" t="n"/>
      <c r="L45" s="73" t="n"/>
      <c r="M45" s="73" t="n"/>
      <c r="N45" s="73" t="n"/>
      <c r="O45" s="73" t="n"/>
    </row>
    <row r="46" ht="36" customHeight="1" s="41">
      <c r="A46" s="76" t="inlineStr">
        <is>
          <t>NA</t>
        </is>
      </c>
      <c r="B46" s="76" t="inlineStr">
        <is>
          <t>Popcorn</t>
        </is>
      </c>
      <c r="C46" s="75" t="inlineStr">
        <is>
          <t>LesserEvil Popcorn</t>
        </is>
      </c>
      <c r="D46" s="75" t="n"/>
      <c r="E46" s="75" t="n"/>
      <c r="F46" s="75" t="n"/>
      <c r="G46" s="75" t="n"/>
      <c r="H46" s="75" t="n"/>
      <c r="I46" s="75" t="n"/>
      <c r="J46" s="75" t="n"/>
      <c r="K46" s="75" t="n"/>
      <c r="L46" s="75" t="n"/>
      <c r="M46" s="75" t="n"/>
      <c r="N46" s="75" t="n"/>
      <c r="O46" s="75" t="n"/>
    </row>
    <row r="47" ht="36" customHeight="1" s="41">
      <c r="A47" s="78" t="inlineStr">
        <is>
          <t>NA</t>
        </is>
      </c>
      <c r="B47" s="78" t="inlineStr">
        <is>
          <t>Prepared Coffee</t>
        </is>
      </c>
      <c r="C47" s="77" t="inlineStr">
        <is>
          <t>1 Caramel Macchiato</t>
        </is>
      </c>
      <c r="D47" s="77" t="inlineStr">
        <is>
          <t>1 Iced Caramel Macchiato</t>
        </is>
      </c>
      <c r="E47" s="77" t="n"/>
      <c r="F47" s="77" t="n"/>
      <c r="G47" s="77" t="n"/>
      <c r="H47" s="77" t="n"/>
      <c r="I47" s="77" t="n"/>
      <c r="J47" s="77" t="n"/>
      <c r="K47" s="77" t="n"/>
      <c r="L47" s="77" t="n"/>
      <c r="M47" s="77" t="n"/>
      <c r="N47" s="77" t="n"/>
      <c r="O47" s="77" t="n"/>
    </row>
    <row r="48" ht="36" customHeight="1" s="41">
      <c r="A48" s="80" t="inlineStr">
        <is>
          <t>NA</t>
        </is>
      </c>
      <c r="B48" s="80" t="inlineStr">
        <is>
          <t>Prepared Meals</t>
        </is>
      </c>
      <c r="C48" s="79" t="inlineStr">
        <is>
          <t>1 Chicken N French Toast</t>
        </is>
      </c>
      <c r="D48" s="79" t="inlineStr">
        <is>
          <t>1 Frenchy Plate</t>
        </is>
      </c>
      <c r="E48" s="79" t="n"/>
      <c r="F48" s="79" t="n"/>
      <c r="G48" s="79" t="n"/>
      <c r="H48" s="79" t="n"/>
      <c r="I48" s="79" t="n"/>
      <c r="J48" s="79" t="n"/>
      <c r="K48" s="79" t="n"/>
      <c r="L48" s="79" t="n"/>
      <c r="M48" s="79" t="n"/>
      <c r="N48" s="79" t="n"/>
      <c r="O48" s="79" t="n"/>
    </row>
    <row r="49" ht="36" customHeight="1" s="41">
      <c r="A49" s="82" t="inlineStr">
        <is>
          <t>NA</t>
        </is>
      </c>
      <c r="B49" s="82" t="inlineStr">
        <is>
          <t>Refrigerated Dough</t>
        </is>
      </c>
      <c r="C49" s="81" t="inlineStr">
        <is>
          <t>Sweet Loren's Gluten Free Brownie Cookie Dough</t>
        </is>
      </c>
      <c r="D49" s="81" t="n"/>
      <c r="E49" s="81" t="n"/>
      <c r="F49" s="81" t="n"/>
      <c r="G49" s="81" t="n"/>
      <c r="H49" s="81" t="n"/>
      <c r="I49" s="81" t="n"/>
      <c r="J49" s="81" t="n"/>
      <c r="K49" s="81" t="n"/>
      <c r="L49" s="81" t="n"/>
      <c r="M49" s="81" t="n"/>
      <c r="N49" s="81" t="n"/>
      <c r="O49" s="81" t="n"/>
    </row>
    <row r="50" ht="36" customHeight="1" s="41">
      <c r="A50" s="72" t="inlineStr">
        <is>
          <t>NA</t>
        </is>
      </c>
      <c r="B50" s="72" t="inlineStr">
        <is>
          <t>Rice &amp; Grains</t>
        </is>
      </c>
      <c r="C50" s="71" t="inlineStr">
        <is>
          <t>Mahatma Jasmine Rice</t>
        </is>
      </c>
      <c r="D50" s="71" t="n"/>
      <c r="E50" s="71" t="n"/>
      <c r="F50" s="71" t="n"/>
      <c r="G50" s="71" t="n"/>
      <c r="H50" s="71" t="n"/>
      <c r="I50" s="71" t="n"/>
      <c r="J50" s="71" t="n"/>
      <c r="K50" s="71" t="n"/>
      <c r="L50" s="71" t="n"/>
      <c r="M50" s="71" t="n"/>
      <c r="N50" s="71" t="n"/>
      <c r="O50" s="71" t="n"/>
    </row>
    <row r="51" ht="36" customHeight="1" s="41">
      <c r="A51" s="74" t="inlineStr">
        <is>
          <t>NA</t>
        </is>
      </c>
      <c r="B51" s="74" t="inlineStr">
        <is>
          <t>Salad Dressing</t>
        </is>
      </c>
      <c r="C51" s="73" t="inlineStr">
        <is>
          <t>Vinaigrette Dressing</t>
        </is>
      </c>
      <c r="D51" s="73" t="n"/>
      <c r="E51" s="73" t="n"/>
      <c r="F51" s="73" t="n"/>
      <c r="G51" s="73" t="n"/>
      <c r="H51" s="73" t="n"/>
      <c r="I51" s="73" t="n"/>
      <c r="J51" s="73" t="n"/>
      <c r="K51" s="73" t="n"/>
      <c r="L51" s="73" t="n"/>
      <c r="M51" s="73" t="n"/>
      <c r="N51" s="73" t="n"/>
      <c r="O51" s="73" t="n"/>
    </row>
    <row r="52" ht="36" customHeight="1" s="41">
      <c r="A52" s="76" t="inlineStr">
        <is>
          <t>NA</t>
        </is>
      </c>
      <c r="B52" s="76" t="inlineStr">
        <is>
          <t>Salad Kits</t>
        </is>
      </c>
      <c r="C52" s="75" t="inlineStr">
        <is>
          <t>Taylor Farms Chopped Caesar Salad Kit</t>
        </is>
      </c>
      <c r="D52" s="75" t="inlineStr">
        <is>
          <t>Taylor Farms Everything Chopped Salad Kit</t>
        </is>
      </c>
      <c r="E52" s="75" t="n"/>
      <c r="F52" s="75" t="n"/>
      <c r="G52" s="75" t="n"/>
      <c r="H52" s="75" t="n"/>
      <c r="I52" s="75" t="n"/>
      <c r="J52" s="75" t="n"/>
      <c r="K52" s="75" t="n"/>
      <c r="L52" s="75" t="n"/>
      <c r="M52" s="75" t="n"/>
      <c r="N52" s="75" t="n"/>
      <c r="O52" s="75" t="n"/>
    </row>
    <row r="53" ht="36" customHeight="1" s="41">
      <c r="A53" s="78" t="inlineStr">
        <is>
          <t>NA</t>
        </is>
      </c>
      <c r="B53" s="78" t="inlineStr">
        <is>
          <t>Sauces &amp; Condiments</t>
        </is>
      </c>
      <c r="C53" s="77" t="inlineStr">
        <is>
          <t>Cholula Cremosa Cilantro Lime Sauce</t>
        </is>
      </c>
      <c r="D53" s="77" t="n"/>
      <c r="E53" s="77" t="n"/>
      <c r="F53" s="77" t="n"/>
      <c r="G53" s="77" t="n"/>
      <c r="H53" s="77" t="n"/>
      <c r="I53" s="77" t="n"/>
      <c r="J53" s="77" t="n"/>
      <c r="K53" s="77" t="n"/>
      <c r="L53" s="77" t="n"/>
      <c r="M53" s="77" t="n"/>
      <c r="N53" s="77" t="n"/>
      <c r="O53" s="77" t="n"/>
    </row>
    <row r="54" ht="36" customHeight="1" s="41">
      <c r="A54" s="80" t="inlineStr">
        <is>
          <t>NA</t>
        </is>
      </c>
      <c r="B54" s="80" t="inlineStr">
        <is>
          <t>Seasonings &amp; Spices</t>
        </is>
      </c>
      <c r="C54" s="79" t="inlineStr">
        <is>
          <t>Lawry's Garlic Salt</t>
        </is>
      </c>
      <c r="D54" s="79" t="inlineStr">
        <is>
          <t>McCormick Everything Bagel Seasoning</t>
        </is>
      </c>
      <c r="E54" s="79" t="inlineStr">
        <is>
          <t>McCormick Sea Salt Grinder</t>
        </is>
      </c>
      <c r="F54" s="79" t="n"/>
      <c r="G54" s="79" t="n"/>
      <c r="H54" s="79" t="n"/>
      <c r="I54" s="79" t="n"/>
      <c r="J54" s="79" t="n"/>
      <c r="K54" s="79" t="n"/>
      <c r="L54" s="79" t="n"/>
      <c r="M54" s="79" t="n"/>
      <c r="N54" s="79" t="n"/>
      <c r="O54" s="79" t="n"/>
    </row>
    <row r="55" ht="36" customHeight="1" s="41">
      <c r="A55" s="82" t="inlineStr">
        <is>
          <t>NA</t>
        </is>
      </c>
      <c r="B55" s="82" t="inlineStr">
        <is>
          <t>Snack Bars</t>
        </is>
      </c>
      <c r="C55" s="81" t="inlineStr">
        <is>
          <t>Fruit &amp; Grain Bars</t>
        </is>
      </c>
      <c r="D55" s="81" t="inlineStr">
        <is>
          <t>Nature's Bakery Gluten-Free Raspberry Fig Bars</t>
        </is>
      </c>
      <c r="E55" s="81" t="n"/>
      <c r="F55" s="81" t="n"/>
      <c r="G55" s="81" t="n"/>
      <c r="H55" s="81" t="n"/>
      <c r="I55" s="81" t="n"/>
      <c r="J55" s="81" t="n"/>
      <c r="K55" s="81" t="n"/>
      <c r="L55" s="81" t="n"/>
      <c r="M55" s="81" t="n"/>
      <c r="N55" s="81" t="n"/>
      <c r="O55" s="81" t="n"/>
    </row>
    <row r="56" ht="36" customHeight="1" s="41">
      <c r="A56" s="72" t="inlineStr">
        <is>
          <t>NA</t>
        </is>
      </c>
      <c r="B56" s="72" t="inlineStr">
        <is>
          <t>Specialty Cheese</t>
        </is>
      </c>
      <c r="C56" s="71" t="inlineStr">
        <is>
          <t>Feta Cheese Crumbles</t>
        </is>
      </c>
      <c r="D56" s="71" t="inlineStr">
        <is>
          <t>Goat Cheese Logs</t>
        </is>
      </c>
      <c r="E56" s="71" t="n"/>
      <c r="F56" s="71" t="n"/>
      <c r="G56" s="71" t="n"/>
      <c r="H56" s="71" t="n"/>
      <c r="I56" s="71" t="n"/>
      <c r="J56" s="71" t="n"/>
      <c r="K56" s="71" t="n"/>
      <c r="L56" s="71" t="n"/>
      <c r="M56" s="71" t="n"/>
      <c r="N56" s="71" t="n"/>
      <c r="O56" s="71" t="n"/>
    </row>
    <row r="57" ht="36" customHeight="1" s="41">
      <c r="A57" s="74" t="inlineStr">
        <is>
          <t>NA</t>
        </is>
      </c>
      <c r="B57" s="74" t="inlineStr">
        <is>
          <t>Storage &amp; Organization</t>
        </is>
      </c>
      <c r="C57" s="73" t="inlineStr">
        <is>
          <t>Collapsible Storage Container/Bin</t>
        </is>
      </c>
      <c r="D57" s="73" t="n"/>
      <c r="E57" s="73" t="n"/>
      <c r="F57" s="73" t="n"/>
      <c r="G57" s="73" t="n"/>
      <c r="H57" s="73" t="n"/>
      <c r="I57" s="73" t="n"/>
      <c r="J57" s="73" t="n"/>
      <c r="K57" s="73" t="n"/>
      <c r="L57" s="73" t="n"/>
      <c r="M57" s="73" t="n"/>
      <c r="N57" s="73" t="n"/>
      <c r="O57" s="73" t="n"/>
    </row>
    <row r="58" ht="36" customHeight="1" s="41">
      <c r="A58" s="76" t="inlineStr">
        <is>
          <t>NA</t>
        </is>
      </c>
      <c r="B58" s="76" t="inlineStr">
        <is>
          <t>Writing Supplies</t>
        </is>
      </c>
      <c r="C58" s="75" t="inlineStr">
        <is>
          <t>Gel Pens, 3-Pack</t>
        </is>
      </c>
      <c r="D58" s="75" t="n"/>
      <c r="E58" s="75" t="n"/>
      <c r="F58" s="75" t="n"/>
      <c r="G58" s="75" t="n"/>
      <c r="H58" s="75" t="n"/>
      <c r="I58" s="75" t="n"/>
      <c r="J58" s="75" t="n"/>
      <c r="K58" s="75" t="n"/>
      <c r="L58" s="75" t="n"/>
      <c r="M58" s="75" t="n"/>
      <c r="N58" s="75" t="n"/>
      <c r="O58" s="75" t="n"/>
    </row>
    <row r="59" ht="36" customHeight="1" s="41">
      <c r="A59" s="78" t="inlineStr">
        <is>
          <t>NA</t>
        </is>
      </c>
      <c r="B59" s="78" t="inlineStr">
        <is>
          <t>Yogurt</t>
        </is>
      </c>
      <c r="C59" s="77" t="inlineStr">
        <is>
          <t>Chobani Greek Yogurt 4-Pack, Hero Batch</t>
        </is>
      </c>
      <c r="D59" s="77" t="inlineStr">
        <is>
          <t>Chobani Protein Greek Yogurt Drink, Strawberries &amp; Cream</t>
        </is>
      </c>
      <c r="E59" s="77" t="inlineStr">
        <is>
          <t>Chobani Vanilla Mixed Berry Greek Yogurt</t>
        </is>
      </c>
      <c r="F59" s="77" t="inlineStr">
        <is>
          <t>Stonyfield Organic YoBaby Yogurt Pouch, Banana</t>
        </is>
      </c>
      <c r="G59" s="77" t="inlineStr">
        <is>
          <t>Stonyfield Organic YoBaby Yogurt Pouch, Peach</t>
        </is>
      </c>
      <c r="H59" s="77" t="n"/>
      <c r="I59" s="77" t="n"/>
      <c r="J59" s="77" t="n"/>
      <c r="K59" s="77" t="n"/>
      <c r="L59" s="77" t="n"/>
      <c r="M59" s="77" t="n"/>
      <c r="N59" s="77" t="n"/>
      <c r="O59" s="77" t="n"/>
    </row>
  </sheetData>
  <autoFilter ref="A1:O5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33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style="41" min="1" max="1"/>
    <col width="10" customWidth="1" style="41" min="2" max="2"/>
    <col width="10" customWidth="1" style="41" min="3" max="3"/>
    <col width="10" customWidth="1" style="41" min="4" max="4"/>
    <col width="10" customWidth="1" style="41" min="5" max="5"/>
    <col width="10" customWidth="1" style="41" min="6" max="6"/>
    <col width="10" customWidth="1" style="41" min="7" max="7"/>
    <col width="10" customWidth="1" style="41" min="8" max="8"/>
    <col width="10" customWidth="1" style="41" min="9" max="9"/>
    <col width="10" customWidth="1" style="41" min="10" max="10"/>
    <col width="10" customWidth="1" style="41" min="11" max="11"/>
    <col width="10" customWidth="1" style="41" min="12" max="12"/>
    <col width="10" customWidth="1" style="41" min="13" max="13"/>
    <col width="10" customWidth="1" style="41" min="14" max="14"/>
    <col width="10" customWidth="1" style="41" min="15" max="15"/>
    <col width="2" customWidth="1" style="41" min="16" max="16"/>
    <col width="4" customWidth="1" style="41" min="17" max="17"/>
    <col width="5" customWidth="1" style="41" min="18" max="18"/>
    <col width="15" customWidth="1" style="41" min="19" max="19"/>
    <col width="15" customWidth="1" style="41" min="20" max="20"/>
    <col width="15" customWidth="1" style="41" min="21" max="21"/>
    <col width="15" customWidth="1" style="41" min="22" max="22"/>
    <col width="14" customWidth="1" style="41" min="23" max="23"/>
    <col width="2" customWidth="1" style="41" min="24" max="24"/>
    <col width="13" customWidth="1" style="41" min="25" max="25"/>
    <col width="13" customWidth="1" style="41" min="26" max="26"/>
    <col width="13" customWidth="1" style="41" min="27" max="27"/>
    <col width="13" customWidth="1" style="41" min="28" max="28"/>
    <col width="13" customWidth="1" style="41" min="29" max="29"/>
    <col width="13" customWidth="1" style="41" min="30" max="30"/>
    <col width="13" customWidth="1" style="41" min="31" max="31"/>
    <col width="13" customWidth="1" style="41" min="32" max="32"/>
    <col width="13" customWidth="1" style="41" min="33" max="33"/>
  </cols>
  <sheetData>
    <row r="1" ht="28" customHeight="1" s="41">
      <c r="A1" s="45" t="inlineStr">
        <is>
          <t>ShopGraph Sub Analytics</t>
        </is>
      </c>
    </row>
    <row r="2" ht="28" customHeight="1" s="41"/>
    <row r="4">
      <c r="A4" s="46" t="inlineStr">
        <is>
          <t>Total Spending</t>
        </is>
      </c>
      <c r="G4" s="46" t="inlineStr">
        <is>
          <t>Purchase Observations</t>
        </is>
      </c>
      <c r="M4" s="46" t="inlineStr">
        <is>
          <t>Date Range</t>
        </is>
      </c>
      <c r="T4" s="46" t="inlineStr">
        <is>
          <t>Stores</t>
        </is>
      </c>
      <c r="Z4" s="46" t="inlineStr">
        <is>
          <t>Sub-Categories</t>
        </is>
      </c>
    </row>
    <row r="5">
      <c r="A5" s="47" t="n">
        <v>899.73</v>
      </c>
      <c r="G5" s="48" t="n">
        <v>158</v>
      </c>
      <c r="M5" s="48" t="inlineStr">
        <is>
          <t>08/06/2026 - 08/28/2026</t>
        </is>
      </c>
      <c r="T5" s="48" t="n">
        <v>5</v>
      </c>
      <c r="Z5" s="48" t="n">
        <v>57</v>
      </c>
    </row>
    <row r="8">
      <c r="Q8" s="49" t="inlineStr">
        <is>
          <t>Number / Month</t>
        </is>
      </c>
      <c r="Y8" s="49" t="inlineStr">
        <is>
          <t>How to Read This Graph</t>
        </is>
      </c>
    </row>
    <row r="9">
      <c r="Q9" s="50" t="inlineStr"/>
      <c r="R9" s="50" t="inlineStr">
        <is>
          <t>#</t>
        </is>
      </c>
      <c r="S9" s="50" t="inlineStr">
        <is>
          <t>Description</t>
        </is>
      </c>
      <c r="W9" s="50" t="inlineStr">
        <is>
          <t>Value</t>
        </is>
      </c>
    </row>
    <row r="10" ht="22" customHeight="1" s="41">
      <c r="Q10" s="51" t="n"/>
      <c r="R10" s="52" t="n">
        <v>1</v>
      </c>
      <c r="S10" s="40" t="inlineStr">
        <is>
          <t>August 2026</t>
        </is>
      </c>
      <c r="W10" s="6" t="inlineStr">
        <is>
          <t>$899.73</t>
        </is>
      </c>
      <c r="Y10" s="53" t="inlineStr">
        <is>
          <t>What it represents</t>
        </is>
      </c>
    </row>
    <row r="11">
      <c r="Y11" s="40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53" t="inlineStr">
        <is>
          <t>How to read it</t>
        </is>
      </c>
    </row>
    <row r="17">
      <c r="Y17" s="40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53" t="inlineStr">
        <is>
          <t>What it is useful for</t>
        </is>
      </c>
    </row>
    <row r="23">
      <c r="Y23" s="40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53" t="inlineStr">
        <is>
          <t>Notes</t>
        </is>
      </c>
    </row>
    <row r="29">
      <c r="Y29" s="40" t="inlineStr">
        <is>
          <t>Months with no spending between the earliest and latest purchase dates are included as zero-spend months.</t>
        </is>
      </c>
    </row>
    <row r="30"/>
    <row r="31"/>
    <row r="32"/>
    <row r="44">
      <c r="Q44" s="49" t="inlineStr">
        <is>
          <t>Number / Sub-Category</t>
        </is>
      </c>
      <c r="Y44" s="49" t="inlineStr">
        <is>
          <t>How to Read This Graph</t>
        </is>
      </c>
    </row>
    <row r="45">
      <c r="Q45" s="50" t="inlineStr"/>
      <c r="R45" s="50" t="inlineStr">
        <is>
          <t>#</t>
        </is>
      </c>
      <c r="S45" s="50" t="inlineStr">
        <is>
          <t>Description</t>
        </is>
      </c>
      <c r="W45" s="50" t="inlineStr">
        <is>
          <t>Value</t>
        </is>
      </c>
    </row>
    <row r="46" ht="22" customHeight="1" s="41">
      <c r="Q46" s="51" t="n"/>
      <c r="R46" s="52" t="n">
        <v>1</v>
      </c>
      <c r="S46" s="40" t="inlineStr">
        <is>
          <t>Baby Care</t>
        </is>
      </c>
      <c r="W46" s="6" t="inlineStr">
        <is>
          <t>$136.04</t>
        </is>
      </c>
      <c r="Y46" s="53" t="inlineStr">
        <is>
          <t>What it represents</t>
        </is>
      </c>
    </row>
    <row r="47" ht="22" customHeight="1" s="41">
      <c r="Q47" s="54" t="n"/>
      <c r="R47" s="52" t="n">
        <v>2</v>
      </c>
      <c r="S47" s="40" t="inlineStr">
        <is>
          <t>Fees &amp; Charges</t>
        </is>
      </c>
      <c r="W47" s="6" t="inlineStr">
        <is>
          <t>$87.39</t>
        </is>
      </c>
      <c r="Y47" s="40" t="inlineStr">
        <is>
          <t>Compares total spending across every sub-category in Purchase History. No sub-categories are collapsed into an 'Other' group.</t>
        </is>
      </c>
    </row>
    <row r="48" ht="22" customHeight="1" s="41">
      <c r="Q48" s="55" t="n"/>
      <c r="R48" s="52" t="n">
        <v>3</v>
      </c>
      <c r="S48" s="40" t="inlineStr">
        <is>
          <t>Fresh Fruit</t>
        </is>
      </c>
      <c r="W48" s="6" t="inlineStr">
        <is>
          <t>$57.05</t>
        </is>
      </c>
    </row>
    <row r="49" ht="22" customHeight="1" s="41">
      <c r="Q49" s="56" t="n"/>
      <c r="R49" s="52" t="n">
        <v>4</v>
      </c>
      <c r="S49" s="40" t="inlineStr">
        <is>
          <t>Cat Litter</t>
        </is>
      </c>
      <c r="W49" s="6" t="inlineStr">
        <is>
          <t>$47.88</t>
        </is>
      </c>
    </row>
    <row r="50" ht="22" customHeight="1" s="41">
      <c r="Q50" s="57" t="n"/>
      <c r="R50" s="52" t="n">
        <v>5</v>
      </c>
      <c r="S50" s="40" t="inlineStr">
        <is>
          <t>Yogurt</t>
        </is>
      </c>
      <c r="W50" s="6" t="inlineStr">
        <is>
          <t>$45.36</t>
        </is>
      </c>
    </row>
    <row r="51" ht="22" customHeight="1" s="41">
      <c r="Q51" s="58" t="n"/>
      <c r="R51" s="52" t="n">
        <v>6</v>
      </c>
      <c r="S51" s="40" t="inlineStr">
        <is>
          <t>Fresh Vegetables</t>
        </is>
      </c>
      <c r="W51" s="6" t="inlineStr">
        <is>
          <t>$39.15</t>
        </is>
      </c>
    </row>
    <row r="52" ht="22" customHeight="1" s="41">
      <c r="Q52" s="59" t="n"/>
      <c r="R52" s="52" t="n">
        <v>7</v>
      </c>
      <c r="S52" s="40" t="inlineStr">
        <is>
          <t>Prepared Meals</t>
        </is>
      </c>
      <c r="W52" s="6" t="inlineStr">
        <is>
          <t>$31.20</t>
        </is>
      </c>
      <c r="Y52" s="53" t="inlineStr">
        <is>
          <t>How to read it</t>
        </is>
      </c>
    </row>
    <row r="53" ht="22" customHeight="1" s="41">
      <c r="Q53" s="60" t="n"/>
      <c r="R53" s="52" t="n">
        <v>8</v>
      </c>
      <c r="S53" s="40" t="inlineStr">
        <is>
          <t>Home Improvement</t>
        </is>
      </c>
      <c r="W53" s="6" t="inlineStr">
        <is>
          <t>$28.54</t>
        </is>
      </c>
      <c r="Y53" s="40" t="inlineStr">
        <is>
          <t>Each horizontal bar is identified by a number and color. Use the key to map that number/color to the sub-category name and exact spending amount. Longer bars mean more money was spent in that sub-category.</t>
        </is>
      </c>
    </row>
    <row r="54" ht="22" customHeight="1" s="41">
      <c r="Q54" s="61" t="n"/>
      <c r="R54" s="52" t="n">
        <v>9</v>
      </c>
      <c r="S54" s="40" t="inlineStr">
        <is>
          <t>Plant-Based Milk</t>
        </is>
      </c>
      <c r="W54" s="6" t="inlineStr">
        <is>
          <t>$26.91</t>
        </is>
      </c>
    </row>
    <row r="55" ht="22" customHeight="1" s="41">
      <c r="Q55" s="62" t="n"/>
      <c r="R55" s="52" t="n">
        <v>10</v>
      </c>
      <c r="S55" s="40" t="inlineStr">
        <is>
          <t>Baking Ingredients</t>
        </is>
      </c>
      <c r="W55" s="6" t="inlineStr">
        <is>
          <t>$26.66</t>
        </is>
      </c>
    </row>
    <row r="56" ht="22" customHeight="1" s="41">
      <c r="Q56" s="63" t="n"/>
      <c r="R56" s="52" t="n">
        <v>11</v>
      </c>
      <c r="S56" s="40" t="inlineStr">
        <is>
          <t>Body Wash</t>
        </is>
      </c>
      <c r="W56" s="6" t="inlineStr">
        <is>
          <t>$19.88</t>
        </is>
      </c>
    </row>
    <row r="57" ht="22" customHeight="1" s="41">
      <c r="Q57" s="64" t="n"/>
      <c r="R57" s="52" t="n">
        <v>12</v>
      </c>
      <c r="S57" s="40" t="inlineStr">
        <is>
          <t>Macaroni &amp; Cheese</t>
        </is>
      </c>
      <c r="W57" s="6" t="inlineStr">
        <is>
          <t>$18.88</t>
        </is>
      </c>
    </row>
    <row r="58" ht="22" customHeight="1" s="41">
      <c r="Q58" s="51" t="n"/>
      <c r="R58" s="52" t="n">
        <v>13</v>
      </c>
      <c r="S58" s="40" t="inlineStr">
        <is>
          <t>Baking Mixes</t>
        </is>
      </c>
      <c r="W58" s="6" t="inlineStr">
        <is>
          <t>$18.49</t>
        </is>
      </c>
      <c r="Y58" s="53" t="inlineStr">
        <is>
          <t>What it is useful for</t>
        </is>
      </c>
    </row>
    <row r="59" ht="22" customHeight="1" s="41">
      <c r="Q59" s="54" t="n"/>
      <c r="R59" s="52" t="n">
        <v>14</v>
      </c>
      <c r="S59" s="40" t="inlineStr">
        <is>
          <t>Seasonings &amp; Spices</t>
        </is>
      </c>
      <c r="W59" s="6" t="inlineStr">
        <is>
          <t>$18.19</t>
        </is>
      </c>
      <c r="Y59" s="40" t="inlineStr">
        <is>
          <t>Use this to see which types of goods are the biggest drivers of household spending.</t>
        </is>
      </c>
    </row>
    <row r="60" ht="22" customHeight="1" s="41">
      <c r="Q60" s="55" t="n"/>
      <c r="R60" s="52" t="n">
        <v>15</v>
      </c>
      <c r="S60" s="40" t="inlineStr">
        <is>
          <t>Bread</t>
        </is>
      </c>
      <c r="W60" s="6" t="inlineStr">
        <is>
          <t>$16.14</t>
        </is>
      </c>
    </row>
    <row r="61" ht="22" customHeight="1" s="41">
      <c r="Q61" s="56" t="n"/>
      <c r="R61" s="52" t="n">
        <v>16</v>
      </c>
      <c r="S61" s="40" t="inlineStr">
        <is>
          <t>Food Storage</t>
        </is>
      </c>
      <c r="W61" s="6" t="inlineStr">
        <is>
          <t>$14.46</t>
        </is>
      </c>
    </row>
    <row r="62" ht="22" customHeight="1" s="41">
      <c r="Q62" s="57" t="n"/>
      <c r="R62" s="52" t="n">
        <v>17</v>
      </c>
      <c r="S62" s="40" t="inlineStr">
        <is>
          <t>Fresh Seafood</t>
        </is>
      </c>
      <c r="W62" s="6" t="inlineStr">
        <is>
          <t>$14.29</t>
        </is>
      </c>
    </row>
    <row r="63" ht="22" customHeight="1" s="41">
      <c r="Q63" s="58" t="n"/>
      <c r="R63" s="52" t="n">
        <v>18</v>
      </c>
      <c r="S63" s="40" t="inlineStr">
        <is>
          <t>Fresh Poultry</t>
        </is>
      </c>
      <c r="W63" s="6" t="inlineStr">
        <is>
          <t>$13.98</t>
        </is>
      </c>
    </row>
    <row r="64" ht="22" customHeight="1" s="41">
      <c r="Q64" s="59" t="n"/>
      <c r="R64" s="52" t="n">
        <v>19</v>
      </c>
      <c r="S64" s="40" t="inlineStr">
        <is>
          <t>Hair Care</t>
        </is>
      </c>
      <c r="W64" s="6" t="inlineStr">
        <is>
          <t>$13.92</t>
        </is>
      </c>
    </row>
    <row r="65" ht="22" customHeight="1" s="41">
      <c r="Q65" s="60" t="n"/>
      <c r="R65" s="52" t="n">
        <v>20</v>
      </c>
      <c r="S65" s="40" t="inlineStr">
        <is>
          <t>Cheese</t>
        </is>
      </c>
      <c r="W65" s="6" t="inlineStr">
        <is>
          <t>$11.93</t>
        </is>
      </c>
    </row>
    <row r="66" ht="22" customHeight="1" s="41">
      <c r="Q66" s="61" t="n"/>
      <c r="R66" s="52" t="n">
        <v>21</v>
      </c>
      <c r="S66" s="40" t="inlineStr">
        <is>
          <t>Frozen Meat</t>
        </is>
      </c>
      <c r="W66" s="6" t="inlineStr">
        <is>
          <t>$11.76</t>
        </is>
      </c>
    </row>
    <row r="67" ht="22" customHeight="1" s="41">
      <c r="Q67" s="62" t="n"/>
      <c r="R67" s="52" t="n">
        <v>22</v>
      </c>
      <c r="S67" s="40" t="inlineStr">
        <is>
          <t>Prepared Coffee</t>
        </is>
      </c>
      <c r="W67" s="6" t="inlineStr">
        <is>
          <t>$11.00</t>
        </is>
      </c>
    </row>
    <row r="68" ht="22" customHeight="1" s="41">
      <c r="Q68" s="63" t="n"/>
      <c r="R68" s="52" t="n">
        <v>23</v>
      </c>
      <c r="S68" s="40" t="inlineStr">
        <is>
          <t>Milk</t>
        </is>
      </c>
      <c r="W68" s="6" t="inlineStr">
        <is>
          <t>$10.64</t>
        </is>
      </c>
    </row>
    <row r="69" ht="22" customHeight="1" s="41">
      <c r="Q69" s="64" t="n"/>
      <c r="R69" s="52" t="n">
        <v>24</v>
      </c>
      <c r="S69" s="40" t="inlineStr">
        <is>
          <t>Salad Kits</t>
        </is>
      </c>
      <c r="W69" s="6" t="inlineStr">
        <is>
          <t>$10.00</t>
        </is>
      </c>
    </row>
    <row r="70" ht="22" customHeight="1" s="41">
      <c r="Q70" s="51" t="n"/>
      <c r="R70" s="52" t="n">
        <v>25</v>
      </c>
      <c r="S70" s="40" t="inlineStr">
        <is>
          <t>Baby &amp; Toddler Food</t>
        </is>
      </c>
      <c r="W70" s="6" t="inlineStr">
        <is>
          <t>$9.98</t>
        </is>
      </c>
    </row>
    <row r="71" ht="22" customHeight="1" s="41">
      <c r="Q71" s="54" t="n"/>
      <c r="R71" s="52" t="n">
        <v>26</v>
      </c>
      <c r="S71" s="40" t="inlineStr">
        <is>
          <t>Snack Bars</t>
        </is>
      </c>
      <c r="W71" s="6" t="inlineStr">
        <is>
          <t>$9.95</t>
        </is>
      </c>
    </row>
    <row r="72" ht="22" customHeight="1" s="41">
      <c r="Q72" s="55" t="n"/>
      <c r="R72" s="52" t="n">
        <v>27</v>
      </c>
      <c r="S72" s="40" t="inlineStr">
        <is>
          <t>Eggs</t>
        </is>
      </c>
      <c r="W72" s="6" t="inlineStr">
        <is>
          <t>$9.76</t>
        </is>
      </c>
    </row>
    <row r="73" ht="22" customHeight="1" s="41">
      <c r="Q73" s="56" t="n"/>
      <c r="R73" s="52" t="n">
        <v>28</v>
      </c>
      <c r="S73" s="40" t="inlineStr">
        <is>
          <t>Frozen Pizza</t>
        </is>
      </c>
      <c r="W73" s="6" t="inlineStr">
        <is>
          <t>$8.29</t>
        </is>
      </c>
    </row>
    <row r="74" ht="22" customHeight="1" s="41">
      <c r="Q74" s="57" t="n"/>
      <c r="R74" s="52" t="n">
        <v>29</v>
      </c>
      <c r="S74" s="40" t="inlineStr">
        <is>
          <t>Frozen Breakfast</t>
        </is>
      </c>
      <c r="W74" s="6" t="inlineStr">
        <is>
          <t>$7.78</t>
        </is>
      </c>
    </row>
    <row r="75" ht="22" customHeight="1" s="41">
      <c r="Q75" s="58" t="n"/>
      <c r="R75" s="52" t="n">
        <v>30</v>
      </c>
      <c r="S75" s="40" t="inlineStr">
        <is>
          <t>Ice Cream</t>
        </is>
      </c>
      <c r="W75" s="6" t="inlineStr">
        <is>
          <t>$7.19</t>
        </is>
      </c>
    </row>
    <row r="76" ht="22" customHeight="1" s="41">
      <c r="Q76" s="59" t="n"/>
      <c r="R76" s="52" t="n">
        <v>31</v>
      </c>
      <c r="S76" s="40" t="inlineStr">
        <is>
          <t>Refrigerated Dough</t>
        </is>
      </c>
      <c r="W76" s="6" t="inlineStr">
        <is>
          <t>$6.99</t>
        </is>
      </c>
    </row>
    <row r="77" ht="22" customHeight="1" s="41">
      <c r="Q77" s="60" t="n"/>
      <c r="R77" s="52" t="n">
        <v>32</v>
      </c>
      <c r="S77" s="40" t="inlineStr">
        <is>
          <t>Rice &amp; Grains</t>
        </is>
      </c>
      <c r="W77" s="6" t="inlineStr">
        <is>
          <t>$6.88</t>
        </is>
      </c>
    </row>
    <row r="78" ht="22" customHeight="1" s="41">
      <c r="Q78" s="61" t="n"/>
      <c r="R78" s="52" t="n">
        <v>33</v>
      </c>
      <c r="S78" s="40" t="inlineStr">
        <is>
          <t>Deli Meat</t>
        </is>
      </c>
      <c r="W78" s="6" t="inlineStr">
        <is>
          <t>$6.48</t>
        </is>
      </c>
    </row>
    <row r="79" ht="22" customHeight="1" s="41">
      <c r="Q79" s="62" t="n"/>
      <c r="R79" s="52" t="n">
        <v>34</v>
      </c>
      <c r="S79" s="40" t="inlineStr">
        <is>
          <t>Household Cleaners</t>
        </is>
      </c>
      <c r="W79" s="6" t="inlineStr">
        <is>
          <t>$6.24</t>
        </is>
      </c>
    </row>
    <row r="80" ht="22" customHeight="1" s="41">
      <c r="Q80" s="63" t="n"/>
      <c r="R80" s="52" t="n">
        <v>35</v>
      </c>
      <c r="S80" s="40" t="inlineStr">
        <is>
          <t>Muffins &amp; Pastries</t>
        </is>
      </c>
      <c r="W80" s="6" t="inlineStr">
        <is>
          <t>$5.99</t>
        </is>
      </c>
    </row>
    <row r="81" ht="22" customHeight="1" s="41">
      <c r="Q81" s="64" t="n"/>
      <c r="R81" s="52" t="n">
        <v>36</v>
      </c>
      <c r="S81" s="40" t="inlineStr">
        <is>
          <t>Storage &amp; Organization</t>
        </is>
      </c>
      <c r="W81" s="6" t="inlineStr">
        <is>
          <t>$5.99</t>
        </is>
      </c>
    </row>
    <row r="82" ht="22" customHeight="1" s="41">
      <c r="Q82" s="51" t="n"/>
      <c r="R82" s="52" t="n">
        <v>37</v>
      </c>
      <c r="S82" s="40" t="inlineStr">
        <is>
          <t>Writing Supplies</t>
        </is>
      </c>
      <c r="W82" s="6" t="inlineStr">
        <is>
          <t>$5.99</t>
        </is>
      </c>
    </row>
    <row r="83" ht="22" customHeight="1" s="41">
      <c r="Q83" s="54" t="n"/>
      <c r="R83" s="52" t="n">
        <v>38</v>
      </c>
      <c r="S83" s="40" t="inlineStr">
        <is>
          <t>Cream &amp; Half-and-Half</t>
        </is>
      </c>
      <c r="W83" s="6" t="inlineStr">
        <is>
          <t>$5.89</t>
        </is>
      </c>
    </row>
    <row r="84" ht="22" customHeight="1" s="41">
      <c r="Q84" s="55" t="n"/>
      <c r="R84" s="52" t="n">
        <v>39</v>
      </c>
      <c r="S84" s="40" t="inlineStr">
        <is>
          <t>Hot Dogs &amp; Sausages</t>
        </is>
      </c>
      <c r="W84" s="6" t="inlineStr">
        <is>
          <t>$5.74</t>
        </is>
      </c>
    </row>
    <row r="85" ht="22" customHeight="1" s="41">
      <c r="Q85" s="56" t="n"/>
      <c r="R85" s="52" t="n">
        <v>40</v>
      </c>
      <c r="S85" s="40" t="inlineStr">
        <is>
          <t>Plant-Based Cheese</t>
        </is>
      </c>
      <c r="W85" s="6" t="inlineStr">
        <is>
          <t>$5.65</t>
        </is>
      </c>
    </row>
    <row r="86" ht="22" customHeight="1" s="41">
      <c r="Q86" s="57" t="n"/>
      <c r="R86" s="52" t="n">
        <v>41</v>
      </c>
      <c r="S86" s="40" t="inlineStr">
        <is>
          <t>Disposable Tableware</t>
        </is>
      </c>
      <c r="W86" s="6" t="inlineStr">
        <is>
          <t>$5.25</t>
        </is>
      </c>
    </row>
    <row r="87" ht="22" customHeight="1" s="41">
      <c r="Q87" s="58" t="n"/>
      <c r="R87" s="52" t="n">
        <v>42</v>
      </c>
      <c r="S87" s="40" t="inlineStr">
        <is>
          <t>Specialty Cheese</t>
        </is>
      </c>
      <c r="W87" s="6" t="inlineStr">
        <is>
          <t>$4.88</t>
        </is>
      </c>
    </row>
    <row r="88" ht="22" customHeight="1" s="41">
      <c r="Q88" s="59" t="n"/>
      <c r="R88" s="52" t="n">
        <v>43</v>
      </c>
      <c r="S88" s="40" t="inlineStr">
        <is>
          <t>Dishwashing Supplies</t>
        </is>
      </c>
      <c r="W88" s="6" t="inlineStr">
        <is>
          <t>$4.46</t>
        </is>
      </c>
    </row>
    <row r="89" ht="22" customHeight="1" s="41">
      <c r="Q89" s="60" t="n"/>
      <c r="R89" s="52" t="n">
        <v>44</v>
      </c>
      <c r="S89" s="40" t="inlineStr">
        <is>
          <t>Fresh-Cut Fruit</t>
        </is>
      </c>
      <c r="W89" s="6" t="inlineStr">
        <is>
          <t>$3.89</t>
        </is>
      </c>
    </row>
    <row r="90" ht="22" customHeight="1" s="41">
      <c r="Q90" s="61" t="n"/>
      <c r="R90" s="52" t="n">
        <v>45</v>
      </c>
      <c r="S90" s="40" t="inlineStr">
        <is>
          <t>Peanut Butter</t>
        </is>
      </c>
      <c r="W90" s="6" t="inlineStr">
        <is>
          <t>$3.69</t>
        </is>
      </c>
    </row>
    <row r="91" ht="22" customHeight="1" s="41">
      <c r="Q91" s="62" t="n"/>
      <c r="R91" s="52" t="n">
        <v>46</v>
      </c>
      <c r="S91" s="40" t="inlineStr">
        <is>
          <t>Canned Beans &amp; Legumes</t>
        </is>
      </c>
      <c r="W91" s="6" t="inlineStr">
        <is>
          <t>$3.68</t>
        </is>
      </c>
    </row>
    <row r="92" ht="22" customHeight="1" s="41">
      <c r="Q92" s="63" t="n"/>
      <c r="R92" s="52" t="n">
        <v>47</v>
      </c>
      <c r="S92" s="40" t="inlineStr">
        <is>
          <t>Dips &amp; Spreads</t>
        </is>
      </c>
      <c r="W92" s="6" t="inlineStr">
        <is>
          <t>$3.45</t>
        </is>
      </c>
    </row>
    <row r="93" ht="22" customHeight="1" s="41">
      <c r="Q93" s="64" t="n"/>
      <c r="R93" s="52" t="n">
        <v>48</v>
      </c>
      <c r="S93" s="40" t="inlineStr">
        <is>
          <t>Jarred Vegetables</t>
        </is>
      </c>
      <c r="W93" s="6" t="inlineStr">
        <is>
          <t>$3.29</t>
        </is>
      </c>
    </row>
    <row r="94" ht="22" customHeight="1" s="41">
      <c r="Q94" s="51" t="n"/>
      <c r="R94" s="52" t="n">
        <v>49</v>
      </c>
      <c r="S94" s="40" t="inlineStr">
        <is>
          <t>Sauces &amp; Condiments</t>
        </is>
      </c>
      <c r="W94" s="6" t="inlineStr">
        <is>
          <t>$3.19</t>
        </is>
      </c>
    </row>
    <row r="95" ht="22" customHeight="1" s="41">
      <c r="Q95" s="54" t="n"/>
      <c r="R95" s="52" t="n">
        <v>50</v>
      </c>
      <c r="S95" s="40" t="inlineStr">
        <is>
          <t>Judaica</t>
        </is>
      </c>
      <c r="W95" s="6" t="inlineStr">
        <is>
          <t>$3.16</t>
        </is>
      </c>
    </row>
    <row r="96" ht="22" customHeight="1" s="41">
      <c r="Q96" s="55" t="n"/>
      <c r="R96" s="52" t="n">
        <v>51</v>
      </c>
      <c r="S96" s="40" t="inlineStr">
        <is>
          <t>Pasta</t>
        </is>
      </c>
      <c r="W96" s="6" t="inlineStr">
        <is>
          <t>$2.99</t>
        </is>
      </c>
    </row>
    <row r="97" ht="22" customHeight="1" s="41">
      <c r="Q97" s="56" t="n"/>
      <c r="R97" s="52" t="n">
        <v>52</v>
      </c>
      <c r="S97" s="40" t="inlineStr">
        <is>
          <t>Salad Dressing</t>
        </is>
      </c>
      <c r="W97" s="6" t="inlineStr">
        <is>
          <t>$2.99</t>
        </is>
      </c>
    </row>
    <row r="98" ht="22" customHeight="1" s="41">
      <c r="Q98" s="57" t="n"/>
      <c r="R98" s="52" t="n">
        <v>53</v>
      </c>
      <c r="S98" s="40" t="inlineStr">
        <is>
          <t>Crackers</t>
        </is>
      </c>
      <c r="W98" s="6" t="inlineStr">
        <is>
          <t>$2.79</t>
        </is>
      </c>
    </row>
    <row r="99" ht="22" customHeight="1" s="41">
      <c r="Q99" s="58" t="n"/>
      <c r="R99" s="52" t="n">
        <v>54</v>
      </c>
      <c r="S99" s="40" t="inlineStr">
        <is>
          <t>Popcorn</t>
        </is>
      </c>
      <c r="W99" s="6" t="inlineStr">
        <is>
          <t>$2.39</t>
        </is>
      </c>
    </row>
    <row r="100" ht="22" customHeight="1" s="41">
      <c r="Q100" s="59" t="n"/>
      <c r="R100" s="52" t="n">
        <v>55</v>
      </c>
      <c r="S100" s="40" t="inlineStr">
        <is>
          <t>Croutons</t>
        </is>
      </c>
      <c r="W100" s="6" t="inlineStr">
        <is>
          <t>$1.99</t>
        </is>
      </c>
    </row>
    <row r="101" ht="22" customHeight="1" s="41">
      <c r="Q101" s="60" t="n"/>
      <c r="R101" s="52" t="n">
        <v>56</v>
      </c>
      <c r="S101" s="40" t="inlineStr">
        <is>
          <t>Fresh Herbs</t>
        </is>
      </c>
      <c r="W101" s="6" t="inlineStr">
        <is>
          <t>$1.84</t>
        </is>
      </c>
    </row>
    <row r="102" ht="22" customHeight="1" s="41">
      <c r="Q102" s="61" t="n"/>
      <c r="R102" s="52" t="n">
        <v>57</v>
      </c>
      <c r="S102" s="40" t="inlineStr">
        <is>
          <t>Frozen Vegetables</t>
        </is>
      </c>
      <c r="W102" s="6" t="inlineStr">
        <is>
          <t>$1.27</t>
        </is>
      </c>
    </row>
    <row r="106">
      <c r="Q106" s="49" t="inlineStr">
        <is>
          <t>Number / Store</t>
        </is>
      </c>
      <c r="Y106" s="49" t="inlineStr">
        <is>
          <t>How to Read This Graph</t>
        </is>
      </c>
    </row>
    <row r="107">
      <c r="Q107" s="50" t="inlineStr"/>
      <c r="R107" s="50" t="inlineStr">
        <is>
          <t>#</t>
        </is>
      </c>
      <c r="S107" s="50" t="inlineStr">
        <is>
          <t>Description</t>
        </is>
      </c>
      <c r="W107" s="50" t="inlineStr">
        <is>
          <t>Value</t>
        </is>
      </c>
    </row>
    <row r="108" ht="22" customHeight="1" s="41">
      <c r="Q108" s="51" t="n"/>
      <c r="R108" s="52" t="n">
        <v>1</v>
      </c>
      <c r="S108" s="40" t="inlineStr">
        <is>
          <t>Walmart</t>
        </is>
      </c>
      <c r="W108" s="6" t="inlineStr">
        <is>
          <t>$574.97</t>
        </is>
      </c>
      <c r="Y108" s="53" t="inlineStr">
        <is>
          <t>What it represents</t>
        </is>
      </c>
    </row>
    <row r="109" ht="22" customHeight="1" s="41">
      <c r="Q109" s="54" t="n"/>
      <c r="R109" s="52" t="n">
        <v>2</v>
      </c>
      <c r="S109" s="40" t="inlineStr">
        <is>
          <t>Publix</t>
        </is>
      </c>
      <c r="W109" s="6" t="inlineStr">
        <is>
          <t>$145.58</t>
        </is>
      </c>
      <c r="Y109" s="40" t="inlineStr">
        <is>
          <t>Compares how much money was spent at each retailer across the entire Purchase History.</t>
        </is>
      </c>
    </row>
    <row r="110" ht="22" customHeight="1" s="41">
      <c r="Q110" s="55" t="n"/>
      <c r="R110" s="52" t="n">
        <v>3</v>
      </c>
      <c r="S110" s="40" t="inlineStr">
        <is>
          <t>Aldi</t>
        </is>
      </c>
      <c r="W110" s="6" t="inlineStr">
        <is>
          <t>$100.82</t>
        </is>
      </c>
    </row>
    <row r="111" ht="22" customHeight="1" s="41">
      <c r="Q111" s="56" t="n"/>
      <c r="R111" s="52" t="n">
        <v>4</v>
      </c>
      <c r="S111" s="40" t="inlineStr">
        <is>
          <t>Honey Pineapple</t>
        </is>
      </c>
      <c r="W111" s="6" t="inlineStr">
        <is>
          <t>$48.12</t>
        </is>
      </c>
    </row>
    <row r="112" ht="22" customHeight="1" s="41">
      <c r="Q112" s="57" t="n"/>
      <c r="R112" s="52" t="n">
        <v>5</v>
      </c>
      <c r="S112" s="40" t="inlineStr">
        <is>
          <t>Trader Joe's</t>
        </is>
      </c>
      <c r="W112" s="6" t="inlineStr">
        <is>
          <t>$30.24</t>
        </is>
      </c>
    </row>
    <row r="114">
      <c r="Y114" s="53" t="inlineStr">
        <is>
          <t>How to read it</t>
        </is>
      </c>
    </row>
    <row r="115">
      <c r="Y115" s="40" t="inlineStr">
        <is>
          <t>Each store is represented by a numbered colored bar. Match the number/color to the key. Longer bars indicate more total spending at that store.</t>
        </is>
      </c>
    </row>
    <row r="116"/>
    <row r="117"/>
    <row r="118"/>
    <row r="120">
      <c r="Y120" s="53" t="inlineStr">
        <is>
          <t>What it is useful for</t>
        </is>
      </c>
    </row>
    <row r="121">
      <c r="Y121" s="40" t="inlineStr">
        <is>
          <t>Use this to understand which retailers receive the largest share of your household shopping budget.</t>
        </is>
      </c>
    </row>
    <row r="122"/>
    <row r="123"/>
    <row r="124"/>
    <row r="126">
      <c r="Y126" s="53" t="inlineStr">
        <is>
          <t>Notes</t>
        </is>
      </c>
    </row>
    <row r="127">
      <c r="Y127" s="40" t="inlineStr">
        <is>
          <t>Store Number is intentionally ignored here; purchases are grouped by the Store name.</t>
        </is>
      </c>
    </row>
    <row r="128"/>
    <row r="129"/>
    <row r="130"/>
    <row r="142">
      <c r="Q142" s="49" t="inlineStr">
        <is>
          <t>Number / Sub-Category</t>
        </is>
      </c>
      <c r="Y142" s="49" t="inlineStr">
        <is>
          <t>How to Read This Graph</t>
        </is>
      </c>
    </row>
    <row r="143">
      <c r="Q143" s="50" t="inlineStr"/>
      <c r="R143" s="50" t="inlineStr">
        <is>
          <t>#</t>
        </is>
      </c>
      <c r="S143" s="50" t="inlineStr">
        <is>
          <t>Description</t>
        </is>
      </c>
      <c r="W143" s="50" t="inlineStr">
        <is>
          <t>Value</t>
        </is>
      </c>
    </row>
    <row r="144" ht="22" customHeight="1" s="41">
      <c r="Q144" s="51" t="n"/>
      <c r="R144" s="52" t="n">
        <v>1</v>
      </c>
      <c r="S144" s="40" t="inlineStr">
        <is>
          <t>Baby Care</t>
        </is>
      </c>
      <c r="W144" s="6" t="inlineStr">
        <is>
          <t>$136.04 (15.1%)</t>
        </is>
      </c>
      <c r="Y144" s="53" t="inlineStr">
        <is>
          <t>What it represents</t>
        </is>
      </c>
    </row>
    <row r="145" ht="22" customHeight="1" s="41">
      <c r="Q145" s="54" t="n"/>
      <c r="R145" s="52" t="n">
        <v>2</v>
      </c>
      <c r="S145" s="40" t="inlineStr">
        <is>
          <t>Fees &amp; Charges</t>
        </is>
      </c>
      <c r="W145" s="6" t="inlineStr">
        <is>
          <t>$87.39 (9.7%)</t>
        </is>
      </c>
      <c r="Y145" s="40" t="inlineStr">
        <is>
          <t>Shows each sub-category's share of total spending as part of the whole shopping budget.</t>
        </is>
      </c>
    </row>
    <row r="146" ht="22" customHeight="1" s="41">
      <c r="Q146" s="55" t="n"/>
      <c r="R146" s="52" t="n">
        <v>3</v>
      </c>
      <c r="S146" s="40" t="inlineStr">
        <is>
          <t>Fresh Fruit</t>
        </is>
      </c>
      <c r="W146" s="6" t="inlineStr">
        <is>
          <t>$57.05 (6.3%)</t>
        </is>
      </c>
    </row>
    <row r="147" ht="22" customHeight="1" s="41">
      <c r="Q147" s="56" t="n"/>
      <c r="R147" s="52" t="n">
        <v>4</v>
      </c>
      <c r="S147" s="40" t="inlineStr">
        <is>
          <t>Cat Litter</t>
        </is>
      </c>
      <c r="W147" s="6" t="inlineStr">
        <is>
          <t>$47.88 (5.3%)</t>
        </is>
      </c>
    </row>
    <row r="148" ht="22" customHeight="1" s="41">
      <c r="Q148" s="57" t="n"/>
      <c r="R148" s="52" t="n">
        <v>5</v>
      </c>
      <c r="S148" s="40" t="inlineStr">
        <is>
          <t>Yogurt</t>
        </is>
      </c>
      <c r="W148" s="6" t="inlineStr">
        <is>
          <t>$45.36 (5.0%)</t>
        </is>
      </c>
    </row>
    <row r="149" ht="22" customHeight="1" s="41">
      <c r="Q149" s="58" t="n"/>
      <c r="R149" s="52" t="n">
        <v>6</v>
      </c>
      <c r="S149" s="40" t="inlineStr">
        <is>
          <t>Fresh Vegetables</t>
        </is>
      </c>
      <c r="W149" s="6" t="inlineStr">
        <is>
          <t>$39.15 (4.4%)</t>
        </is>
      </c>
    </row>
    <row r="150" ht="22" customHeight="1" s="41">
      <c r="Q150" s="59" t="n"/>
      <c r="R150" s="52" t="n">
        <v>7</v>
      </c>
      <c r="S150" s="40" t="inlineStr">
        <is>
          <t>Prepared Meals</t>
        </is>
      </c>
      <c r="W150" s="6" t="inlineStr">
        <is>
          <t>$31.20 (3.5%)</t>
        </is>
      </c>
      <c r="Y150" s="53" t="inlineStr">
        <is>
          <t>How to read it</t>
        </is>
      </c>
    </row>
    <row r="151" ht="22" customHeight="1" s="41">
      <c r="Q151" s="60" t="n"/>
      <c r="R151" s="52" t="n">
        <v>8</v>
      </c>
      <c r="S151" s="40" t="inlineStr">
        <is>
          <t>Home Improvement</t>
        </is>
      </c>
      <c r="W151" s="6" t="inlineStr">
        <is>
          <t>$28.54 (3.2%)</t>
        </is>
      </c>
      <c r="Y151" s="40" t="inlineStr">
        <is>
          <t>The doughnut itself displays only numeric sub-category codes. Match each number/color to the key for the sub-category name, dollar amount, and percentage of total spending.</t>
        </is>
      </c>
    </row>
    <row r="152" ht="22" customHeight="1" s="41">
      <c r="Q152" s="61" t="n"/>
      <c r="R152" s="52" t="n">
        <v>9</v>
      </c>
      <c r="S152" s="40" t="inlineStr">
        <is>
          <t>Plant-Based Milk</t>
        </is>
      </c>
      <c r="W152" s="6" t="inlineStr">
        <is>
          <t>$26.91 (3.0%)</t>
        </is>
      </c>
    </row>
    <row r="153" ht="22" customHeight="1" s="41">
      <c r="Q153" s="62" t="n"/>
      <c r="R153" s="52" t="n">
        <v>10</v>
      </c>
      <c r="S153" s="40" t="inlineStr">
        <is>
          <t>Baking Ingredients</t>
        </is>
      </c>
      <c r="W153" s="6" t="inlineStr">
        <is>
          <t>$26.66 (3.0%)</t>
        </is>
      </c>
    </row>
    <row r="154" ht="22" customHeight="1" s="41">
      <c r="Q154" s="63" t="n"/>
      <c r="R154" s="52" t="n">
        <v>11</v>
      </c>
      <c r="S154" s="40" t="inlineStr">
        <is>
          <t>Body Wash</t>
        </is>
      </c>
      <c r="W154" s="6" t="inlineStr">
        <is>
          <t>$19.88 (2.2%)</t>
        </is>
      </c>
    </row>
    <row r="155" ht="22" customHeight="1" s="41">
      <c r="Q155" s="64" t="n"/>
      <c r="R155" s="52" t="n">
        <v>12</v>
      </c>
      <c r="S155" s="40" t="inlineStr">
        <is>
          <t>Macaroni &amp; Cheese</t>
        </is>
      </c>
      <c r="W155" s="6" t="inlineStr">
        <is>
          <t>$18.88 (2.1%)</t>
        </is>
      </c>
    </row>
    <row r="156" ht="22" customHeight="1" s="41">
      <c r="Q156" s="51" t="n"/>
      <c r="R156" s="52" t="n">
        <v>13</v>
      </c>
      <c r="S156" s="40" t="inlineStr">
        <is>
          <t>Baking Mixes</t>
        </is>
      </c>
      <c r="W156" s="6" t="inlineStr">
        <is>
          <t>$18.49 (2.1%)</t>
        </is>
      </c>
      <c r="Y156" s="53" t="inlineStr">
        <is>
          <t>What it is useful for</t>
        </is>
      </c>
    </row>
    <row r="157" ht="22" customHeight="1" s="41">
      <c r="Q157" s="54" t="n"/>
      <c r="R157" s="52" t="n">
        <v>14</v>
      </c>
      <c r="S157" s="40" t="inlineStr">
        <is>
          <t>Seasonings &amp; Spices</t>
        </is>
      </c>
      <c r="W157" s="6" t="inlineStr">
        <is>
          <t>$18.19 (2.0%)</t>
        </is>
      </c>
      <c r="Y157" s="40" t="inlineStr">
        <is>
          <t>Use this for a fast visual picture of the household spending mix—especially which sub-categories take the largest portion of the budget.</t>
        </is>
      </c>
    </row>
    <row r="158" ht="22" customHeight="1" s="41">
      <c r="Q158" s="55" t="n"/>
      <c r="R158" s="52" t="n">
        <v>15</v>
      </c>
      <c r="S158" s="40" t="inlineStr">
        <is>
          <t>Bread</t>
        </is>
      </c>
      <c r="W158" s="6" t="inlineStr">
        <is>
          <t>$16.14 (1.8%)</t>
        </is>
      </c>
    </row>
    <row r="159" ht="22" customHeight="1" s="41">
      <c r="Q159" s="56" t="n"/>
      <c r="R159" s="52" t="n">
        <v>16</v>
      </c>
      <c r="S159" s="40" t="inlineStr">
        <is>
          <t>Food Storage</t>
        </is>
      </c>
      <c r="W159" s="6" t="inlineStr">
        <is>
          <t>$14.46 (1.6%)</t>
        </is>
      </c>
    </row>
    <row r="160" ht="22" customHeight="1" s="41">
      <c r="Q160" s="57" t="n"/>
      <c r="R160" s="52" t="n">
        <v>17</v>
      </c>
      <c r="S160" s="40" t="inlineStr">
        <is>
          <t>Fresh Seafood</t>
        </is>
      </c>
      <c r="W160" s="6" t="inlineStr">
        <is>
          <t>$14.29 (1.6%)</t>
        </is>
      </c>
    </row>
    <row r="161" ht="22" customHeight="1" s="41">
      <c r="Q161" s="58" t="n"/>
      <c r="R161" s="52" t="n">
        <v>18</v>
      </c>
      <c r="S161" s="40" t="inlineStr">
        <is>
          <t>Fresh Poultry</t>
        </is>
      </c>
      <c r="W161" s="6" t="inlineStr">
        <is>
          <t>$13.98 (1.6%)</t>
        </is>
      </c>
    </row>
    <row r="162" ht="22" customHeight="1" s="41">
      <c r="Q162" s="59" t="n"/>
      <c r="R162" s="52" t="n">
        <v>19</v>
      </c>
      <c r="S162" s="40" t="inlineStr">
        <is>
          <t>Hair Care</t>
        </is>
      </c>
      <c r="W162" s="6" t="inlineStr">
        <is>
          <t>$13.92 (1.5%)</t>
        </is>
      </c>
      <c r="Y162" s="53" t="inlineStr">
        <is>
          <t>Notes</t>
        </is>
      </c>
    </row>
    <row r="163" ht="22" customHeight="1" s="41">
      <c r="Q163" s="60" t="n"/>
      <c r="R163" s="52" t="n">
        <v>20</v>
      </c>
      <c r="S163" s="40" t="inlineStr">
        <is>
          <t>Cheese</t>
        </is>
      </c>
      <c r="W163" s="6" t="inlineStr">
        <is>
          <t>$11.93 (1.3%)</t>
        </is>
      </c>
      <c r="Y163" s="40" t="inlineStr">
        <is>
          <t>Unlike the older dashboard, this graph does not create a large 'Other' slice. Every sub-category receives its own numbered segment.</t>
        </is>
      </c>
    </row>
    <row r="164" ht="22" customHeight="1" s="41">
      <c r="Q164" s="61" t="n"/>
      <c r="R164" s="52" t="n">
        <v>21</v>
      </c>
      <c r="S164" s="40" t="inlineStr">
        <is>
          <t>Frozen Meat</t>
        </is>
      </c>
      <c r="W164" s="6" t="inlineStr">
        <is>
          <t>$11.76 (1.3%)</t>
        </is>
      </c>
    </row>
    <row r="165" ht="22" customHeight="1" s="41">
      <c r="Q165" s="62" t="n"/>
      <c r="R165" s="52" t="n">
        <v>22</v>
      </c>
      <c r="S165" s="40" t="inlineStr">
        <is>
          <t>Prepared Coffee</t>
        </is>
      </c>
      <c r="W165" s="6" t="inlineStr">
        <is>
          <t>$11.00 (1.2%)</t>
        </is>
      </c>
    </row>
    <row r="166" ht="22" customHeight="1" s="41">
      <c r="Q166" s="63" t="n"/>
      <c r="R166" s="52" t="n">
        <v>23</v>
      </c>
      <c r="S166" s="40" t="inlineStr">
        <is>
          <t>Milk</t>
        </is>
      </c>
      <c r="W166" s="6" t="inlineStr">
        <is>
          <t>$10.64 (1.2%)</t>
        </is>
      </c>
    </row>
    <row r="167" ht="22" customHeight="1" s="41">
      <c r="Q167" s="64" t="n"/>
      <c r="R167" s="52" t="n">
        <v>24</v>
      </c>
      <c r="S167" s="40" t="inlineStr">
        <is>
          <t>Salad Kits</t>
        </is>
      </c>
      <c r="W167" s="6" t="inlineStr">
        <is>
          <t>$10.00 (1.1%)</t>
        </is>
      </c>
    </row>
    <row r="168" ht="22" customHeight="1" s="41">
      <c r="Q168" s="51" t="n"/>
      <c r="R168" s="52" t="n">
        <v>25</v>
      </c>
      <c r="S168" s="40" t="inlineStr">
        <is>
          <t>Baby &amp; Toddler Food</t>
        </is>
      </c>
      <c r="W168" s="6" t="inlineStr">
        <is>
          <t>$9.98 (1.1%)</t>
        </is>
      </c>
    </row>
    <row r="169" ht="22" customHeight="1" s="41">
      <c r="Q169" s="54" t="n"/>
      <c r="R169" s="52" t="n">
        <v>26</v>
      </c>
      <c r="S169" s="40" t="inlineStr">
        <is>
          <t>Snack Bars</t>
        </is>
      </c>
      <c r="W169" s="6" t="inlineStr">
        <is>
          <t>$9.95 (1.1%)</t>
        </is>
      </c>
    </row>
    <row r="170" ht="22" customHeight="1" s="41">
      <c r="Q170" s="55" t="n"/>
      <c r="R170" s="52" t="n">
        <v>27</v>
      </c>
      <c r="S170" s="40" t="inlineStr">
        <is>
          <t>Eggs</t>
        </is>
      </c>
      <c r="W170" s="6" t="inlineStr">
        <is>
          <t>$9.76 (1.1%)</t>
        </is>
      </c>
    </row>
    <row r="171" ht="22" customHeight="1" s="41">
      <c r="Q171" s="56" t="n"/>
      <c r="R171" s="52" t="n">
        <v>28</v>
      </c>
      <c r="S171" s="40" t="inlineStr">
        <is>
          <t>Frozen Pizza</t>
        </is>
      </c>
      <c r="W171" s="6" t="inlineStr">
        <is>
          <t>$8.29 (0.9%)</t>
        </is>
      </c>
    </row>
    <row r="172" ht="22" customHeight="1" s="41">
      <c r="Q172" s="57" t="n"/>
      <c r="R172" s="52" t="n">
        <v>29</v>
      </c>
      <c r="S172" s="40" t="inlineStr">
        <is>
          <t>Frozen Breakfast</t>
        </is>
      </c>
      <c r="W172" s="6" t="inlineStr">
        <is>
          <t>$7.78 (0.9%)</t>
        </is>
      </c>
    </row>
    <row r="173" ht="22" customHeight="1" s="41">
      <c r="Q173" s="58" t="n"/>
      <c r="R173" s="52" t="n">
        <v>30</v>
      </c>
      <c r="S173" s="40" t="inlineStr">
        <is>
          <t>Ice Cream</t>
        </is>
      </c>
      <c r="W173" s="6" t="inlineStr">
        <is>
          <t>$7.19 (0.8%)</t>
        </is>
      </c>
    </row>
    <row r="174" ht="22" customHeight="1" s="41">
      <c r="Q174" s="59" t="n"/>
      <c r="R174" s="52" t="n">
        <v>31</v>
      </c>
      <c r="S174" s="40" t="inlineStr">
        <is>
          <t>Refrigerated Dough</t>
        </is>
      </c>
      <c r="W174" s="6" t="inlineStr">
        <is>
          <t>$6.99 (0.8%)</t>
        </is>
      </c>
    </row>
    <row r="175" ht="22" customHeight="1" s="41">
      <c r="Q175" s="60" t="n"/>
      <c r="R175" s="52" t="n">
        <v>32</v>
      </c>
      <c r="S175" s="40" t="inlineStr">
        <is>
          <t>Rice &amp; Grains</t>
        </is>
      </c>
      <c r="W175" s="6" t="inlineStr">
        <is>
          <t>$6.88 (0.8%)</t>
        </is>
      </c>
    </row>
    <row r="176" ht="22" customHeight="1" s="41">
      <c r="Q176" s="61" t="n"/>
      <c r="R176" s="52" t="n">
        <v>33</v>
      </c>
      <c r="S176" s="40" t="inlineStr">
        <is>
          <t>Deli Meat</t>
        </is>
      </c>
      <c r="W176" s="6" t="inlineStr">
        <is>
          <t>$6.48 (0.7%)</t>
        </is>
      </c>
    </row>
    <row r="177" ht="22" customHeight="1" s="41">
      <c r="Q177" s="62" t="n"/>
      <c r="R177" s="52" t="n">
        <v>34</v>
      </c>
      <c r="S177" s="40" t="inlineStr">
        <is>
          <t>Household Cleaners</t>
        </is>
      </c>
      <c r="W177" s="6" t="inlineStr">
        <is>
          <t>$6.24 (0.7%)</t>
        </is>
      </c>
    </row>
    <row r="178" ht="22" customHeight="1" s="41">
      <c r="Q178" s="63" t="n"/>
      <c r="R178" s="52" t="n">
        <v>35</v>
      </c>
      <c r="S178" s="40" t="inlineStr">
        <is>
          <t>Muffins &amp; Pastries</t>
        </is>
      </c>
      <c r="W178" s="6" t="inlineStr">
        <is>
          <t>$5.99 (0.7%)</t>
        </is>
      </c>
    </row>
    <row r="179" ht="22" customHeight="1" s="41">
      <c r="Q179" s="64" t="n"/>
      <c r="R179" s="52" t="n">
        <v>36</v>
      </c>
      <c r="S179" s="40" t="inlineStr">
        <is>
          <t>Storage &amp; Organization</t>
        </is>
      </c>
      <c r="W179" s="6" t="inlineStr">
        <is>
          <t>$5.99 (0.7%)</t>
        </is>
      </c>
    </row>
    <row r="180" ht="22" customHeight="1" s="41">
      <c r="Q180" s="51" t="n"/>
      <c r="R180" s="52" t="n">
        <v>37</v>
      </c>
      <c r="S180" s="40" t="inlineStr">
        <is>
          <t>Writing Supplies</t>
        </is>
      </c>
      <c r="W180" s="6" t="inlineStr">
        <is>
          <t>$5.99 (0.7%)</t>
        </is>
      </c>
    </row>
    <row r="181" ht="22" customHeight="1" s="41">
      <c r="Q181" s="54" t="n"/>
      <c r="R181" s="52" t="n">
        <v>38</v>
      </c>
      <c r="S181" s="40" t="inlineStr">
        <is>
          <t>Cream &amp; Half-and-Half</t>
        </is>
      </c>
      <c r="W181" s="6" t="inlineStr">
        <is>
          <t>$5.89 (0.7%)</t>
        </is>
      </c>
    </row>
    <row r="182" ht="22" customHeight="1" s="41">
      <c r="Q182" s="55" t="n"/>
      <c r="R182" s="52" t="n">
        <v>39</v>
      </c>
      <c r="S182" s="40" t="inlineStr">
        <is>
          <t>Hot Dogs &amp; Sausages</t>
        </is>
      </c>
      <c r="W182" s="6" t="inlineStr">
        <is>
          <t>$5.74 (0.6%)</t>
        </is>
      </c>
    </row>
    <row r="183" ht="22" customHeight="1" s="41">
      <c r="Q183" s="56" t="n"/>
      <c r="R183" s="52" t="n">
        <v>40</v>
      </c>
      <c r="S183" s="40" t="inlineStr">
        <is>
          <t>Plant-Based Cheese</t>
        </is>
      </c>
      <c r="W183" s="6" t="inlineStr">
        <is>
          <t>$5.65 (0.6%)</t>
        </is>
      </c>
    </row>
    <row r="184" ht="22" customHeight="1" s="41">
      <c r="Q184" s="57" t="n"/>
      <c r="R184" s="52" t="n">
        <v>41</v>
      </c>
      <c r="S184" s="40" t="inlineStr">
        <is>
          <t>Disposable Tableware</t>
        </is>
      </c>
      <c r="W184" s="6" t="inlineStr">
        <is>
          <t>$5.25 (0.6%)</t>
        </is>
      </c>
    </row>
    <row r="185" ht="22" customHeight="1" s="41">
      <c r="Q185" s="58" t="n"/>
      <c r="R185" s="52" t="n">
        <v>42</v>
      </c>
      <c r="S185" s="40" t="inlineStr">
        <is>
          <t>Specialty Cheese</t>
        </is>
      </c>
      <c r="W185" s="6" t="inlineStr">
        <is>
          <t>$4.88 (0.5%)</t>
        </is>
      </c>
    </row>
    <row r="186" ht="22" customHeight="1" s="41">
      <c r="Q186" s="59" t="n"/>
      <c r="R186" s="52" t="n">
        <v>43</v>
      </c>
      <c r="S186" s="40" t="inlineStr">
        <is>
          <t>Dishwashing Supplies</t>
        </is>
      </c>
      <c r="W186" s="6" t="inlineStr">
        <is>
          <t>$4.46 (0.5%)</t>
        </is>
      </c>
    </row>
    <row r="187" ht="22" customHeight="1" s="41">
      <c r="Q187" s="60" t="n"/>
      <c r="R187" s="52" t="n">
        <v>44</v>
      </c>
      <c r="S187" s="40" t="inlineStr">
        <is>
          <t>Fresh-Cut Fruit</t>
        </is>
      </c>
      <c r="W187" s="6" t="inlineStr">
        <is>
          <t>$3.89 (0.4%)</t>
        </is>
      </c>
    </row>
    <row r="188" ht="22" customHeight="1" s="41">
      <c r="Q188" s="61" t="n"/>
      <c r="R188" s="52" t="n">
        <v>45</v>
      </c>
      <c r="S188" s="40" t="inlineStr">
        <is>
          <t>Peanut Butter</t>
        </is>
      </c>
      <c r="W188" s="6" t="inlineStr">
        <is>
          <t>$3.69 (0.4%)</t>
        </is>
      </c>
    </row>
    <row r="189" ht="22" customHeight="1" s="41">
      <c r="Q189" s="62" t="n"/>
      <c r="R189" s="52" t="n">
        <v>46</v>
      </c>
      <c r="S189" s="40" t="inlineStr">
        <is>
          <t>Canned Beans &amp; Legumes</t>
        </is>
      </c>
      <c r="W189" s="6" t="inlineStr">
        <is>
          <t>$3.68 (0.4%)</t>
        </is>
      </c>
    </row>
    <row r="190" ht="22" customHeight="1" s="41">
      <c r="Q190" s="63" t="n"/>
      <c r="R190" s="52" t="n">
        <v>47</v>
      </c>
      <c r="S190" s="40" t="inlineStr">
        <is>
          <t>Dips &amp; Spreads</t>
        </is>
      </c>
      <c r="W190" s="6" t="inlineStr">
        <is>
          <t>$3.45 (0.4%)</t>
        </is>
      </c>
    </row>
    <row r="191" ht="22" customHeight="1" s="41">
      <c r="Q191" s="64" t="n"/>
      <c r="R191" s="52" t="n">
        <v>48</v>
      </c>
      <c r="S191" s="40" t="inlineStr">
        <is>
          <t>Jarred Vegetables</t>
        </is>
      </c>
      <c r="W191" s="6" t="inlineStr">
        <is>
          <t>$3.29 (0.4%)</t>
        </is>
      </c>
    </row>
    <row r="192" ht="22" customHeight="1" s="41">
      <c r="Q192" s="51" t="n"/>
      <c r="R192" s="52" t="n">
        <v>49</v>
      </c>
      <c r="S192" s="40" t="inlineStr">
        <is>
          <t>Sauces &amp; Condiments</t>
        </is>
      </c>
      <c r="W192" s="6" t="inlineStr">
        <is>
          <t>$3.19 (0.4%)</t>
        </is>
      </c>
    </row>
    <row r="193" ht="22" customHeight="1" s="41">
      <c r="Q193" s="54" t="n"/>
      <c r="R193" s="52" t="n">
        <v>50</v>
      </c>
      <c r="S193" s="40" t="inlineStr">
        <is>
          <t>Judaica</t>
        </is>
      </c>
      <c r="W193" s="6" t="inlineStr">
        <is>
          <t>$3.16 (0.4%)</t>
        </is>
      </c>
    </row>
    <row r="194" ht="22" customHeight="1" s="41">
      <c r="Q194" s="55" t="n"/>
      <c r="R194" s="52" t="n">
        <v>51</v>
      </c>
      <c r="S194" s="40" t="inlineStr">
        <is>
          <t>Pasta</t>
        </is>
      </c>
      <c r="W194" s="6" t="inlineStr">
        <is>
          <t>$2.99 (0.3%)</t>
        </is>
      </c>
    </row>
    <row r="195" ht="22" customHeight="1" s="41">
      <c r="Q195" s="56" t="n"/>
      <c r="R195" s="52" t="n">
        <v>52</v>
      </c>
      <c r="S195" s="40" t="inlineStr">
        <is>
          <t>Salad Dressing</t>
        </is>
      </c>
      <c r="W195" s="6" t="inlineStr">
        <is>
          <t>$2.99 (0.3%)</t>
        </is>
      </c>
    </row>
    <row r="196" ht="22" customHeight="1" s="41">
      <c r="Q196" s="57" t="n"/>
      <c r="R196" s="52" t="n">
        <v>53</v>
      </c>
      <c r="S196" s="40" t="inlineStr">
        <is>
          <t>Crackers</t>
        </is>
      </c>
      <c r="W196" s="6" t="inlineStr">
        <is>
          <t>$2.79 (0.3%)</t>
        </is>
      </c>
    </row>
    <row r="197" ht="22" customHeight="1" s="41">
      <c r="Q197" s="58" t="n"/>
      <c r="R197" s="52" t="n">
        <v>54</v>
      </c>
      <c r="S197" s="40" t="inlineStr">
        <is>
          <t>Popcorn</t>
        </is>
      </c>
      <c r="W197" s="6" t="inlineStr">
        <is>
          <t>$2.39 (0.3%)</t>
        </is>
      </c>
    </row>
    <row r="198" ht="22" customHeight="1" s="41">
      <c r="Q198" s="59" t="n"/>
      <c r="R198" s="52" t="n">
        <v>55</v>
      </c>
      <c r="S198" s="40" t="inlineStr">
        <is>
          <t>Croutons</t>
        </is>
      </c>
      <c r="W198" s="6" t="inlineStr">
        <is>
          <t>$1.99 (0.2%)</t>
        </is>
      </c>
    </row>
    <row r="199" ht="22" customHeight="1" s="41">
      <c r="Q199" s="60" t="n"/>
      <c r="R199" s="52" t="n">
        <v>56</v>
      </c>
      <c r="S199" s="40" t="inlineStr">
        <is>
          <t>Fresh Herbs</t>
        </is>
      </c>
      <c r="W199" s="6" t="inlineStr">
        <is>
          <t>$1.84 (0.2%)</t>
        </is>
      </c>
    </row>
    <row r="200" ht="22" customHeight="1" s="41">
      <c r="Q200" s="61" t="n"/>
      <c r="R200" s="52" t="n">
        <v>57</v>
      </c>
      <c r="S200" s="40" t="inlineStr">
        <is>
          <t>Frozen Vegetables</t>
        </is>
      </c>
      <c r="W200" s="6" t="inlineStr">
        <is>
          <t>$1.27 (0.1%)</t>
        </is>
      </c>
    </row>
    <row r="204">
      <c r="Q204" s="49" t="inlineStr">
        <is>
          <t>Number / Product</t>
        </is>
      </c>
      <c r="Y204" s="49" t="inlineStr">
        <is>
          <t>How to Read This Graph</t>
        </is>
      </c>
    </row>
    <row r="205">
      <c r="Q205" s="50" t="inlineStr"/>
      <c r="R205" s="50" t="inlineStr">
        <is>
          <t>#</t>
        </is>
      </c>
      <c r="S205" s="50" t="inlineStr">
        <is>
          <t>Description</t>
        </is>
      </c>
      <c r="W205" s="50" t="inlineStr">
        <is>
          <t>Value</t>
        </is>
      </c>
    </row>
    <row r="206" ht="22" customHeight="1" s="41">
      <c r="Q206" s="51" t="n"/>
      <c r="R206" s="52" t="n">
        <v>1</v>
      </c>
      <c r="S206" s="40" t="inlineStr">
        <is>
          <t>Pampers Swaddlers Size 5 Diapers</t>
        </is>
      </c>
      <c r="W206" s="6" t="inlineStr">
        <is>
          <t>$79.54</t>
        </is>
      </c>
      <c r="Y206" s="53" t="inlineStr">
        <is>
          <t>What it represents</t>
        </is>
      </c>
    </row>
    <row r="207" ht="22" customHeight="1" s="41">
      <c r="Q207" s="54" t="n"/>
      <c r="R207" s="52" t="n">
        <v>2</v>
      </c>
      <c r="S207" s="40" t="inlineStr">
        <is>
          <t>Purina Tidy Cats Clumping Cat Litter</t>
        </is>
      </c>
      <c r="W207" s="6" t="inlineStr">
        <is>
          <t>$47.88</t>
        </is>
      </c>
      <c r="Y207" s="40" t="inlineStr">
        <is>
          <t>Ranks the ten individual product identities with the most accumulated spending across all recorded purchases.</t>
        </is>
      </c>
    </row>
    <row r="208" ht="22" customHeight="1" s="41">
      <c r="Q208" s="55" t="n"/>
      <c r="R208" s="52" t="n">
        <v>3</v>
      </c>
      <c r="S208" s="40" t="inlineStr">
        <is>
          <t>Driver Tip</t>
        </is>
      </c>
      <c r="W208" s="6" t="inlineStr">
        <is>
          <t>$46.78</t>
        </is>
      </c>
    </row>
    <row r="209" ht="22" customHeight="1" s="41">
      <c r="Q209" s="56" t="n"/>
      <c r="R209" s="52" t="n">
        <v>4</v>
      </c>
      <c r="S209" s="40" t="inlineStr">
        <is>
          <t>Command Heavy Duty Picture Hangers</t>
        </is>
      </c>
      <c r="W209" s="6" t="inlineStr">
        <is>
          <t>$28.54</t>
        </is>
      </c>
    </row>
    <row r="210" ht="22" customHeight="1" s="41">
      <c r="Q210" s="57" t="n"/>
      <c r="R210" s="52" t="n">
        <v>5</v>
      </c>
      <c r="S210" s="40" t="inlineStr">
        <is>
          <t>Tax</t>
        </is>
      </c>
      <c r="W210" s="6" t="inlineStr">
        <is>
          <t>$24.88</t>
        </is>
      </c>
    </row>
    <row r="211" ht="22" customHeight="1" s="41">
      <c r="Q211" s="58" t="n"/>
      <c r="R211" s="52" t="n">
        <v>6</v>
      </c>
      <c r="S211" s="40" t="inlineStr">
        <is>
          <t>CeraVe Baby Healing Ointment</t>
        </is>
      </c>
      <c r="W211" s="6" t="inlineStr">
        <is>
          <t>$19.96</t>
        </is>
      </c>
    </row>
    <row r="212" ht="22" customHeight="1" s="41">
      <c r="Q212" s="59" t="n"/>
      <c r="R212" s="52" t="n">
        <v>7</v>
      </c>
      <c r="S212" s="40" t="inlineStr">
        <is>
          <t>Dove Sensitive Skin Body Wash</t>
        </is>
      </c>
      <c r="W212" s="6" t="inlineStr">
        <is>
          <t>$19.88</t>
        </is>
      </c>
      <c r="Y212" s="53" t="inlineStr">
        <is>
          <t>How to read it</t>
        </is>
      </c>
    </row>
    <row r="213" ht="22" customHeight="1" s="41">
      <c r="Q213" s="60" t="n"/>
      <c r="R213" s="52" t="n">
        <v>8</v>
      </c>
      <c r="S213" s="40" t="inlineStr">
        <is>
          <t>Chobani Protein Greek Yogurt Drink, Strawberries &amp; Cream</t>
        </is>
      </c>
      <c r="W213" s="6" t="inlineStr">
        <is>
          <t>$19.34</t>
        </is>
      </c>
      <c r="Y213" s="40" t="inlineStr">
        <is>
          <t>Each product is represented by a numbered colored bar. Use the key to see the product name and its total spending. The longest bar is the largest individual spending driver.</t>
        </is>
      </c>
    </row>
    <row r="214" ht="22" customHeight="1" s="41">
      <c r="Q214" s="61" t="n"/>
      <c r="R214" s="52" t="n">
        <v>9</v>
      </c>
      <c r="S214" s="40" t="inlineStr">
        <is>
          <t>Silk Organic Unsweet Soymilk, Half Gallon</t>
        </is>
      </c>
      <c r="W214" s="6" t="inlineStr">
        <is>
          <t>$18.57</t>
        </is>
      </c>
    </row>
    <row r="215" ht="22" customHeight="1" s="41">
      <c r="Q215" s="62" t="n"/>
      <c r="R215" s="52" t="n">
        <v>10</v>
      </c>
      <c r="S215" s="40" t="inlineStr">
        <is>
          <t>Nestle Toll House Allergen-Free Dark Chocolate Baking Chips</t>
        </is>
      </c>
      <c r="W215" s="6" t="inlineStr">
        <is>
          <t>$16.74</t>
        </is>
      </c>
    </row>
    <row r="216"/>
    <row r="218">
      <c r="Y218" s="53" t="inlineStr">
        <is>
          <t>What it is useful for</t>
        </is>
      </c>
    </row>
    <row r="219">
      <c r="Y219" s="40" t="inlineStr">
        <is>
          <t>Use this to identify specific products that contribute the most to total spending and may be worth price-comparing or watching over time.</t>
        </is>
      </c>
    </row>
    <row r="220"/>
    <row r="221"/>
    <row r="222"/>
    <row r="224">
      <c r="Y224" s="53" t="inlineStr">
        <is>
          <t>Notes</t>
        </is>
      </c>
    </row>
    <row r="225">
      <c r="Y225" s="40" t="inlineStr">
        <is>
          <t>Product identity prefers Common Name and falls back to Product when Common Name is unavailable.</t>
        </is>
      </c>
    </row>
    <row r="226"/>
    <row r="227"/>
    <row r="228"/>
    <row r="240">
      <c r="Q240" s="49" t="inlineStr">
        <is>
          <t>Store Numbers + Month Numbers</t>
        </is>
      </c>
      <c r="Y240" s="49" t="inlineStr">
        <is>
          <t>How to Read This Graph</t>
        </is>
      </c>
    </row>
    <row r="241">
      <c r="Q241" s="50" t="inlineStr"/>
      <c r="R241" s="50" t="inlineStr">
        <is>
          <t>#</t>
        </is>
      </c>
      <c r="S241" s="50" t="inlineStr">
        <is>
          <t>Description</t>
        </is>
      </c>
      <c r="W241" s="50" t="inlineStr">
        <is>
          <t>Value</t>
        </is>
      </c>
    </row>
    <row r="242" ht="22" customHeight="1" s="41">
      <c r="Q242" s="51" t="n"/>
      <c r="R242" s="52" t="n">
        <v>1</v>
      </c>
      <c r="S242" s="40" t="inlineStr">
        <is>
          <t>Walmart</t>
        </is>
      </c>
      <c r="W242" s="6" t="inlineStr">
        <is>
          <t>$574.97</t>
        </is>
      </c>
      <c r="Y242" s="53" t="inlineStr">
        <is>
          <t>What it represents</t>
        </is>
      </c>
    </row>
    <row r="243" ht="22" customHeight="1" s="41">
      <c r="Q243" s="54" t="n"/>
      <c r="R243" s="52" t="n">
        <v>2</v>
      </c>
      <c r="S243" s="40" t="inlineStr">
        <is>
          <t>Publix</t>
        </is>
      </c>
      <c r="W243" s="6" t="inlineStr">
        <is>
          <t>$145.58</t>
        </is>
      </c>
      <c r="Y243" s="40" t="inlineStr">
        <is>
          <t>Shows how monthly spending is divided among stores. Each column is one month; each colored section inside the column represents one store.</t>
        </is>
      </c>
    </row>
    <row r="244" ht="22" customHeight="1" s="41">
      <c r="Q244" s="55" t="n"/>
      <c r="R244" s="52" t="n">
        <v>3</v>
      </c>
      <c r="S244" s="40" t="inlineStr">
        <is>
          <t>Aldi</t>
        </is>
      </c>
      <c r="W244" s="6" t="inlineStr">
        <is>
          <t>$100.82</t>
        </is>
      </c>
    </row>
    <row r="245" ht="22" customHeight="1" s="41">
      <c r="Q245" s="56" t="n"/>
      <c r="R245" s="52" t="n">
        <v>4</v>
      </c>
      <c r="S245" s="40" t="inlineStr">
        <is>
          <t>Honey Pineapple</t>
        </is>
      </c>
      <c r="W245" s="6" t="inlineStr">
        <is>
          <t>$48.12</t>
        </is>
      </c>
    </row>
    <row r="246" ht="22" customHeight="1" s="41">
      <c r="Q246" s="57" t="n"/>
      <c r="R246" s="52" t="n">
        <v>5</v>
      </c>
      <c r="S246" s="40" t="inlineStr">
        <is>
          <t>Trader Joe's</t>
        </is>
      </c>
      <c r="W246" s="6" t="inlineStr">
        <is>
          <t>$30.24</t>
        </is>
      </c>
    </row>
    <row r="247" ht="22" customHeight="1" s="41">
      <c r="Q247" s="65" t="n"/>
      <c r="R247" s="52" t="n">
        <v>1</v>
      </c>
      <c r="S247" s="40" t="inlineStr">
        <is>
          <t>Month August 2026</t>
        </is>
      </c>
      <c r="W247" s="6" t="inlineStr">
        <is>
          <t>$899.73</t>
        </is>
      </c>
    </row>
    <row r="248">
      <c r="Y248" s="53" t="inlineStr">
        <is>
          <t>How to read it</t>
        </is>
      </c>
    </row>
    <row r="249">
      <c r="Y249" s="40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250"/>
    <row r="251"/>
    <row r="252"/>
    <row r="254">
      <c r="Y254" s="53" t="inlineStr">
        <is>
          <t>What it is useful for</t>
        </is>
      </c>
    </row>
    <row r="255">
      <c r="Y255" s="40" t="inlineStr">
        <is>
          <t>Use this to see whether changes in monthly spending are connected to a particular store and how your retailer mix changes over time.</t>
        </is>
      </c>
    </row>
    <row r="256"/>
    <row r="257"/>
    <row r="258"/>
    <row r="260">
      <c r="Y260" s="53" t="inlineStr">
        <is>
          <t>Notes</t>
        </is>
      </c>
    </row>
    <row r="261">
      <c r="Y261" s="40" t="inlineStr">
        <is>
          <t>All stores are retained. There is no catch-all 'Other' store series.</t>
        </is>
      </c>
    </row>
    <row r="262"/>
    <row r="263"/>
    <row r="264"/>
    <row r="276">
      <c r="Q276" s="49" t="inlineStr">
        <is>
          <t>Number / Sub-Category</t>
        </is>
      </c>
      <c r="Y276" s="49" t="inlineStr">
        <is>
          <t>How to Read This Graph</t>
        </is>
      </c>
    </row>
    <row r="277">
      <c r="Q277" s="50" t="inlineStr"/>
      <c r="R277" s="50" t="inlineStr">
        <is>
          <t>#</t>
        </is>
      </c>
      <c r="S277" s="50" t="inlineStr">
        <is>
          <t>Description</t>
        </is>
      </c>
      <c r="W277" s="50" t="inlineStr">
        <is>
          <t>Value</t>
        </is>
      </c>
    </row>
    <row r="278" ht="22" customHeight="1" s="41">
      <c r="Q278" s="51" t="n"/>
      <c r="R278" s="52" t="n">
        <v>1</v>
      </c>
      <c r="S278" s="40" t="inlineStr">
        <is>
          <t>Fresh Fruit</t>
        </is>
      </c>
      <c r="W278" s="6" t="inlineStr">
        <is>
          <t>18</t>
        </is>
      </c>
      <c r="Y278" s="53" t="inlineStr">
        <is>
          <t>What it represents</t>
        </is>
      </c>
    </row>
    <row r="279" ht="22" customHeight="1" s="41">
      <c r="Q279" s="54" t="n"/>
      <c r="R279" s="52" t="n">
        <v>2</v>
      </c>
      <c r="S279" s="40" t="inlineStr">
        <is>
          <t>Fresh Vegetables</t>
        </is>
      </c>
      <c r="W279" s="6" t="inlineStr">
        <is>
          <t>18</t>
        </is>
      </c>
      <c r="Y279" s="40" t="inlineStr">
        <is>
          <t>Counts how many valid purchase observations occurred in each sub-category. This measures frequency, not dollars.</t>
        </is>
      </c>
    </row>
    <row r="280" ht="22" customHeight="1" s="41">
      <c r="Q280" s="55" t="n"/>
      <c r="R280" s="52" t="n">
        <v>3</v>
      </c>
      <c r="S280" s="40" t="inlineStr">
        <is>
          <t>Fees &amp; Charges</t>
        </is>
      </c>
      <c r="W280" s="6" t="inlineStr">
        <is>
          <t>14</t>
        </is>
      </c>
    </row>
    <row r="281" ht="22" customHeight="1" s="41">
      <c r="Q281" s="56" t="n"/>
      <c r="R281" s="52" t="n">
        <v>4</v>
      </c>
      <c r="S281" s="40" t="inlineStr">
        <is>
          <t>Baby Care</t>
        </is>
      </c>
      <c r="W281" s="6" t="inlineStr">
        <is>
          <t>10</t>
        </is>
      </c>
    </row>
    <row r="282" ht="22" customHeight="1" s="41">
      <c r="Q282" s="57" t="n"/>
      <c r="R282" s="52" t="n">
        <v>5</v>
      </c>
      <c r="S282" s="40" t="inlineStr">
        <is>
          <t>Yogurt</t>
        </is>
      </c>
      <c r="W282" s="6" t="inlineStr">
        <is>
          <t>6</t>
        </is>
      </c>
    </row>
    <row r="283" ht="22" customHeight="1" s="41">
      <c r="Q283" s="58" t="n"/>
      <c r="R283" s="52" t="n">
        <v>6</v>
      </c>
      <c r="S283" s="40" t="inlineStr">
        <is>
          <t>Plant-Based Milk</t>
        </is>
      </c>
      <c r="W283" s="6" t="inlineStr">
        <is>
          <t>5</t>
        </is>
      </c>
    </row>
    <row r="284" ht="22" customHeight="1" s="41">
      <c r="Q284" s="59" t="n"/>
      <c r="R284" s="52" t="n">
        <v>7</v>
      </c>
      <c r="S284" s="40" t="inlineStr">
        <is>
          <t>Seasonings &amp; Spices</t>
        </is>
      </c>
      <c r="W284" s="6" t="inlineStr">
        <is>
          <t>5</t>
        </is>
      </c>
      <c r="Y284" s="53" t="inlineStr">
        <is>
          <t>How to read it</t>
        </is>
      </c>
    </row>
    <row r="285" ht="22" customHeight="1" s="41">
      <c r="Q285" s="60" t="n"/>
      <c r="R285" s="52" t="n">
        <v>8</v>
      </c>
      <c r="S285" s="40" t="inlineStr">
        <is>
          <t>Baking Ingredients</t>
        </is>
      </c>
      <c r="W285" s="6" t="inlineStr">
        <is>
          <t>4</t>
        </is>
      </c>
      <c r="Y285" s="40" t="inlineStr">
        <is>
          <t>Each sub-category is a numbered colored bar. Match the number and color to the key. A longer bar means the sub-category was purchased more frequently.</t>
        </is>
      </c>
    </row>
    <row r="286" ht="22" customHeight="1" s="41">
      <c r="Q286" s="61" t="n"/>
      <c r="R286" s="52" t="n">
        <v>9</v>
      </c>
      <c r="S286" s="40" t="inlineStr">
        <is>
          <t>Body Wash</t>
        </is>
      </c>
      <c r="W286" s="6" t="inlineStr">
        <is>
          <t>4</t>
        </is>
      </c>
    </row>
    <row r="287" ht="22" customHeight="1" s="41">
      <c r="Q287" s="62" t="n"/>
      <c r="R287" s="52" t="n">
        <v>10</v>
      </c>
      <c r="S287" s="40" t="inlineStr">
        <is>
          <t>Canned Beans &amp; Legumes</t>
        </is>
      </c>
      <c r="W287" s="6" t="inlineStr">
        <is>
          <t>4</t>
        </is>
      </c>
    </row>
    <row r="288" ht="22" customHeight="1" s="41">
      <c r="Q288" s="63" t="n"/>
      <c r="R288" s="52" t="n">
        <v>11</v>
      </c>
      <c r="S288" s="40" t="inlineStr">
        <is>
          <t>Macaroni &amp; Cheese</t>
        </is>
      </c>
      <c r="W288" s="6" t="inlineStr">
        <is>
          <t>4</t>
        </is>
      </c>
    </row>
    <row r="289" ht="22" customHeight="1" s="41">
      <c r="Q289" s="64" t="n"/>
      <c r="R289" s="52" t="n">
        <v>12</v>
      </c>
      <c r="S289" s="40" t="inlineStr">
        <is>
          <t>Baking Mixes</t>
        </is>
      </c>
      <c r="W289" s="6" t="inlineStr">
        <is>
          <t>3</t>
        </is>
      </c>
    </row>
    <row r="290" ht="22" customHeight="1" s="41">
      <c r="Q290" s="51" t="n"/>
      <c r="R290" s="52" t="n">
        <v>13</v>
      </c>
      <c r="S290" s="40" t="inlineStr">
        <is>
          <t>Bread</t>
        </is>
      </c>
      <c r="W290" s="6" t="inlineStr">
        <is>
          <t>3</t>
        </is>
      </c>
      <c r="Y290" s="53" t="inlineStr">
        <is>
          <t>What it is useful for</t>
        </is>
      </c>
    </row>
    <row r="291" ht="22" customHeight="1" s="41">
      <c r="Q291" s="54" t="n"/>
      <c r="R291" s="52" t="n">
        <v>14</v>
      </c>
      <c r="S291" s="40" t="inlineStr">
        <is>
          <t>Salad Kits</t>
        </is>
      </c>
      <c r="W291" s="6" t="inlineStr">
        <is>
          <t>3</t>
        </is>
      </c>
      <c r="Y291" s="40" t="inlineStr">
        <is>
          <t>Use this alongside Spending by Sub-Category to distinguish frequent routine purchases from sub-categories that are bought less often but cost more.</t>
        </is>
      </c>
    </row>
    <row r="292" ht="22" customHeight="1" s="41">
      <c r="Q292" s="55" t="n"/>
      <c r="R292" s="52" t="n">
        <v>15</v>
      </c>
      <c r="S292" s="40" t="inlineStr">
        <is>
          <t>Snack Bars</t>
        </is>
      </c>
      <c r="W292" s="6" t="inlineStr">
        <is>
          <t>3</t>
        </is>
      </c>
    </row>
    <row r="293" ht="22" customHeight="1" s="41">
      <c r="Q293" s="56" t="n"/>
      <c r="R293" s="52" t="n">
        <v>16</v>
      </c>
      <c r="S293" s="40" t="inlineStr">
        <is>
          <t>Cat Litter</t>
        </is>
      </c>
      <c r="W293" s="6" t="inlineStr">
        <is>
          <t>2</t>
        </is>
      </c>
    </row>
    <row r="294" ht="22" customHeight="1" s="41">
      <c r="Q294" s="57" t="n"/>
      <c r="R294" s="52" t="n">
        <v>17</v>
      </c>
      <c r="S294" s="40" t="inlineStr">
        <is>
          <t>Eggs</t>
        </is>
      </c>
      <c r="W294" s="6" t="inlineStr">
        <is>
          <t>2</t>
        </is>
      </c>
    </row>
    <row r="295" ht="22" customHeight="1" s="41">
      <c r="Q295" s="58" t="n"/>
      <c r="R295" s="52" t="n">
        <v>18</v>
      </c>
      <c r="S295" s="40" t="inlineStr">
        <is>
          <t>Food Storage</t>
        </is>
      </c>
      <c r="W295" s="6" t="inlineStr">
        <is>
          <t>2</t>
        </is>
      </c>
    </row>
    <row r="296" ht="22" customHeight="1" s="41">
      <c r="Q296" s="59" t="n"/>
      <c r="R296" s="52" t="n">
        <v>19</v>
      </c>
      <c r="S296" s="40" t="inlineStr">
        <is>
          <t>Fresh Herbs</t>
        </is>
      </c>
      <c r="W296" s="6" t="inlineStr">
        <is>
          <t>2</t>
        </is>
      </c>
    </row>
    <row r="297" ht="22" customHeight="1" s="41">
      <c r="Q297" s="60" t="n"/>
      <c r="R297" s="52" t="n">
        <v>20</v>
      </c>
      <c r="S297" s="40" t="inlineStr">
        <is>
          <t>Fresh Poultry</t>
        </is>
      </c>
      <c r="W297" s="6" t="inlineStr">
        <is>
          <t>2</t>
        </is>
      </c>
    </row>
    <row r="298" ht="22" customHeight="1" s="41">
      <c r="Q298" s="61" t="n"/>
      <c r="R298" s="52" t="n">
        <v>21</v>
      </c>
      <c r="S298" s="40" t="inlineStr">
        <is>
          <t>Frozen Breakfast</t>
        </is>
      </c>
      <c r="W298" s="6" t="inlineStr">
        <is>
          <t>2</t>
        </is>
      </c>
    </row>
    <row r="299" ht="22" customHeight="1" s="41">
      <c r="Q299" s="62" t="n"/>
      <c r="R299" s="52" t="n">
        <v>22</v>
      </c>
      <c r="S299" s="40" t="inlineStr">
        <is>
          <t>Hair Care</t>
        </is>
      </c>
      <c r="W299" s="6" t="inlineStr">
        <is>
          <t>2</t>
        </is>
      </c>
    </row>
    <row r="300" ht="22" customHeight="1" s="41">
      <c r="Q300" s="63" t="n"/>
      <c r="R300" s="52" t="n">
        <v>23</v>
      </c>
      <c r="S300" s="40" t="inlineStr">
        <is>
          <t>Milk</t>
        </is>
      </c>
      <c r="W300" s="6" t="inlineStr">
        <is>
          <t>2</t>
        </is>
      </c>
    </row>
    <row r="301" ht="22" customHeight="1" s="41">
      <c r="Q301" s="64" t="n"/>
      <c r="R301" s="52" t="n">
        <v>24</v>
      </c>
      <c r="S301" s="40" t="inlineStr">
        <is>
          <t>Plant-Based Cheese</t>
        </is>
      </c>
      <c r="W301" s="6" t="inlineStr">
        <is>
          <t>2</t>
        </is>
      </c>
    </row>
    <row r="302" ht="22" customHeight="1" s="41">
      <c r="Q302" s="51" t="n"/>
      <c r="R302" s="52" t="n">
        <v>25</v>
      </c>
      <c r="S302" s="40" t="inlineStr">
        <is>
          <t>Prepared Coffee</t>
        </is>
      </c>
      <c r="W302" s="6" t="inlineStr">
        <is>
          <t>2</t>
        </is>
      </c>
    </row>
    <row r="303" ht="22" customHeight="1" s="41">
      <c r="Q303" s="54" t="n"/>
      <c r="R303" s="52" t="n">
        <v>26</v>
      </c>
      <c r="S303" s="40" t="inlineStr">
        <is>
          <t>Prepared Meals</t>
        </is>
      </c>
      <c r="W303" s="6" t="inlineStr">
        <is>
          <t>2</t>
        </is>
      </c>
    </row>
    <row r="304" ht="22" customHeight="1" s="41">
      <c r="Q304" s="55" t="n"/>
      <c r="R304" s="52" t="n">
        <v>27</v>
      </c>
      <c r="S304" s="40" t="inlineStr">
        <is>
          <t>Specialty Cheese</t>
        </is>
      </c>
      <c r="W304" s="6" t="inlineStr">
        <is>
          <t>2</t>
        </is>
      </c>
    </row>
    <row r="305" ht="22" customHeight="1" s="41">
      <c r="Q305" s="56" t="n"/>
      <c r="R305" s="52" t="n">
        <v>28</v>
      </c>
      <c r="S305" s="40" t="inlineStr">
        <is>
          <t>Baby &amp; Toddler Food</t>
        </is>
      </c>
      <c r="W305" s="6" t="inlineStr">
        <is>
          <t>1</t>
        </is>
      </c>
    </row>
    <row r="306" ht="22" customHeight="1" s="41">
      <c r="Q306" s="57" t="n"/>
      <c r="R306" s="52" t="n">
        <v>29</v>
      </c>
      <c r="S306" s="40" t="inlineStr">
        <is>
          <t>Cheese</t>
        </is>
      </c>
      <c r="W306" s="6" t="inlineStr">
        <is>
          <t>1</t>
        </is>
      </c>
    </row>
    <row r="307" ht="22" customHeight="1" s="41">
      <c r="Q307" s="58" t="n"/>
      <c r="R307" s="52" t="n">
        <v>30</v>
      </c>
      <c r="S307" s="40" t="inlineStr">
        <is>
          <t>Crackers</t>
        </is>
      </c>
      <c r="W307" s="6" t="inlineStr">
        <is>
          <t>1</t>
        </is>
      </c>
    </row>
    <row r="308" ht="22" customHeight="1" s="41">
      <c r="Q308" s="59" t="n"/>
      <c r="R308" s="52" t="n">
        <v>31</v>
      </c>
      <c r="S308" s="40" t="inlineStr">
        <is>
          <t>Cream &amp; Half-and-Half</t>
        </is>
      </c>
      <c r="W308" s="6" t="inlineStr">
        <is>
          <t>1</t>
        </is>
      </c>
    </row>
    <row r="309" ht="22" customHeight="1" s="41">
      <c r="Q309" s="60" t="n"/>
      <c r="R309" s="52" t="n">
        <v>32</v>
      </c>
      <c r="S309" s="40" t="inlineStr">
        <is>
          <t>Croutons</t>
        </is>
      </c>
      <c r="W309" s="6" t="inlineStr">
        <is>
          <t>1</t>
        </is>
      </c>
    </row>
    <row r="310" ht="22" customHeight="1" s="41">
      <c r="Q310" s="61" t="n"/>
      <c r="R310" s="52" t="n">
        <v>33</v>
      </c>
      <c r="S310" s="40" t="inlineStr">
        <is>
          <t>Deli Meat</t>
        </is>
      </c>
      <c r="W310" s="6" t="inlineStr">
        <is>
          <t>1</t>
        </is>
      </c>
    </row>
    <row r="311" ht="22" customHeight="1" s="41">
      <c r="Q311" s="62" t="n"/>
      <c r="R311" s="52" t="n">
        <v>34</v>
      </c>
      <c r="S311" s="40" t="inlineStr">
        <is>
          <t>Dips &amp; Spreads</t>
        </is>
      </c>
      <c r="W311" s="6" t="inlineStr">
        <is>
          <t>1</t>
        </is>
      </c>
    </row>
    <row r="312" ht="22" customHeight="1" s="41">
      <c r="Q312" s="63" t="n"/>
      <c r="R312" s="52" t="n">
        <v>35</v>
      </c>
      <c r="S312" s="40" t="inlineStr">
        <is>
          <t>Dishwashing Supplies</t>
        </is>
      </c>
      <c r="W312" s="6" t="inlineStr">
        <is>
          <t>1</t>
        </is>
      </c>
    </row>
    <row r="313" ht="22" customHeight="1" s="41">
      <c r="Q313" s="64" t="n"/>
      <c r="R313" s="52" t="n">
        <v>36</v>
      </c>
      <c r="S313" s="40" t="inlineStr">
        <is>
          <t>Disposable Tableware</t>
        </is>
      </c>
      <c r="W313" s="6" t="inlineStr">
        <is>
          <t>1</t>
        </is>
      </c>
    </row>
    <row r="314" ht="22" customHeight="1" s="41">
      <c r="Q314" s="51" t="n"/>
      <c r="R314" s="52" t="n">
        <v>37</v>
      </c>
      <c r="S314" s="40" t="inlineStr">
        <is>
          <t>Fresh Seafood</t>
        </is>
      </c>
      <c r="W314" s="6" t="inlineStr">
        <is>
          <t>1</t>
        </is>
      </c>
    </row>
    <row r="315" ht="22" customHeight="1" s="41">
      <c r="Q315" s="54" t="n"/>
      <c r="R315" s="52" t="n">
        <v>38</v>
      </c>
      <c r="S315" s="40" t="inlineStr">
        <is>
          <t>Fresh-Cut Fruit</t>
        </is>
      </c>
      <c r="W315" s="6" t="inlineStr">
        <is>
          <t>1</t>
        </is>
      </c>
    </row>
    <row r="316" ht="22" customHeight="1" s="41">
      <c r="Q316" s="55" t="n"/>
      <c r="R316" s="52" t="n">
        <v>39</v>
      </c>
      <c r="S316" s="40" t="inlineStr">
        <is>
          <t>Frozen Meat</t>
        </is>
      </c>
      <c r="W316" s="6" t="inlineStr">
        <is>
          <t>1</t>
        </is>
      </c>
    </row>
    <row r="317" ht="22" customHeight="1" s="41">
      <c r="Q317" s="56" t="n"/>
      <c r="R317" s="52" t="n">
        <v>40</v>
      </c>
      <c r="S317" s="40" t="inlineStr">
        <is>
          <t>Frozen Pizza</t>
        </is>
      </c>
      <c r="W317" s="6" t="inlineStr">
        <is>
          <t>1</t>
        </is>
      </c>
    </row>
    <row r="318" ht="22" customHeight="1" s="41">
      <c r="Q318" s="57" t="n"/>
      <c r="R318" s="52" t="n">
        <v>41</v>
      </c>
      <c r="S318" s="40" t="inlineStr">
        <is>
          <t>Frozen Vegetables</t>
        </is>
      </c>
      <c r="W318" s="6" t="inlineStr">
        <is>
          <t>1</t>
        </is>
      </c>
    </row>
    <row r="319" ht="22" customHeight="1" s="41">
      <c r="Q319" s="58" t="n"/>
      <c r="R319" s="52" t="n">
        <v>42</v>
      </c>
      <c r="S319" s="40" t="inlineStr">
        <is>
          <t>Home Improvement</t>
        </is>
      </c>
      <c r="W319" s="6" t="inlineStr">
        <is>
          <t>1</t>
        </is>
      </c>
    </row>
    <row r="320" ht="22" customHeight="1" s="41">
      <c r="Q320" s="59" t="n"/>
      <c r="R320" s="52" t="n">
        <v>43</v>
      </c>
      <c r="S320" s="40" t="inlineStr">
        <is>
          <t>Hot Dogs &amp; Sausages</t>
        </is>
      </c>
      <c r="W320" s="6" t="inlineStr">
        <is>
          <t>1</t>
        </is>
      </c>
    </row>
    <row r="321" ht="22" customHeight="1" s="41">
      <c r="Q321" s="60" t="n"/>
      <c r="R321" s="52" t="n">
        <v>44</v>
      </c>
      <c r="S321" s="40" t="inlineStr">
        <is>
          <t>Household Cleaners</t>
        </is>
      </c>
      <c r="W321" s="6" t="inlineStr">
        <is>
          <t>1</t>
        </is>
      </c>
    </row>
    <row r="322" ht="22" customHeight="1" s="41">
      <c r="Q322" s="61" t="n"/>
      <c r="R322" s="52" t="n">
        <v>45</v>
      </c>
      <c r="S322" s="40" t="inlineStr">
        <is>
          <t>Ice Cream</t>
        </is>
      </c>
      <c r="W322" s="6" t="inlineStr">
        <is>
          <t>1</t>
        </is>
      </c>
    </row>
    <row r="323" ht="22" customHeight="1" s="41">
      <c r="Q323" s="62" t="n"/>
      <c r="R323" s="52" t="n">
        <v>46</v>
      </c>
      <c r="S323" s="40" t="inlineStr">
        <is>
          <t>Jarred Vegetables</t>
        </is>
      </c>
      <c r="W323" s="6" t="inlineStr">
        <is>
          <t>1</t>
        </is>
      </c>
    </row>
    <row r="324" ht="22" customHeight="1" s="41">
      <c r="Q324" s="63" t="n"/>
      <c r="R324" s="52" t="n">
        <v>47</v>
      </c>
      <c r="S324" s="40" t="inlineStr">
        <is>
          <t>Judaica</t>
        </is>
      </c>
      <c r="W324" s="6" t="inlineStr">
        <is>
          <t>1</t>
        </is>
      </c>
    </row>
    <row r="325" ht="22" customHeight="1" s="41">
      <c r="Q325" s="64" t="n"/>
      <c r="R325" s="52" t="n">
        <v>48</v>
      </c>
      <c r="S325" s="40" t="inlineStr">
        <is>
          <t>Muffins &amp; Pastries</t>
        </is>
      </c>
      <c r="W325" s="6" t="inlineStr">
        <is>
          <t>1</t>
        </is>
      </c>
    </row>
    <row r="326" ht="22" customHeight="1" s="41">
      <c r="Q326" s="51" t="n"/>
      <c r="R326" s="52" t="n">
        <v>49</v>
      </c>
      <c r="S326" s="40" t="inlineStr">
        <is>
          <t>Pasta</t>
        </is>
      </c>
      <c r="W326" s="6" t="inlineStr">
        <is>
          <t>1</t>
        </is>
      </c>
    </row>
    <row r="327" ht="22" customHeight="1" s="41">
      <c r="Q327" s="54" t="n"/>
      <c r="R327" s="52" t="n">
        <v>50</v>
      </c>
      <c r="S327" s="40" t="inlineStr">
        <is>
          <t>Peanut Butter</t>
        </is>
      </c>
      <c r="W327" s="6" t="inlineStr">
        <is>
          <t>1</t>
        </is>
      </c>
    </row>
    <row r="328" ht="22" customHeight="1" s="41">
      <c r="Q328" s="55" t="n"/>
      <c r="R328" s="52" t="n">
        <v>51</v>
      </c>
      <c r="S328" s="40" t="inlineStr">
        <is>
          <t>Popcorn</t>
        </is>
      </c>
      <c r="W328" s="6" t="inlineStr">
        <is>
          <t>1</t>
        </is>
      </c>
    </row>
    <row r="329" ht="22" customHeight="1" s="41">
      <c r="Q329" s="56" t="n"/>
      <c r="R329" s="52" t="n">
        <v>52</v>
      </c>
      <c r="S329" s="40" t="inlineStr">
        <is>
          <t>Refrigerated Dough</t>
        </is>
      </c>
      <c r="W329" s="6" t="inlineStr">
        <is>
          <t>1</t>
        </is>
      </c>
    </row>
    <row r="330" ht="22" customHeight="1" s="41">
      <c r="Q330" s="57" t="n"/>
      <c r="R330" s="52" t="n">
        <v>53</v>
      </c>
      <c r="S330" s="40" t="inlineStr">
        <is>
          <t>Rice &amp; Grains</t>
        </is>
      </c>
      <c r="W330" s="6" t="inlineStr">
        <is>
          <t>1</t>
        </is>
      </c>
    </row>
    <row r="331" ht="22" customHeight="1" s="41">
      <c r="Q331" s="58" t="n"/>
      <c r="R331" s="52" t="n">
        <v>54</v>
      </c>
      <c r="S331" s="40" t="inlineStr">
        <is>
          <t>Salad Dressing</t>
        </is>
      </c>
      <c r="W331" s="6" t="inlineStr">
        <is>
          <t>1</t>
        </is>
      </c>
    </row>
    <row r="332" ht="22" customHeight="1" s="41">
      <c r="Q332" s="59" t="n"/>
      <c r="R332" s="52" t="n">
        <v>55</v>
      </c>
      <c r="S332" s="40" t="inlineStr">
        <is>
          <t>Sauces &amp; Condiments</t>
        </is>
      </c>
      <c r="W332" s="6" t="inlineStr">
        <is>
          <t>1</t>
        </is>
      </c>
    </row>
    <row r="333" ht="22" customHeight="1" s="41">
      <c r="Q333" s="60" t="n"/>
      <c r="R333" s="52" t="n">
        <v>56</v>
      </c>
      <c r="S333" s="40" t="inlineStr">
        <is>
          <t>Storage &amp; Organization</t>
        </is>
      </c>
      <c r="W333" s="6" t="inlineStr">
        <is>
          <t>1</t>
        </is>
      </c>
    </row>
    <row r="334" ht="22" customHeight="1" s="41">
      <c r="Q334" s="61" t="n"/>
      <c r="R334" s="52" t="n">
        <v>57</v>
      </c>
      <c r="S334" s="40" t="inlineStr">
        <is>
          <t>Writing Supplies</t>
        </is>
      </c>
      <c r="W334" s="6" t="inlineStr">
        <is>
          <t>1</t>
        </is>
      </c>
    </row>
  </sheetData>
  <mergeCells count="260">
    <mergeCell ref="S207:V207"/>
    <mergeCell ref="S158:V158"/>
    <mergeCell ref="S329:V329"/>
    <mergeCell ref="S210:V210"/>
    <mergeCell ref="S281:V281"/>
    <mergeCell ref="Y10:AG10"/>
    <mergeCell ref="S108:V108"/>
    <mergeCell ref="S95:V95"/>
    <mergeCell ref="S147:V147"/>
    <mergeCell ref="S178:V178"/>
    <mergeCell ref="Y16:AG16"/>
    <mergeCell ref="S79:V79"/>
    <mergeCell ref="S193:V193"/>
    <mergeCell ref="S150:V150"/>
    <mergeCell ref="S306:V306"/>
    <mergeCell ref="S321:V321"/>
    <mergeCell ref="Y52:AG52"/>
    <mergeCell ref="S144:V144"/>
    <mergeCell ref="S159:V159"/>
    <mergeCell ref="S315:V315"/>
    <mergeCell ref="S153:V153"/>
    <mergeCell ref="S242:V242"/>
    <mergeCell ref="Y225:AG228"/>
    <mergeCell ref="S302:V302"/>
    <mergeCell ref="Y242:AG242"/>
    <mergeCell ref="S72:V72"/>
    <mergeCell ref="S177:V177"/>
    <mergeCell ref="S192:V192"/>
    <mergeCell ref="S305:V305"/>
    <mergeCell ref="S81:V81"/>
    <mergeCell ref="S323:V323"/>
    <mergeCell ref="S164:V164"/>
    <mergeCell ref="S292:V292"/>
    <mergeCell ref="S161:V161"/>
    <mergeCell ref="S173:V173"/>
    <mergeCell ref="S62:V62"/>
    <mergeCell ref="Y204:AG204"/>
    <mergeCell ref="S96:V96"/>
    <mergeCell ref="A1:AG2"/>
    <mergeCell ref="S71:V71"/>
    <mergeCell ref="Y261:AG264"/>
    <mergeCell ref="Y284:AG284"/>
    <mergeCell ref="S145:V145"/>
    <mergeCell ref="S58:V58"/>
    <mergeCell ref="S176:V176"/>
    <mergeCell ref="S307:V307"/>
    <mergeCell ref="Y150:AG150"/>
    <mergeCell ref="Y206:AG206"/>
    <mergeCell ref="S98:V98"/>
    <mergeCell ref="S73:V73"/>
    <mergeCell ref="Q142:W142"/>
    <mergeCell ref="S191:V191"/>
    <mergeCell ref="S243:V243"/>
    <mergeCell ref="S278:V278"/>
    <mergeCell ref="S322:V322"/>
    <mergeCell ref="Y17:AG20"/>
    <mergeCell ref="Y11:AG14"/>
    <mergeCell ref="S57:V57"/>
    <mergeCell ref="S293:V293"/>
    <mergeCell ref="S333:V333"/>
    <mergeCell ref="Y59:AG62"/>
    <mergeCell ref="S112:V112"/>
    <mergeCell ref="Y142:AG142"/>
    <mergeCell ref="S317:V317"/>
    <mergeCell ref="S146:V146"/>
    <mergeCell ref="Y114:AG114"/>
    <mergeCell ref="S99:V99"/>
    <mergeCell ref="S151:V151"/>
    <mergeCell ref="S83:V83"/>
    <mergeCell ref="S154:V154"/>
    <mergeCell ref="S325:V325"/>
    <mergeCell ref="S92:V92"/>
    <mergeCell ref="S206:V206"/>
    <mergeCell ref="S163:V163"/>
    <mergeCell ref="Q276:W276"/>
    <mergeCell ref="S319:V319"/>
    <mergeCell ref="S334:V334"/>
    <mergeCell ref="S309:V309"/>
    <mergeCell ref="Y145:AG148"/>
    <mergeCell ref="S76:V76"/>
    <mergeCell ref="S85:V85"/>
    <mergeCell ref="S94:V94"/>
    <mergeCell ref="S183:V183"/>
    <mergeCell ref="S296:V296"/>
    <mergeCell ref="S75:V75"/>
    <mergeCell ref="S246:V246"/>
    <mergeCell ref="S311:V311"/>
    <mergeCell ref="S109:V109"/>
    <mergeCell ref="S167:V167"/>
    <mergeCell ref="S47:V47"/>
    <mergeCell ref="S149:V149"/>
    <mergeCell ref="S280:V280"/>
    <mergeCell ref="S320:V320"/>
    <mergeCell ref="S110:V110"/>
    <mergeCell ref="S59:V59"/>
    <mergeCell ref="Y255:AG258"/>
    <mergeCell ref="Q106:W106"/>
    <mergeCell ref="S46:V46"/>
    <mergeCell ref="S295:V295"/>
    <mergeCell ref="Y285:AG288"/>
    <mergeCell ref="Q204:W204"/>
    <mergeCell ref="S169:V169"/>
    <mergeCell ref="S282:V282"/>
    <mergeCell ref="S297:V297"/>
    <mergeCell ref="Y121:AG124"/>
    <mergeCell ref="S165:V165"/>
    <mergeCell ref="S180:V180"/>
    <mergeCell ref="S291:V291"/>
    <mergeCell ref="Y278:AG278"/>
    <mergeCell ref="S61:V61"/>
    <mergeCell ref="Y260:AG260"/>
    <mergeCell ref="S70:V70"/>
    <mergeCell ref="Y156:AG156"/>
    <mergeCell ref="S48:V48"/>
    <mergeCell ref="Y8:AG8"/>
    <mergeCell ref="Y126:AG126"/>
    <mergeCell ref="S111:V111"/>
    <mergeCell ref="S200:V200"/>
    <mergeCell ref="S194:V194"/>
    <mergeCell ref="S209:V209"/>
    <mergeCell ref="S181:V181"/>
    <mergeCell ref="S283:V283"/>
    <mergeCell ref="Y291:AG294"/>
    <mergeCell ref="S160:V160"/>
    <mergeCell ref="S175:V175"/>
    <mergeCell ref="Y243:AG246"/>
    <mergeCell ref="S87:V87"/>
    <mergeCell ref="Q240:W240"/>
    <mergeCell ref="S211:V211"/>
    <mergeCell ref="S245:V245"/>
    <mergeCell ref="S49:V49"/>
    <mergeCell ref="S97:V97"/>
    <mergeCell ref="S10:V10"/>
    <mergeCell ref="S195:V195"/>
    <mergeCell ref="S308:V308"/>
    <mergeCell ref="S89:V89"/>
    <mergeCell ref="Y290:AG290"/>
    <mergeCell ref="S65:V65"/>
    <mergeCell ref="S74:V74"/>
    <mergeCell ref="S157:V157"/>
    <mergeCell ref="Y213:AG216"/>
    <mergeCell ref="Y151:AG154"/>
    <mergeCell ref="S284:V284"/>
    <mergeCell ref="S310:V310"/>
    <mergeCell ref="Y163:AG166"/>
    <mergeCell ref="Y22:AG22"/>
    <mergeCell ref="Y144:AG144"/>
    <mergeCell ref="S212:V212"/>
    <mergeCell ref="S294:V294"/>
    <mergeCell ref="S50:V50"/>
    <mergeCell ref="Y218:AG218"/>
    <mergeCell ref="S286:V286"/>
    <mergeCell ref="S168:V168"/>
    <mergeCell ref="S51:V51"/>
    <mergeCell ref="S60:V60"/>
    <mergeCell ref="S91:V91"/>
    <mergeCell ref="S184:V184"/>
    <mergeCell ref="S100:V100"/>
    <mergeCell ref="S214:V214"/>
    <mergeCell ref="S327:V327"/>
    <mergeCell ref="Y53:AG56"/>
    <mergeCell ref="Y47:AG50"/>
    <mergeCell ref="Y127:AG130"/>
    <mergeCell ref="S155:V155"/>
    <mergeCell ref="S93:V93"/>
    <mergeCell ref="S213:V213"/>
    <mergeCell ref="S102:V102"/>
    <mergeCell ref="S247:V247"/>
    <mergeCell ref="Y120:AG120"/>
    <mergeCell ref="S77:V77"/>
    <mergeCell ref="S52:V52"/>
    <mergeCell ref="Q8:W8"/>
    <mergeCell ref="S170:V170"/>
    <mergeCell ref="S86:V86"/>
    <mergeCell ref="S179:V179"/>
    <mergeCell ref="S328:V328"/>
    <mergeCell ref="S166:V166"/>
    <mergeCell ref="Y279:AG282"/>
    <mergeCell ref="S67:V67"/>
    <mergeCell ref="S331:V331"/>
    <mergeCell ref="S101:V101"/>
    <mergeCell ref="S185:V185"/>
    <mergeCell ref="Y162:AG162"/>
    <mergeCell ref="Y219:AG222"/>
    <mergeCell ref="S199:V199"/>
    <mergeCell ref="S303:V303"/>
    <mergeCell ref="S290:V290"/>
    <mergeCell ref="S312:V312"/>
    <mergeCell ref="S208:V208"/>
    <mergeCell ref="S318:V318"/>
    <mergeCell ref="S186:V186"/>
    <mergeCell ref="S299:V299"/>
    <mergeCell ref="Y106:AG106"/>
    <mergeCell ref="S326:V326"/>
    <mergeCell ref="S69:V69"/>
    <mergeCell ref="Y212:AG212"/>
    <mergeCell ref="S279:V279"/>
    <mergeCell ref="S78:V78"/>
    <mergeCell ref="S314:V314"/>
    <mergeCell ref="S53:V53"/>
    <mergeCell ref="Y249:AG252"/>
    <mergeCell ref="Y276:AG276"/>
    <mergeCell ref="Q44:W44"/>
    <mergeCell ref="S298:V298"/>
    <mergeCell ref="S313:V313"/>
    <mergeCell ref="S80:V80"/>
    <mergeCell ref="Y44:AG44"/>
    <mergeCell ref="S285:V285"/>
    <mergeCell ref="S172:V172"/>
    <mergeCell ref="S55:V55"/>
    <mergeCell ref="S64:V64"/>
    <mergeCell ref="S148:V148"/>
    <mergeCell ref="S162:V162"/>
    <mergeCell ref="S54:V54"/>
    <mergeCell ref="S88:V88"/>
    <mergeCell ref="S63:V63"/>
    <mergeCell ref="S197:V197"/>
    <mergeCell ref="S330:V330"/>
    <mergeCell ref="S324:V324"/>
    <mergeCell ref="Y23:AG26"/>
    <mergeCell ref="Y115:AG118"/>
    <mergeCell ref="Y46:AG46"/>
    <mergeCell ref="S187:V187"/>
    <mergeCell ref="Y28:AG28"/>
    <mergeCell ref="S56:V56"/>
    <mergeCell ref="S90:V90"/>
    <mergeCell ref="S174:V174"/>
    <mergeCell ref="S332:V332"/>
    <mergeCell ref="S156:V156"/>
    <mergeCell ref="S188:V188"/>
    <mergeCell ref="S301:V301"/>
    <mergeCell ref="Y108:AG108"/>
    <mergeCell ref="Y254:AG254"/>
    <mergeCell ref="Y248:AG248"/>
    <mergeCell ref="S189:V189"/>
    <mergeCell ref="S316:V316"/>
    <mergeCell ref="S198:V198"/>
    <mergeCell ref="Y29:AG32"/>
    <mergeCell ref="Y207:AG210"/>
    <mergeCell ref="S244:V244"/>
    <mergeCell ref="S182:V182"/>
    <mergeCell ref="S300:V300"/>
    <mergeCell ref="S82:V82"/>
    <mergeCell ref="S287:V287"/>
    <mergeCell ref="Y157:AG160"/>
    <mergeCell ref="Y240:AG240"/>
    <mergeCell ref="S66:V66"/>
    <mergeCell ref="S190:V190"/>
    <mergeCell ref="S215:V215"/>
    <mergeCell ref="S289:V289"/>
    <mergeCell ref="S304:V304"/>
    <mergeCell ref="Y224:AG224"/>
    <mergeCell ref="Y58:AG58"/>
    <mergeCell ref="S68:V68"/>
    <mergeCell ref="S152:V152"/>
    <mergeCell ref="S196:V196"/>
    <mergeCell ref="Y109:AG112"/>
    <mergeCell ref="S288:V288"/>
    <mergeCell ref="S171:V171"/>
    <mergeCell ref="S84:V8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59"/>
  <sheetViews>
    <sheetView workbookViewId="0">
      <selection activeCell="A1" sqref="A1"/>
    </sheetView>
  </sheetViews>
  <sheetFormatPr baseColWidth="8" defaultRowHeight="15"/>
  <sheetData>
    <row r="1">
      <c r="A1" s="66" t="inlineStr">
        <is>
          <t>Monthly Spending</t>
        </is>
      </c>
      <c r="E1" s="66" t="inlineStr">
        <is>
          <t>Spending by Sub-Category</t>
        </is>
      </c>
      <c r="I1" s="66" t="inlineStr">
        <is>
          <t>Spending by Store</t>
        </is>
      </c>
      <c r="M1" s="66" t="inlineStr">
        <is>
          <t>Spending Share by Sub-Category</t>
        </is>
      </c>
      <c r="Q1" s="66" t="inlineStr">
        <is>
          <t>Top Products by Spending</t>
        </is>
      </c>
      <c r="U1" s="66" t="inlineStr">
        <is>
          <t>Purchase Frequency by Sub-Category</t>
        </is>
      </c>
      <c r="Y1" s="66" t="inlineStr">
        <is>
          <t>Monthly Spending by Store</t>
        </is>
      </c>
    </row>
    <row r="2">
      <c r="A2" s="66" t="inlineStr">
        <is>
          <t>Number</t>
        </is>
      </c>
      <c r="B2" s="66" t="inlineStr">
        <is>
          <t>Month</t>
        </is>
      </c>
      <c r="C2" s="66" t="inlineStr">
        <is>
          <t>Spending</t>
        </is>
      </c>
      <c r="E2" s="66" t="inlineStr">
        <is>
          <t>Number</t>
        </is>
      </c>
      <c r="F2" s="66" t="inlineStr">
        <is>
          <t>Sub-Category</t>
        </is>
      </c>
      <c r="G2" s="66" t="inlineStr">
        <is>
          <t>Spending</t>
        </is>
      </c>
      <c r="I2" s="66" t="inlineStr">
        <is>
          <t>Number</t>
        </is>
      </c>
      <c r="J2" s="66" t="inlineStr">
        <is>
          <t>Store</t>
        </is>
      </c>
      <c r="K2" s="66" t="inlineStr">
        <is>
          <t>Spending</t>
        </is>
      </c>
      <c r="M2" s="66" t="inlineStr">
        <is>
          <t>Number</t>
        </is>
      </c>
      <c r="N2" s="66" t="inlineStr">
        <is>
          <t>Sub-Category</t>
        </is>
      </c>
      <c r="O2" s="66" t="inlineStr">
        <is>
          <t>Spending</t>
        </is>
      </c>
      <c r="Q2" s="66" t="inlineStr">
        <is>
          <t>Number</t>
        </is>
      </c>
      <c r="R2" s="66" t="inlineStr">
        <is>
          <t>Product</t>
        </is>
      </c>
      <c r="S2" s="66" t="inlineStr">
        <is>
          <t>Spending</t>
        </is>
      </c>
      <c r="U2" s="66" t="inlineStr">
        <is>
          <t>Number</t>
        </is>
      </c>
      <c r="V2" s="66" t="inlineStr">
        <is>
          <t>Sub-Category</t>
        </is>
      </c>
      <c r="W2" s="66" t="inlineStr">
        <is>
          <t>Purchases</t>
        </is>
      </c>
      <c r="Y2" s="66" t="inlineStr">
        <is>
          <t>Month Number</t>
        </is>
      </c>
      <c r="Z2" s="66" t="inlineStr">
        <is>
          <t>1</t>
        </is>
      </c>
      <c r="AA2" s="66" t="inlineStr">
        <is>
          <t>2</t>
        </is>
      </c>
      <c r="AB2" s="66" t="inlineStr">
        <is>
          <t>3</t>
        </is>
      </c>
      <c r="AC2" s="66" t="inlineStr">
        <is>
          <t>4</t>
        </is>
      </c>
      <c r="AD2" s="66" t="inlineStr">
        <is>
          <t>5</t>
        </is>
      </c>
    </row>
    <row r="3">
      <c r="A3" t="n">
        <v>1</v>
      </c>
      <c r="B3" s="69" t="n">
        <v>46235</v>
      </c>
      <c r="C3" s="68" t="n">
        <v>899.7300000000005</v>
      </c>
      <c r="E3" t="n">
        <v>1</v>
      </c>
      <c r="F3" t="inlineStr">
        <is>
          <t>Baby Care</t>
        </is>
      </c>
      <c r="G3" s="68" t="n">
        <v>136.04</v>
      </c>
      <c r="I3" t="n">
        <v>1</v>
      </c>
      <c r="J3" t="inlineStr">
        <is>
          <t>Walmart</t>
        </is>
      </c>
      <c r="K3" s="68" t="n">
        <v>574.9700000000004</v>
      </c>
      <c r="M3" t="n">
        <v>1</v>
      </c>
      <c r="N3" t="inlineStr">
        <is>
          <t>Baby Care</t>
        </is>
      </c>
      <c r="O3" s="68" t="n">
        <v>136.04</v>
      </c>
      <c r="Q3" t="n">
        <v>1</v>
      </c>
      <c r="R3" t="inlineStr">
        <is>
          <t>Pampers Swaddlers Size 5 Diapers</t>
        </is>
      </c>
      <c r="S3" s="68" t="n">
        <v>79.54000000000001</v>
      </c>
      <c r="U3" t="n">
        <v>1</v>
      </c>
      <c r="V3" t="inlineStr">
        <is>
          <t>Fresh Fruit</t>
        </is>
      </c>
      <c r="W3" t="n">
        <v>18</v>
      </c>
      <c r="Y3" t="n">
        <v>1</v>
      </c>
      <c r="Z3" s="68" t="n">
        <v>574.9700000000004</v>
      </c>
      <c r="AA3" s="68" t="n">
        <v>145.58</v>
      </c>
      <c r="AB3" s="68" t="n">
        <v>100.82</v>
      </c>
      <c r="AC3" s="68" t="n">
        <v>48.12</v>
      </c>
      <c r="AD3" s="68" t="n">
        <v>30.24</v>
      </c>
    </row>
    <row r="4">
      <c r="E4" t="n">
        <v>2</v>
      </c>
      <c r="F4" t="inlineStr">
        <is>
          <t>Fees &amp; Charges</t>
        </is>
      </c>
      <c r="G4" s="68" t="n">
        <v>87.39</v>
      </c>
      <c r="I4" t="n">
        <v>2</v>
      </c>
      <c r="J4" t="inlineStr">
        <is>
          <t>Publix</t>
        </is>
      </c>
      <c r="K4" s="68" t="n">
        <v>145.58</v>
      </c>
      <c r="M4" t="n">
        <v>2</v>
      </c>
      <c r="N4" t="inlineStr">
        <is>
          <t>Fees &amp; Charges</t>
        </is>
      </c>
      <c r="O4" s="68" t="n">
        <v>87.39</v>
      </c>
      <c r="Q4" t="n">
        <v>2</v>
      </c>
      <c r="R4" t="inlineStr">
        <is>
          <t>Purina Tidy Cats Clumping Cat Litter</t>
        </is>
      </c>
      <c r="S4" s="68" t="n">
        <v>47.88</v>
      </c>
      <c r="U4" t="n">
        <v>2</v>
      </c>
      <c r="V4" t="inlineStr">
        <is>
          <t>Fresh Vegetables</t>
        </is>
      </c>
      <c r="W4" t="n">
        <v>18</v>
      </c>
    </row>
    <row r="5">
      <c r="E5" t="n">
        <v>3</v>
      </c>
      <c r="F5" t="inlineStr">
        <is>
          <t>Fresh Fruit</t>
        </is>
      </c>
      <c r="G5" s="68" t="n">
        <v>57.04999999999999</v>
      </c>
      <c r="I5" t="n">
        <v>3</v>
      </c>
      <c r="J5" t="inlineStr">
        <is>
          <t>Aldi</t>
        </is>
      </c>
      <c r="K5" s="68" t="n">
        <v>100.82</v>
      </c>
      <c r="M5" t="n">
        <v>3</v>
      </c>
      <c r="N5" t="inlineStr">
        <is>
          <t>Fresh Fruit</t>
        </is>
      </c>
      <c r="O5" s="68" t="n">
        <v>57.04999999999999</v>
      </c>
      <c r="Q5" t="n">
        <v>3</v>
      </c>
      <c r="R5" t="inlineStr">
        <is>
          <t>Driver Tip</t>
        </is>
      </c>
      <c r="S5" s="68" t="n">
        <v>46.78</v>
      </c>
      <c r="U5" t="n">
        <v>3</v>
      </c>
      <c r="V5" t="inlineStr">
        <is>
          <t>Fees &amp; Charges</t>
        </is>
      </c>
      <c r="W5" t="n">
        <v>14</v>
      </c>
    </row>
    <row r="6">
      <c r="E6" t="n">
        <v>4</v>
      </c>
      <c r="F6" t="inlineStr">
        <is>
          <t>Cat Litter</t>
        </is>
      </c>
      <c r="G6" s="68" t="n">
        <v>47.88</v>
      </c>
      <c r="I6" t="n">
        <v>4</v>
      </c>
      <c r="J6" t="inlineStr">
        <is>
          <t>Honey Pineapple</t>
        </is>
      </c>
      <c r="K6" s="68" t="n">
        <v>48.12</v>
      </c>
      <c r="M6" t="n">
        <v>4</v>
      </c>
      <c r="N6" t="inlineStr">
        <is>
          <t>Cat Litter</t>
        </is>
      </c>
      <c r="O6" s="68" t="n">
        <v>47.88</v>
      </c>
      <c r="Q6" t="n">
        <v>4</v>
      </c>
      <c r="R6" t="inlineStr">
        <is>
          <t>Command Heavy Duty Picture Hangers</t>
        </is>
      </c>
      <c r="S6" s="68" t="n">
        <v>28.54</v>
      </c>
      <c r="U6" t="n">
        <v>4</v>
      </c>
      <c r="V6" t="inlineStr">
        <is>
          <t>Baby Care</t>
        </is>
      </c>
      <c r="W6" t="n">
        <v>10</v>
      </c>
    </row>
    <row r="7">
      <c r="E7" t="n">
        <v>5</v>
      </c>
      <c r="F7" t="inlineStr">
        <is>
          <t>Yogurt</t>
        </is>
      </c>
      <c r="G7" s="68" t="n">
        <v>45.36000000000001</v>
      </c>
      <c r="I7" t="n">
        <v>5</v>
      </c>
      <c r="J7" t="inlineStr">
        <is>
          <t>Trader Joe's</t>
        </is>
      </c>
      <c r="K7" s="68" t="n">
        <v>30.24</v>
      </c>
      <c r="M7" t="n">
        <v>5</v>
      </c>
      <c r="N7" t="inlineStr">
        <is>
          <t>Yogurt</t>
        </is>
      </c>
      <c r="O7" s="68" t="n">
        <v>45.36000000000001</v>
      </c>
      <c r="Q7" t="n">
        <v>5</v>
      </c>
      <c r="R7" t="inlineStr">
        <is>
          <t>Tax</t>
        </is>
      </c>
      <c r="S7" s="68" t="n">
        <v>24.88</v>
      </c>
      <c r="U7" t="n">
        <v>5</v>
      </c>
      <c r="V7" t="inlineStr">
        <is>
          <t>Yogurt</t>
        </is>
      </c>
      <c r="W7" t="n">
        <v>6</v>
      </c>
    </row>
    <row r="8">
      <c r="E8" t="n">
        <v>6</v>
      </c>
      <c r="F8" t="inlineStr">
        <is>
          <t>Fresh Vegetables</t>
        </is>
      </c>
      <c r="G8" s="68" t="n">
        <v>39.15000000000001</v>
      </c>
      <c r="M8" t="n">
        <v>6</v>
      </c>
      <c r="N8" t="inlineStr">
        <is>
          <t>Fresh Vegetables</t>
        </is>
      </c>
      <c r="O8" s="68" t="n">
        <v>39.15000000000001</v>
      </c>
      <c r="Q8" t="n">
        <v>6</v>
      </c>
      <c r="R8" t="inlineStr">
        <is>
          <t>CeraVe Baby Healing Ointment</t>
        </is>
      </c>
      <c r="S8" s="68" t="n">
        <v>19.96</v>
      </c>
      <c r="U8" t="n">
        <v>6</v>
      </c>
      <c r="V8" t="inlineStr">
        <is>
          <t>Plant-Based Milk</t>
        </is>
      </c>
      <c r="W8" t="n">
        <v>5</v>
      </c>
    </row>
    <row r="9">
      <c r="E9" t="n">
        <v>7</v>
      </c>
      <c r="F9" t="inlineStr">
        <is>
          <t>Prepared Meals</t>
        </is>
      </c>
      <c r="G9" s="68" t="n">
        <v>31.2</v>
      </c>
      <c r="M9" t="n">
        <v>7</v>
      </c>
      <c r="N9" t="inlineStr">
        <is>
          <t>Prepared Meals</t>
        </is>
      </c>
      <c r="O9" s="68" t="n">
        <v>31.2</v>
      </c>
      <c r="Q9" t="n">
        <v>7</v>
      </c>
      <c r="R9" t="inlineStr">
        <is>
          <t>Dove Sensitive Skin Body Wash</t>
        </is>
      </c>
      <c r="S9" s="68" t="n">
        <v>19.88</v>
      </c>
      <c r="U9" t="n">
        <v>7</v>
      </c>
      <c r="V9" t="inlineStr">
        <is>
          <t>Seasonings &amp; Spices</t>
        </is>
      </c>
      <c r="W9" t="n">
        <v>5</v>
      </c>
    </row>
    <row r="10">
      <c r="E10" t="n">
        <v>8</v>
      </c>
      <c r="F10" t="inlineStr">
        <is>
          <t>Home Improvement</t>
        </is>
      </c>
      <c r="G10" s="68" t="n">
        <v>28.54</v>
      </c>
      <c r="M10" t="n">
        <v>8</v>
      </c>
      <c r="N10" t="inlineStr">
        <is>
          <t>Home Improvement</t>
        </is>
      </c>
      <c r="O10" s="68" t="n">
        <v>28.54</v>
      </c>
      <c r="Q10" t="n">
        <v>8</v>
      </c>
      <c r="R10" t="inlineStr">
        <is>
          <t>Chobani Protein Greek Yogurt Drink, Strawberries &amp; Cream</t>
        </is>
      </c>
      <c r="S10" s="68" t="n">
        <v>19.34</v>
      </c>
      <c r="U10" t="n">
        <v>8</v>
      </c>
      <c r="V10" t="inlineStr">
        <is>
          <t>Baking Ingredients</t>
        </is>
      </c>
      <c r="W10" t="n">
        <v>4</v>
      </c>
    </row>
    <row r="11">
      <c r="E11" t="n">
        <v>9</v>
      </c>
      <c r="F11" t="inlineStr">
        <is>
          <t>Plant-Based Milk</t>
        </is>
      </c>
      <c r="G11" s="68" t="n">
        <v>26.91</v>
      </c>
      <c r="M11" t="n">
        <v>9</v>
      </c>
      <c r="N11" t="inlineStr">
        <is>
          <t>Plant-Based Milk</t>
        </is>
      </c>
      <c r="O11" s="68" t="n">
        <v>26.91</v>
      </c>
      <c r="Q11" t="n">
        <v>9</v>
      </c>
      <c r="R11" t="inlineStr">
        <is>
          <t>Silk Organic Unsweet Soymilk, Half Gallon</t>
        </is>
      </c>
      <c r="S11" s="68" t="n">
        <v>18.57</v>
      </c>
      <c r="U11" t="n">
        <v>9</v>
      </c>
      <c r="V11" t="inlineStr">
        <is>
          <t>Body Wash</t>
        </is>
      </c>
      <c r="W11" t="n">
        <v>4</v>
      </c>
    </row>
    <row r="12">
      <c r="E12" t="n">
        <v>10</v>
      </c>
      <c r="F12" t="inlineStr">
        <is>
          <t>Baking Ingredients</t>
        </is>
      </c>
      <c r="G12" s="68" t="n">
        <v>26.66</v>
      </c>
      <c r="M12" t="n">
        <v>10</v>
      </c>
      <c r="N12" t="inlineStr">
        <is>
          <t>Baking Ingredients</t>
        </is>
      </c>
      <c r="O12" s="68" t="n">
        <v>26.66</v>
      </c>
      <c r="Q12" t="n">
        <v>10</v>
      </c>
      <c r="R12" t="inlineStr">
        <is>
          <t>Nestle Toll House Allergen-Free Dark Chocolate Baking Chips</t>
        </is>
      </c>
      <c r="S12" s="68" t="n">
        <v>16.74</v>
      </c>
      <c r="U12" t="n">
        <v>10</v>
      </c>
      <c r="V12" t="inlineStr">
        <is>
          <t>Canned Beans &amp; Legumes</t>
        </is>
      </c>
      <c r="W12" t="n">
        <v>4</v>
      </c>
    </row>
    <row r="13">
      <c r="E13" t="n">
        <v>11</v>
      </c>
      <c r="F13" t="inlineStr">
        <is>
          <t>Body Wash</t>
        </is>
      </c>
      <c r="G13" s="68" t="n">
        <v>19.88</v>
      </c>
      <c r="M13" t="n">
        <v>11</v>
      </c>
      <c r="N13" t="inlineStr">
        <is>
          <t>Body Wash</t>
        </is>
      </c>
      <c r="O13" s="68" t="n">
        <v>19.88</v>
      </c>
      <c r="U13" t="n">
        <v>11</v>
      </c>
      <c r="V13" t="inlineStr">
        <is>
          <t>Macaroni &amp; Cheese</t>
        </is>
      </c>
      <c r="W13" t="n">
        <v>4</v>
      </c>
    </row>
    <row r="14">
      <c r="E14" t="n">
        <v>12</v>
      </c>
      <c r="F14" t="inlineStr">
        <is>
          <t>Macaroni &amp; Cheese</t>
        </is>
      </c>
      <c r="G14" s="68" t="n">
        <v>18.88</v>
      </c>
      <c r="M14" t="n">
        <v>12</v>
      </c>
      <c r="N14" t="inlineStr">
        <is>
          <t>Macaroni &amp; Cheese</t>
        </is>
      </c>
      <c r="O14" s="68" t="n">
        <v>18.88</v>
      </c>
      <c r="U14" t="n">
        <v>12</v>
      </c>
      <c r="V14" t="inlineStr">
        <is>
          <t>Baking Mixes</t>
        </is>
      </c>
      <c r="W14" t="n">
        <v>3</v>
      </c>
    </row>
    <row r="15">
      <c r="E15" t="n">
        <v>13</v>
      </c>
      <c r="F15" t="inlineStr">
        <is>
          <t>Baking Mixes</t>
        </is>
      </c>
      <c r="G15" s="68" t="n">
        <v>18.49</v>
      </c>
      <c r="M15" t="n">
        <v>13</v>
      </c>
      <c r="N15" t="inlineStr">
        <is>
          <t>Baking Mixes</t>
        </is>
      </c>
      <c r="O15" s="68" t="n">
        <v>18.49</v>
      </c>
      <c r="U15" t="n">
        <v>13</v>
      </c>
      <c r="V15" t="inlineStr">
        <is>
          <t>Bread</t>
        </is>
      </c>
      <c r="W15" t="n">
        <v>3</v>
      </c>
    </row>
    <row r="16">
      <c r="E16" t="n">
        <v>14</v>
      </c>
      <c r="F16" t="inlineStr">
        <is>
          <t>Seasonings &amp; Spices</t>
        </is>
      </c>
      <c r="G16" s="68" t="n">
        <v>18.19</v>
      </c>
      <c r="M16" t="n">
        <v>14</v>
      </c>
      <c r="N16" t="inlineStr">
        <is>
          <t>Seasonings &amp; Spices</t>
        </is>
      </c>
      <c r="O16" s="68" t="n">
        <v>18.19</v>
      </c>
      <c r="U16" t="n">
        <v>14</v>
      </c>
      <c r="V16" t="inlineStr">
        <is>
          <t>Salad Kits</t>
        </is>
      </c>
      <c r="W16" t="n">
        <v>3</v>
      </c>
    </row>
    <row r="17">
      <c r="E17" t="n">
        <v>15</v>
      </c>
      <c r="F17" t="inlineStr">
        <is>
          <t>Bread</t>
        </is>
      </c>
      <c r="G17" s="68" t="n">
        <v>16.14</v>
      </c>
      <c r="M17" t="n">
        <v>15</v>
      </c>
      <c r="N17" t="inlineStr">
        <is>
          <t>Bread</t>
        </is>
      </c>
      <c r="O17" s="68" t="n">
        <v>16.14</v>
      </c>
      <c r="U17" t="n">
        <v>15</v>
      </c>
      <c r="V17" t="inlineStr">
        <is>
          <t>Snack Bars</t>
        </is>
      </c>
      <c r="W17" t="n">
        <v>3</v>
      </c>
    </row>
    <row r="18">
      <c r="E18" t="n">
        <v>16</v>
      </c>
      <c r="F18" t="inlineStr">
        <is>
          <t>Food Storage</t>
        </is>
      </c>
      <c r="G18" s="68" t="n">
        <v>14.46</v>
      </c>
      <c r="M18" t="n">
        <v>16</v>
      </c>
      <c r="N18" t="inlineStr">
        <is>
          <t>Food Storage</t>
        </is>
      </c>
      <c r="O18" s="68" t="n">
        <v>14.46</v>
      </c>
      <c r="U18" t="n">
        <v>16</v>
      </c>
      <c r="V18" t="inlineStr">
        <is>
          <t>Cat Litter</t>
        </is>
      </c>
      <c r="W18" t="n">
        <v>2</v>
      </c>
    </row>
    <row r="19">
      <c r="E19" t="n">
        <v>17</v>
      </c>
      <c r="F19" t="inlineStr">
        <is>
          <t>Fresh Seafood</t>
        </is>
      </c>
      <c r="G19" s="68" t="n">
        <v>14.29</v>
      </c>
      <c r="M19" t="n">
        <v>17</v>
      </c>
      <c r="N19" t="inlineStr">
        <is>
          <t>Fresh Seafood</t>
        </is>
      </c>
      <c r="O19" s="68" t="n">
        <v>14.29</v>
      </c>
      <c r="U19" t="n">
        <v>17</v>
      </c>
      <c r="V19" t="inlineStr">
        <is>
          <t>Eggs</t>
        </is>
      </c>
      <c r="W19" t="n">
        <v>2</v>
      </c>
    </row>
    <row r="20">
      <c r="E20" t="n">
        <v>18</v>
      </c>
      <c r="F20" t="inlineStr">
        <is>
          <t>Fresh Poultry</t>
        </is>
      </c>
      <c r="G20" s="68" t="n">
        <v>13.98</v>
      </c>
      <c r="M20" t="n">
        <v>18</v>
      </c>
      <c r="N20" t="inlineStr">
        <is>
          <t>Fresh Poultry</t>
        </is>
      </c>
      <c r="O20" s="68" t="n">
        <v>13.98</v>
      </c>
      <c r="U20" t="n">
        <v>18</v>
      </c>
      <c r="V20" t="inlineStr">
        <is>
          <t>Food Storage</t>
        </is>
      </c>
      <c r="W20" t="n">
        <v>2</v>
      </c>
    </row>
    <row r="21">
      <c r="E21" t="n">
        <v>19</v>
      </c>
      <c r="F21" t="inlineStr">
        <is>
          <t>Hair Care</t>
        </is>
      </c>
      <c r="G21" s="68" t="n">
        <v>13.92</v>
      </c>
      <c r="M21" t="n">
        <v>19</v>
      </c>
      <c r="N21" t="inlineStr">
        <is>
          <t>Hair Care</t>
        </is>
      </c>
      <c r="O21" s="68" t="n">
        <v>13.92</v>
      </c>
      <c r="U21" t="n">
        <v>19</v>
      </c>
      <c r="V21" t="inlineStr">
        <is>
          <t>Fresh Herbs</t>
        </is>
      </c>
      <c r="W21" t="n">
        <v>2</v>
      </c>
    </row>
    <row r="22">
      <c r="E22" t="n">
        <v>20</v>
      </c>
      <c r="F22" t="inlineStr">
        <is>
          <t>Cheese</t>
        </is>
      </c>
      <c r="G22" s="68" t="n">
        <v>11.93</v>
      </c>
      <c r="M22" t="n">
        <v>20</v>
      </c>
      <c r="N22" t="inlineStr">
        <is>
          <t>Cheese</t>
        </is>
      </c>
      <c r="O22" s="68" t="n">
        <v>11.93</v>
      </c>
      <c r="U22" t="n">
        <v>20</v>
      </c>
      <c r="V22" t="inlineStr">
        <is>
          <t>Fresh Poultry</t>
        </is>
      </c>
      <c r="W22" t="n">
        <v>2</v>
      </c>
    </row>
    <row r="23">
      <c r="E23" t="n">
        <v>21</v>
      </c>
      <c r="F23" t="inlineStr">
        <is>
          <t>Frozen Meat</t>
        </is>
      </c>
      <c r="G23" s="68" t="n">
        <v>11.76</v>
      </c>
      <c r="M23" t="n">
        <v>21</v>
      </c>
      <c r="N23" t="inlineStr">
        <is>
          <t>Frozen Meat</t>
        </is>
      </c>
      <c r="O23" s="68" t="n">
        <v>11.76</v>
      </c>
      <c r="U23" t="n">
        <v>21</v>
      </c>
      <c r="V23" t="inlineStr">
        <is>
          <t>Frozen Breakfast</t>
        </is>
      </c>
      <c r="W23" t="n">
        <v>2</v>
      </c>
    </row>
    <row r="24">
      <c r="E24" t="n">
        <v>22</v>
      </c>
      <c r="F24" t="inlineStr">
        <is>
          <t>Prepared Coffee</t>
        </is>
      </c>
      <c r="G24" s="68" t="n">
        <v>11</v>
      </c>
      <c r="M24" t="n">
        <v>22</v>
      </c>
      <c r="N24" t="inlineStr">
        <is>
          <t>Prepared Coffee</t>
        </is>
      </c>
      <c r="O24" s="68" t="n">
        <v>11</v>
      </c>
      <c r="U24" t="n">
        <v>22</v>
      </c>
      <c r="V24" t="inlineStr">
        <is>
          <t>Hair Care</t>
        </is>
      </c>
      <c r="W24" t="n">
        <v>2</v>
      </c>
    </row>
    <row r="25">
      <c r="E25" t="n">
        <v>23</v>
      </c>
      <c r="F25" t="inlineStr">
        <is>
          <t>Milk</t>
        </is>
      </c>
      <c r="G25" s="68" t="n">
        <v>10.64</v>
      </c>
      <c r="M25" t="n">
        <v>23</v>
      </c>
      <c r="N25" t="inlineStr">
        <is>
          <t>Milk</t>
        </is>
      </c>
      <c r="O25" s="68" t="n">
        <v>10.64</v>
      </c>
      <c r="U25" t="n">
        <v>23</v>
      </c>
      <c r="V25" t="inlineStr">
        <is>
          <t>Milk</t>
        </is>
      </c>
      <c r="W25" t="n">
        <v>2</v>
      </c>
    </row>
    <row r="26">
      <c r="E26" t="n">
        <v>24</v>
      </c>
      <c r="F26" t="inlineStr">
        <is>
          <t>Salad Kits</t>
        </is>
      </c>
      <c r="G26" s="68" t="n">
        <v>10</v>
      </c>
      <c r="M26" t="n">
        <v>24</v>
      </c>
      <c r="N26" t="inlineStr">
        <is>
          <t>Salad Kits</t>
        </is>
      </c>
      <c r="O26" s="68" t="n">
        <v>10</v>
      </c>
      <c r="U26" t="n">
        <v>24</v>
      </c>
      <c r="V26" t="inlineStr">
        <is>
          <t>Plant-Based Cheese</t>
        </is>
      </c>
      <c r="W26" t="n">
        <v>2</v>
      </c>
    </row>
    <row r="27">
      <c r="E27" t="n">
        <v>25</v>
      </c>
      <c r="F27" t="inlineStr">
        <is>
          <t>Baby &amp; Toddler Food</t>
        </is>
      </c>
      <c r="G27" s="68" t="n">
        <v>9.98</v>
      </c>
      <c r="M27" t="n">
        <v>25</v>
      </c>
      <c r="N27" t="inlineStr">
        <is>
          <t>Baby &amp; Toddler Food</t>
        </is>
      </c>
      <c r="O27" s="68" t="n">
        <v>9.98</v>
      </c>
      <c r="U27" t="n">
        <v>25</v>
      </c>
      <c r="V27" t="inlineStr">
        <is>
          <t>Prepared Coffee</t>
        </is>
      </c>
      <c r="W27" t="n">
        <v>2</v>
      </c>
    </row>
    <row r="28">
      <c r="E28" t="n">
        <v>26</v>
      </c>
      <c r="F28" t="inlineStr">
        <is>
          <t>Snack Bars</t>
        </is>
      </c>
      <c r="G28" s="68" t="n">
        <v>9.949999999999999</v>
      </c>
      <c r="M28" t="n">
        <v>26</v>
      </c>
      <c r="N28" t="inlineStr">
        <is>
          <t>Snack Bars</t>
        </is>
      </c>
      <c r="O28" s="68" t="n">
        <v>9.949999999999999</v>
      </c>
      <c r="U28" t="n">
        <v>26</v>
      </c>
      <c r="V28" t="inlineStr">
        <is>
          <t>Prepared Meals</t>
        </is>
      </c>
      <c r="W28" t="n">
        <v>2</v>
      </c>
    </row>
    <row r="29">
      <c r="E29" t="n">
        <v>27</v>
      </c>
      <c r="F29" t="inlineStr">
        <is>
          <t>Eggs</t>
        </is>
      </c>
      <c r="G29" s="68" t="n">
        <v>9.76</v>
      </c>
      <c r="M29" t="n">
        <v>27</v>
      </c>
      <c r="N29" t="inlineStr">
        <is>
          <t>Eggs</t>
        </is>
      </c>
      <c r="O29" s="68" t="n">
        <v>9.76</v>
      </c>
      <c r="U29" t="n">
        <v>27</v>
      </c>
      <c r="V29" t="inlineStr">
        <is>
          <t>Specialty Cheese</t>
        </is>
      </c>
      <c r="W29" t="n">
        <v>2</v>
      </c>
    </row>
    <row r="30">
      <c r="E30" t="n">
        <v>28</v>
      </c>
      <c r="F30" t="inlineStr">
        <is>
          <t>Frozen Pizza</t>
        </is>
      </c>
      <c r="G30" s="68" t="n">
        <v>8.289999999999999</v>
      </c>
      <c r="M30" t="n">
        <v>28</v>
      </c>
      <c r="N30" t="inlineStr">
        <is>
          <t>Frozen Pizza</t>
        </is>
      </c>
      <c r="O30" s="68" t="n">
        <v>8.289999999999999</v>
      </c>
      <c r="U30" t="n">
        <v>28</v>
      </c>
      <c r="V30" t="inlineStr">
        <is>
          <t>Baby &amp; Toddler Food</t>
        </is>
      </c>
      <c r="W30" t="n">
        <v>1</v>
      </c>
    </row>
    <row r="31">
      <c r="E31" t="n">
        <v>29</v>
      </c>
      <c r="F31" t="inlineStr">
        <is>
          <t>Frozen Breakfast</t>
        </is>
      </c>
      <c r="G31" s="68" t="n">
        <v>7.78</v>
      </c>
      <c r="M31" t="n">
        <v>29</v>
      </c>
      <c r="N31" t="inlineStr">
        <is>
          <t>Frozen Breakfast</t>
        </is>
      </c>
      <c r="O31" s="68" t="n">
        <v>7.78</v>
      </c>
      <c r="U31" t="n">
        <v>29</v>
      </c>
      <c r="V31" t="inlineStr">
        <is>
          <t>Cheese</t>
        </is>
      </c>
      <c r="W31" t="n">
        <v>1</v>
      </c>
    </row>
    <row r="32">
      <c r="E32" t="n">
        <v>30</v>
      </c>
      <c r="F32" t="inlineStr">
        <is>
          <t>Ice Cream</t>
        </is>
      </c>
      <c r="G32" s="68" t="n">
        <v>7.19</v>
      </c>
      <c r="M32" t="n">
        <v>30</v>
      </c>
      <c r="N32" t="inlineStr">
        <is>
          <t>Ice Cream</t>
        </is>
      </c>
      <c r="O32" s="68" t="n">
        <v>7.19</v>
      </c>
      <c r="U32" t="n">
        <v>30</v>
      </c>
      <c r="V32" t="inlineStr">
        <is>
          <t>Crackers</t>
        </is>
      </c>
      <c r="W32" t="n">
        <v>1</v>
      </c>
    </row>
    <row r="33">
      <c r="E33" t="n">
        <v>31</v>
      </c>
      <c r="F33" t="inlineStr">
        <is>
          <t>Refrigerated Dough</t>
        </is>
      </c>
      <c r="G33" s="68" t="n">
        <v>6.99</v>
      </c>
      <c r="M33" t="n">
        <v>31</v>
      </c>
      <c r="N33" t="inlineStr">
        <is>
          <t>Refrigerated Dough</t>
        </is>
      </c>
      <c r="O33" s="68" t="n">
        <v>6.99</v>
      </c>
      <c r="U33" t="n">
        <v>31</v>
      </c>
      <c r="V33" t="inlineStr">
        <is>
          <t>Cream &amp; Half-and-Half</t>
        </is>
      </c>
      <c r="W33" t="n">
        <v>1</v>
      </c>
    </row>
    <row r="34">
      <c r="E34" t="n">
        <v>32</v>
      </c>
      <c r="F34" t="inlineStr">
        <is>
          <t>Rice &amp; Grains</t>
        </is>
      </c>
      <c r="G34" s="68" t="n">
        <v>6.88</v>
      </c>
      <c r="M34" t="n">
        <v>32</v>
      </c>
      <c r="N34" t="inlineStr">
        <is>
          <t>Rice &amp; Grains</t>
        </is>
      </c>
      <c r="O34" s="68" t="n">
        <v>6.88</v>
      </c>
      <c r="U34" t="n">
        <v>32</v>
      </c>
      <c r="V34" t="inlineStr">
        <is>
          <t>Croutons</t>
        </is>
      </c>
      <c r="W34" t="n">
        <v>1</v>
      </c>
    </row>
    <row r="35">
      <c r="E35" t="n">
        <v>33</v>
      </c>
      <c r="F35" t="inlineStr">
        <is>
          <t>Deli Meat</t>
        </is>
      </c>
      <c r="G35" s="68" t="n">
        <v>6.48</v>
      </c>
      <c r="M35" t="n">
        <v>33</v>
      </c>
      <c r="N35" t="inlineStr">
        <is>
          <t>Deli Meat</t>
        </is>
      </c>
      <c r="O35" s="68" t="n">
        <v>6.48</v>
      </c>
      <c r="U35" t="n">
        <v>33</v>
      </c>
      <c r="V35" t="inlineStr">
        <is>
          <t>Deli Meat</t>
        </is>
      </c>
      <c r="W35" t="n">
        <v>1</v>
      </c>
    </row>
    <row r="36">
      <c r="E36" t="n">
        <v>34</v>
      </c>
      <c r="F36" t="inlineStr">
        <is>
          <t>Household Cleaners</t>
        </is>
      </c>
      <c r="G36" s="68" t="n">
        <v>6.24</v>
      </c>
      <c r="M36" t="n">
        <v>34</v>
      </c>
      <c r="N36" t="inlineStr">
        <is>
          <t>Household Cleaners</t>
        </is>
      </c>
      <c r="O36" s="68" t="n">
        <v>6.24</v>
      </c>
      <c r="U36" t="n">
        <v>34</v>
      </c>
      <c r="V36" t="inlineStr">
        <is>
          <t>Dips &amp; Spreads</t>
        </is>
      </c>
      <c r="W36" t="n">
        <v>1</v>
      </c>
    </row>
    <row r="37">
      <c r="E37" t="n">
        <v>35</v>
      </c>
      <c r="F37" t="inlineStr">
        <is>
          <t>Muffins &amp; Pastries</t>
        </is>
      </c>
      <c r="G37" s="68" t="n">
        <v>5.99</v>
      </c>
      <c r="M37" t="n">
        <v>35</v>
      </c>
      <c r="N37" t="inlineStr">
        <is>
          <t>Muffins &amp; Pastries</t>
        </is>
      </c>
      <c r="O37" s="68" t="n">
        <v>5.99</v>
      </c>
      <c r="U37" t="n">
        <v>35</v>
      </c>
      <c r="V37" t="inlineStr">
        <is>
          <t>Dishwashing Supplies</t>
        </is>
      </c>
      <c r="W37" t="n">
        <v>1</v>
      </c>
    </row>
    <row r="38">
      <c r="E38" t="n">
        <v>36</v>
      </c>
      <c r="F38" t="inlineStr">
        <is>
          <t>Storage &amp; Organization</t>
        </is>
      </c>
      <c r="G38" s="68" t="n">
        <v>5.99</v>
      </c>
      <c r="M38" t="n">
        <v>36</v>
      </c>
      <c r="N38" t="inlineStr">
        <is>
          <t>Storage &amp; Organization</t>
        </is>
      </c>
      <c r="O38" s="68" t="n">
        <v>5.99</v>
      </c>
      <c r="U38" t="n">
        <v>36</v>
      </c>
      <c r="V38" t="inlineStr">
        <is>
          <t>Disposable Tableware</t>
        </is>
      </c>
      <c r="W38" t="n">
        <v>1</v>
      </c>
    </row>
    <row r="39">
      <c r="E39" t="n">
        <v>37</v>
      </c>
      <c r="F39" t="inlineStr">
        <is>
          <t>Writing Supplies</t>
        </is>
      </c>
      <c r="G39" s="68" t="n">
        <v>5.99</v>
      </c>
      <c r="M39" t="n">
        <v>37</v>
      </c>
      <c r="N39" t="inlineStr">
        <is>
          <t>Writing Supplies</t>
        </is>
      </c>
      <c r="O39" s="68" t="n">
        <v>5.99</v>
      </c>
      <c r="U39" t="n">
        <v>37</v>
      </c>
      <c r="V39" t="inlineStr">
        <is>
          <t>Fresh Seafood</t>
        </is>
      </c>
      <c r="W39" t="n">
        <v>1</v>
      </c>
    </row>
    <row r="40">
      <c r="E40" t="n">
        <v>38</v>
      </c>
      <c r="F40" t="inlineStr">
        <is>
          <t>Cream &amp; Half-and-Half</t>
        </is>
      </c>
      <c r="G40" s="68" t="n">
        <v>5.89</v>
      </c>
      <c r="M40" t="n">
        <v>38</v>
      </c>
      <c r="N40" t="inlineStr">
        <is>
          <t>Cream &amp; Half-and-Half</t>
        </is>
      </c>
      <c r="O40" s="68" t="n">
        <v>5.89</v>
      </c>
      <c r="U40" t="n">
        <v>38</v>
      </c>
      <c r="V40" t="inlineStr">
        <is>
          <t>Fresh-Cut Fruit</t>
        </is>
      </c>
      <c r="W40" t="n">
        <v>1</v>
      </c>
    </row>
    <row r="41">
      <c r="E41" t="n">
        <v>39</v>
      </c>
      <c r="F41" t="inlineStr">
        <is>
          <t>Hot Dogs &amp; Sausages</t>
        </is>
      </c>
      <c r="G41" s="68" t="n">
        <v>5.74</v>
      </c>
      <c r="M41" t="n">
        <v>39</v>
      </c>
      <c r="N41" t="inlineStr">
        <is>
          <t>Hot Dogs &amp; Sausages</t>
        </is>
      </c>
      <c r="O41" s="68" t="n">
        <v>5.74</v>
      </c>
      <c r="U41" t="n">
        <v>39</v>
      </c>
      <c r="V41" t="inlineStr">
        <is>
          <t>Frozen Meat</t>
        </is>
      </c>
      <c r="W41" t="n">
        <v>1</v>
      </c>
    </row>
    <row r="42">
      <c r="E42" t="n">
        <v>40</v>
      </c>
      <c r="F42" t="inlineStr">
        <is>
          <t>Plant-Based Cheese</t>
        </is>
      </c>
      <c r="G42" s="68" t="n">
        <v>5.65</v>
      </c>
      <c r="M42" t="n">
        <v>40</v>
      </c>
      <c r="N42" t="inlineStr">
        <is>
          <t>Plant-Based Cheese</t>
        </is>
      </c>
      <c r="O42" s="68" t="n">
        <v>5.65</v>
      </c>
      <c r="U42" t="n">
        <v>40</v>
      </c>
      <c r="V42" t="inlineStr">
        <is>
          <t>Frozen Pizza</t>
        </is>
      </c>
      <c r="W42" t="n">
        <v>1</v>
      </c>
    </row>
    <row r="43">
      <c r="E43" t="n">
        <v>41</v>
      </c>
      <c r="F43" t="inlineStr">
        <is>
          <t>Disposable Tableware</t>
        </is>
      </c>
      <c r="G43" s="68" t="n">
        <v>5.25</v>
      </c>
      <c r="M43" t="n">
        <v>41</v>
      </c>
      <c r="N43" t="inlineStr">
        <is>
          <t>Disposable Tableware</t>
        </is>
      </c>
      <c r="O43" s="68" t="n">
        <v>5.25</v>
      </c>
      <c r="U43" t="n">
        <v>41</v>
      </c>
      <c r="V43" t="inlineStr">
        <is>
          <t>Frozen Vegetables</t>
        </is>
      </c>
      <c r="W43" t="n">
        <v>1</v>
      </c>
    </row>
    <row r="44">
      <c r="E44" t="n">
        <v>42</v>
      </c>
      <c r="F44" t="inlineStr">
        <is>
          <t>Specialty Cheese</t>
        </is>
      </c>
      <c r="G44" s="68" t="n">
        <v>4.88</v>
      </c>
      <c r="M44" t="n">
        <v>42</v>
      </c>
      <c r="N44" t="inlineStr">
        <is>
          <t>Specialty Cheese</t>
        </is>
      </c>
      <c r="O44" s="68" t="n">
        <v>4.88</v>
      </c>
      <c r="U44" t="n">
        <v>42</v>
      </c>
      <c r="V44" t="inlineStr">
        <is>
          <t>Home Improvement</t>
        </is>
      </c>
      <c r="W44" t="n">
        <v>1</v>
      </c>
    </row>
    <row r="45">
      <c r="E45" t="n">
        <v>43</v>
      </c>
      <c r="F45" t="inlineStr">
        <is>
          <t>Dishwashing Supplies</t>
        </is>
      </c>
      <c r="G45" s="68" t="n">
        <v>4.46</v>
      </c>
      <c r="M45" t="n">
        <v>43</v>
      </c>
      <c r="N45" t="inlineStr">
        <is>
          <t>Dishwashing Supplies</t>
        </is>
      </c>
      <c r="O45" s="68" t="n">
        <v>4.46</v>
      </c>
      <c r="U45" t="n">
        <v>43</v>
      </c>
      <c r="V45" t="inlineStr">
        <is>
          <t>Hot Dogs &amp; Sausages</t>
        </is>
      </c>
      <c r="W45" t="n">
        <v>1</v>
      </c>
    </row>
    <row r="46">
      <c r="E46" t="n">
        <v>44</v>
      </c>
      <c r="F46" t="inlineStr">
        <is>
          <t>Fresh-Cut Fruit</t>
        </is>
      </c>
      <c r="G46" s="68" t="n">
        <v>3.89</v>
      </c>
      <c r="M46" t="n">
        <v>44</v>
      </c>
      <c r="N46" t="inlineStr">
        <is>
          <t>Fresh-Cut Fruit</t>
        </is>
      </c>
      <c r="O46" s="68" t="n">
        <v>3.89</v>
      </c>
      <c r="U46" t="n">
        <v>44</v>
      </c>
      <c r="V46" t="inlineStr">
        <is>
          <t>Household Cleaners</t>
        </is>
      </c>
      <c r="W46" t="n">
        <v>1</v>
      </c>
    </row>
    <row r="47">
      <c r="E47" t="n">
        <v>45</v>
      </c>
      <c r="F47" t="inlineStr">
        <is>
          <t>Peanut Butter</t>
        </is>
      </c>
      <c r="G47" s="68" t="n">
        <v>3.69</v>
      </c>
      <c r="M47" t="n">
        <v>45</v>
      </c>
      <c r="N47" t="inlineStr">
        <is>
          <t>Peanut Butter</t>
        </is>
      </c>
      <c r="O47" s="68" t="n">
        <v>3.69</v>
      </c>
      <c r="U47" t="n">
        <v>45</v>
      </c>
      <c r="V47" t="inlineStr">
        <is>
          <t>Ice Cream</t>
        </is>
      </c>
      <c r="W47" t="n">
        <v>1</v>
      </c>
    </row>
    <row r="48">
      <c r="E48" t="n">
        <v>46</v>
      </c>
      <c r="F48" t="inlineStr">
        <is>
          <t>Canned Beans &amp; Legumes</t>
        </is>
      </c>
      <c r="G48" s="68" t="n">
        <v>3.68</v>
      </c>
      <c r="M48" t="n">
        <v>46</v>
      </c>
      <c r="N48" t="inlineStr">
        <is>
          <t>Canned Beans &amp; Legumes</t>
        </is>
      </c>
      <c r="O48" s="68" t="n">
        <v>3.68</v>
      </c>
      <c r="U48" t="n">
        <v>46</v>
      </c>
      <c r="V48" t="inlineStr">
        <is>
          <t>Jarred Vegetables</t>
        </is>
      </c>
      <c r="W48" t="n">
        <v>1</v>
      </c>
    </row>
    <row r="49">
      <c r="E49" t="n">
        <v>47</v>
      </c>
      <c r="F49" t="inlineStr">
        <is>
          <t>Dips &amp; Spreads</t>
        </is>
      </c>
      <c r="G49" s="68" t="n">
        <v>3.45</v>
      </c>
      <c r="M49" t="n">
        <v>47</v>
      </c>
      <c r="N49" t="inlineStr">
        <is>
          <t>Dips &amp; Spreads</t>
        </is>
      </c>
      <c r="O49" s="68" t="n">
        <v>3.45</v>
      </c>
      <c r="U49" t="n">
        <v>47</v>
      </c>
      <c r="V49" t="inlineStr">
        <is>
          <t>Judaica</t>
        </is>
      </c>
      <c r="W49" t="n">
        <v>1</v>
      </c>
    </row>
    <row r="50">
      <c r="E50" t="n">
        <v>48</v>
      </c>
      <c r="F50" t="inlineStr">
        <is>
          <t>Jarred Vegetables</t>
        </is>
      </c>
      <c r="G50" s="68" t="n">
        <v>3.29</v>
      </c>
      <c r="M50" t="n">
        <v>48</v>
      </c>
      <c r="N50" t="inlineStr">
        <is>
          <t>Jarred Vegetables</t>
        </is>
      </c>
      <c r="O50" s="68" t="n">
        <v>3.29</v>
      </c>
      <c r="U50" t="n">
        <v>48</v>
      </c>
      <c r="V50" t="inlineStr">
        <is>
          <t>Muffins &amp; Pastries</t>
        </is>
      </c>
      <c r="W50" t="n">
        <v>1</v>
      </c>
    </row>
    <row r="51">
      <c r="E51" t="n">
        <v>49</v>
      </c>
      <c r="F51" t="inlineStr">
        <is>
          <t>Sauces &amp; Condiments</t>
        </is>
      </c>
      <c r="G51" s="68" t="n">
        <v>3.19</v>
      </c>
      <c r="M51" t="n">
        <v>49</v>
      </c>
      <c r="N51" t="inlineStr">
        <is>
          <t>Sauces &amp; Condiments</t>
        </is>
      </c>
      <c r="O51" s="68" t="n">
        <v>3.19</v>
      </c>
      <c r="U51" t="n">
        <v>49</v>
      </c>
      <c r="V51" t="inlineStr">
        <is>
          <t>Pasta</t>
        </is>
      </c>
      <c r="W51" t="n">
        <v>1</v>
      </c>
    </row>
    <row r="52">
      <c r="E52" t="n">
        <v>50</v>
      </c>
      <c r="F52" t="inlineStr">
        <is>
          <t>Judaica</t>
        </is>
      </c>
      <c r="G52" s="68" t="n">
        <v>3.16</v>
      </c>
      <c r="M52" t="n">
        <v>50</v>
      </c>
      <c r="N52" t="inlineStr">
        <is>
          <t>Judaica</t>
        </is>
      </c>
      <c r="O52" s="68" t="n">
        <v>3.16</v>
      </c>
      <c r="U52" t="n">
        <v>50</v>
      </c>
      <c r="V52" t="inlineStr">
        <is>
          <t>Peanut Butter</t>
        </is>
      </c>
      <c r="W52" t="n">
        <v>1</v>
      </c>
    </row>
    <row r="53">
      <c r="E53" t="n">
        <v>51</v>
      </c>
      <c r="F53" t="inlineStr">
        <is>
          <t>Pasta</t>
        </is>
      </c>
      <c r="G53" s="68" t="n">
        <v>2.99</v>
      </c>
      <c r="M53" t="n">
        <v>51</v>
      </c>
      <c r="N53" t="inlineStr">
        <is>
          <t>Pasta</t>
        </is>
      </c>
      <c r="O53" s="68" t="n">
        <v>2.99</v>
      </c>
      <c r="U53" t="n">
        <v>51</v>
      </c>
      <c r="V53" t="inlineStr">
        <is>
          <t>Popcorn</t>
        </is>
      </c>
      <c r="W53" t="n">
        <v>1</v>
      </c>
    </row>
    <row r="54">
      <c r="E54" t="n">
        <v>52</v>
      </c>
      <c r="F54" t="inlineStr">
        <is>
          <t>Salad Dressing</t>
        </is>
      </c>
      <c r="G54" s="68" t="n">
        <v>2.99</v>
      </c>
      <c r="M54" t="n">
        <v>52</v>
      </c>
      <c r="N54" t="inlineStr">
        <is>
          <t>Salad Dressing</t>
        </is>
      </c>
      <c r="O54" s="68" t="n">
        <v>2.99</v>
      </c>
      <c r="U54" t="n">
        <v>52</v>
      </c>
      <c r="V54" t="inlineStr">
        <is>
          <t>Refrigerated Dough</t>
        </is>
      </c>
      <c r="W54" t="n">
        <v>1</v>
      </c>
    </row>
    <row r="55">
      <c r="E55" t="n">
        <v>53</v>
      </c>
      <c r="F55" t="inlineStr">
        <is>
          <t>Crackers</t>
        </is>
      </c>
      <c r="G55" s="68" t="n">
        <v>2.79</v>
      </c>
      <c r="M55" t="n">
        <v>53</v>
      </c>
      <c r="N55" t="inlineStr">
        <is>
          <t>Crackers</t>
        </is>
      </c>
      <c r="O55" s="68" t="n">
        <v>2.79</v>
      </c>
      <c r="U55" t="n">
        <v>53</v>
      </c>
      <c r="V55" t="inlineStr">
        <is>
          <t>Rice &amp; Grains</t>
        </is>
      </c>
      <c r="W55" t="n">
        <v>1</v>
      </c>
    </row>
    <row r="56">
      <c r="E56" t="n">
        <v>54</v>
      </c>
      <c r="F56" t="inlineStr">
        <is>
          <t>Popcorn</t>
        </is>
      </c>
      <c r="G56" s="68" t="n">
        <v>2.39</v>
      </c>
      <c r="M56" t="n">
        <v>54</v>
      </c>
      <c r="N56" t="inlineStr">
        <is>
          <t>Popcorn</t>
        </is>
      </c>
      <c r="O56" s="68" t="n">
        <v>2.39</v>
      </c>
      <c r="U56" t="n">
        <v>54</v>
      </c>
      <c r="V56" t="inlineStr">
        <is>
          <t>Salad Dressing</t>
        </is>
      </c>
      <c r="W56" t="n">
        <v>1</v>
      </c>
    </row>
    <row r="57">
      <c r="E57" t="n">
        <v>55</v>
      </c>
      <c r="F57" t="inlineStr">
        <is>
          <t>Croutons</t>
        </is>
      </c>
      <c r="G57" s="68" t="n">
        <v>1.99</v>
      </c>
      <c r="M57" t="n">
        <v>55</v>
      </c>
      <c r="N57" t="inlineStr">
        <is>
          <t>Croutons</t>
        </is>
      </c>
      <c r="O57" s="68" t="n">
        <v>1.99</v>
      </c>
      <c r="U57" t="n">
        <v>55</v>
      </c>
      <c r="V57" t="inlineStr">
        <is>
          <t>Sauces &amp; Condiments</t>
        </is>
      </c>
      <c r="W57" t="n">
        <v>1</v>
      </c>
    </row>
    <row r="58">
      <c r="E58" t="n">
        <v>56</v>
      </c>
      <c r="F58" t="inlineStr">
        <is>
          <t>Fresh Herbs</t>
        </is>
      </c>
      <c r="G58" s="68" t="n">
        <v>1.84</v>
      </c>
      <c r="M58" t="n">
        <v>56</v>
      </c>
      <c r="N58" t="inlineStr">
        <is>
          <t>Fresh Herbs</t>
        </is>
      </c>
      <c r="O58" s="68" t="n">
        <v>1.84</v>
      </c>
      <c r="U58" t="n">
        <v>56</v>
      </c>
      <c r="V58" t="inlineStr">
        <is>
          <t>Storage &amp; Organization</t>
        </is>
      </c>
      <c r="W58" t="n">
        <v>1</v>
      </c>
    </row>
    <row r="59">
      <c r="E59" t="n">
        <v>57</v>
      </c>
      <c r="F59" t="inlineStr">
        <is>
          <t>Frozen Vegetables</t>
        </is>
      </c>
      <c r="G59" s="68" t="n">
        <v>1.27</v>
      </c>
      <c r="M59" t="n">
        <v>57</v>
      </c>
      <c r="N59" t="inlineStr">
        <is>
          <t>Frozen Vegetables</t>
        </is>
      </c>
      <c r="O59" s="68" t="n">
        <v>1.27</v>
      </c>
      <c r="U59" t="n">
        <v>57</v>
      </c>
      <c r="V59" t="inlineStr">
        <is>
          <t>Writing Supplies</t>
        </is>
      </c>
      <c r="W59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E46" sqref="E46"/>
    </sheetView>
  </sheetViews>
  <sheetFormatPr baseColWidth="10" defaultRowHeight="15"/>
  <cols>
    <col width="45.33203125" customWidth="1" style="41" min="4" max="4"/>
    <col width="38.5" customWidth="1" style="41" min="5" max="5"/>
    <col width="34.83203125" customWidth="1" style="41" min="6" max="6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32" customWidth="1" style="41" min="1" max="1"/>
    <col width="16" customWidth="1" style="41" min="2" max="3"/>
    <col width="22" customWidth="1" style="41" min="4" max="4"/>
  </cols>
  <sheetData>
    <row r="1">
      <c r="A1" s="7" t="inlineStr">
        <is>
          <t>Source OCR JSON</t>
        </is>
      </c>
      <c r="B1" s="7" t="inlineStr">
        <is>
          <t>Store Number</t>
        </is>
      </c>
      <c r="C1" s="7" t="inlineStr">
        <is>
          <t>Receipt Date</t>
        </is>
      </c>
      <c r="D1" s="7" t="inlineStr">
        <is>
          <t>Imported Timestamp</t>
        </is>
      </c>
    </row>
    <row r="2">
      <c r="A2" t="inlineStr">
        <is>
          <t>IMG_0250_raw_ocr.json</t>
        </is>
      </c>
      <c r="B2" t="inlineStr">
        <is>
          <t>1058</t>
        </is>
      </c>
      <c r="C2" s="2" t="n">
        <v>46259</v>
      </c>
      <c r="D2" s="3" t="n">
        <v>46260.7532078588</v>
      </c>
    </row>
    <row r="3">
      <c r="A3" t="inlineStr">
        <is>
          <t>IMG_0251_raw_ocr.json</t>
        </is>
      </c>
      <c r="B3" t="inlineStr">
        <is>
          <t>160</t>
        </is>
      </c>
      <c r="C3" s="2" t="n">
        <v>46257</v>
      </c>
      <c r="D3" s="3" t="n">
        <v>46260.87320475694</v>
      </c>
    </row>
    <row r="4">
      <c r="A4" t="inlineStr">
        <is>
          <t>IMG_0255_raw_ocr.json</t>
        </is>
      </c>
      <c r="B4" t="inlineStr">
        <is>
          <t>0848</t>
        </is>
      </c>
      <c r="C4" s="2" t="n">
        <v>46258</v>
      </c>
      <c r="D4" s="3" t="n">
        <v>46261.50935446759</v>
      </c>
    </row>
    <row r="5">
      <c r="A5" t="inlineStr">
        <is>
          <t>IMG_0257_raw_ocr.json</t>
        </is>
      </c>
      <c r="B5" t="inlineStr">
        <is>
          <t>NA</t>
        </is>
      </c>
      <c r="C5" s="2" t="n">
        <v>46261</v>
      </c>
      <c r="D5" s="3" t="n">
        <v>46261.69623483796</v>
      </c>
    </row>
    <row r="6">
      <c r="A6" t="inlineStr">
        <is>
          <t>walmart_aug_6_raw_ocr.json</t>
        </is>
      </c>
      <c r="B6" t="inlineStr">
        <is>
          <t>0</t>
        </is>
      </c>
      <c r="C6" s="2" t="n">
        <v>46240</v>
      </c>
      <c r="D6" s="3" t="n">
        <v>46261.87458537037</v>
      </c>
    </row>
    <row r="7">
      <c r="A7" t="inlineStr">
        <is>
          <t>080726_Walmart_0_raw_ocr.json</t>
        </is>
      </c>
      <c r="B7" t="inlineStr">
        <is>
          <t>0</t>
        </is>
      </c>
      <c r="C7" s="2" t="n">
        <v>46241</v>
      </c>
      <c r="D7" s="3" t="n">
        <v>46262.59873947917</v>
      </c>
    </row>
    <row r="8">
      <c r="A8" t="inlineStr">
        <is>
          <t>081326_Walmart_0_raw_ocr.json</t>
        </is>
      </c>
      <c r="B8" t="inlineStr">
        <is>
          <t>0</t>
        </is>
      </c>
      <c r="C8" s="2" t="n">
        <v>46247</v>
      </c>
      <c r="D8" s="3" t="n">
        <v>46262.65887388889</v>
      </c>
    </row>
    <row r="9">
      <c r="A9" t="inlineStr">
        <is>
          <t>081326_Walmart_0_B_raw_ocr.json</t>
        </is>
      </c>
      <c r="B9" t="inlineStr">
        <is>
          <t>0</t>
        </is>
      </c>
      <c r="C9" s="2" t="n">
        <v>46247</v>
      </c>
      <c r="D9" s="3" t="n">
        <v>46262.66004274305</v>
      </c>
    </row>
    <row r="10">
      <c r="A10" t="inlineStr">
        <is>
          <t>082626_Walmart_0_raw_ocr.json</t>
        </is>
      </c>
      <c r="B10" t="inlineStr">
        <is>
          <t>0</t>
        </is>
      </c>
      <c r="C10" s="2" t="n">
        <v>46260</v>
      </c>
      <c r="D10" s="3" t="n">
        <v>46262.676458125</v>
      </c>
    </row>
    <row r="11">
      <c r="A11" t="inlineStr">
        <is>
          <t>082826_Publix_120_raw_ocr.json</t>
        </is>
      </c>
      <c r="B11" t="inlineStr">
        <is>
          <t>120</t>
        </is>
      </c>
      <c r="C11" s="2" t="n">
        <v>46262</v>
      </c>
      <c r="D11" s="3" t="n">
        <v>46262.70075863426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2026-08-26T22:04:37Z</dcterms:created>
  <dcterms:modified xmlns:dcterms="http://purl.org/dc/terms/" xmlns:xsi="http://www.w3.org/2001/XMLSchema-instance" xsi:type="dcterms:W3CDTF">2026-08-30T15:33:34Z</dcterms:modified>
  <cp:lastModifiedBy>garzoncarlosandres@gmail.com</cp:lastModifiedBy>
</cp:coreProperties>
</file>