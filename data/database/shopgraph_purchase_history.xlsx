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31"/>
  <workbookPr/>
  <mc:AlternateContent xmlns:mc="http://schemas.openxmlformats.org/markup-compatibility/2006">
    <mc:Choice Requires="x15">
      <x15ac:absPath xmlns:x15ac="http://schemas.microsoft.com/office/spreadsheetml/2010/11/ac" url="/Users/carlosgarzon/Desktop/Engineering/ShopGraph/shopping_analysis/data/database/"/>
    </mc:Choice>
  </mc:AlternateContent>
  <xr:revisionPtr revIDLastSave="0" documentId="11_C5F4D4899FBBFF0D29BAF0243B6D463ECE8DD0C4" xr6:coauthVersionLast="47" xr6:coauthVersionMax="47" xr10:uidLastSave="{00000000-0000-0000-0000-000000000000}"/>
  <bookViews>
    <workbookView xWindow="940" yWindow="760" windowWidth="33620" windowHeight="21580" activeTab="4" xr2:uid="{00000000-000D-0000-FFFF-FFFF00000000}"/>
  </bookViews>
  <sheets>
    <sheet name="Purchase History" sheetId="1" r:id="rId1"/>
    <sheet name="Category Manager" sheetId="2" r:id="rId2"/>
    <sheet name="Analytics" sheetId="3" r:id="rId3"/>
    <sheet name="_AnalyticsData" sheetId="4" state="hidden" r:id="rId4"/>
    <sheet name="Sheet1" sheetId="5" r:id="rId5"/>
    <sheet name="Imported Receipts" sheetId="6" state="hidden" r:id="rId6"/>
  </sheets>
  <definedNames>
    <definedName name="_xlnm._FilterDatabase" localSheetId="1" hidden="1">'Category Manager'!$A$1:$N$59</definedName>
    <definedName name="_xlnm._FilterDatabase" localSheetId="0" hidden="1">'Purchase History'!$A$1:$S$122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31" i="1" l="1"/>
  <c r="A130" i="1"/>
  <c r="A129" i="1"/>
  <c r="A128" i="1"/>
  <c r="A127" i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A79" i="1"/>
  <c r="A78" i="1"/>
  <c r="A77" i="1"/>
  <c r="A76" i="1"/>
  <c r="A75" i="1"/>
  <c r="A74" i="1"/>
  <c r="A73" i="1"/>
  <c r="A72" i="1"/>
  <c r="A71" i="1"/>
  <c r="A70" i="1"/>
  <c r="A69" i="1"/>
  <c r="A68" i="1"/>
  <c r="A67" i="1"/>
  <c r="A66" i="1"/>
  <c r="A65" i="1"/>
  <c r="A64" i="1"/>
  <c r="A63" i="1"/>
  <c r="A62" i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A6" i="1"/>
  <c r="A5" i="1"/>
  <c r="A4" i="1"/>
  <c r="A3" i="1"/>
  <c r="A2" i="1"/>
</calcChain>
</file>

<file path=xl/sharedStrings.xml><?xml version="1.0" encoding="utf-8"?>
<sst xmlns="http://schemas.openxmlformats.org/spreadsheetml/2006/main" count="1776" uniqueCount="537">
  <si>
    <t>Total</t>
  </si>
  <si>
    <t>Store</t>
  </si>
  <si>
    <t>Six-Digit SKU</t>
  </si>
  <si>
    <t>Product</t>
  </si>
  <si>
    <t>Tax Code</t>
  </si>
  <si>
    <t>Store Number</t>
  </si>
  <si>
    <t>Common Name</t>
  </si>
  <si>
    <t>Category</t>
  </si>
  <si>
    <t>Date 1</t>
  </si>
  <si>
    <t>Price 1</t>
  </si>
  <si>
    <t>Date 2</t>
  </si>
  <si>
    <t>Price 2</t>
  </si>
  <si>
    <t>Date 3</t>
  </si>
  <si>
    <t>Price 3</t>
  </si>
  <si>
    <t>Date 4</t>
  </si>
  <si>
    <t>Price 4</t>
  </si>
  <si>
    <t>Date 5</t>
  </si>
  <si>
    <t>Price 5</t>
  </si>
  <si>
    <t>Publix</t>
  </si>
  <si>
    <t>NA</t>
  </si>
  <si>
    <t>Stony Yobaby Pouch Peach</t>
  </si>
  <si>
    <t>F</t>
  </si>
  <si>
    <t>1058</t>
  </si>
  <si>
    <t>Stonyfield Organic YoBaby Yogurt Pouch, Peach</t>
  </si>
  <si>
    <t>Yogurt</t>
  </si>
  <si>
    <t>Stony Yobaby Pouch Banana</t>
  </si>
  <si>
    <t>Stonyfield Organic YoBaby Yogurt Pouch, Banana</t>
  </si>
  <si>
    <t>Sweet Loren's Gf Brownie</t>
  </si>
  <si>
    <t>Sweet Loren's Gluten Free Brownie Cookie Dough</t>
  </si>
  <si>
    <t>Refrigerated Dough</t>
  </si>
  <si>
    <t>Vans Waffle Blueberry Gf</t>
  </si>
  <si>
    <t>Van's Gluten Free Blueberry Waffles</t>
  </si>
  <si>
    <t>Frozen Breakfast</t>
  </si>
  <si>
    <t>Chobani 4Pk Hero Batch</t>
  </si>
  <si>
    <t>Chobani Greek Yogurt 4-Pack, Hero Batch</t>
  </si>
  <si>
    <t>Silk Soy Organic Nsa Hg</t>
  </si>
  <si>
    <t>Silk Organic Unsweet Soymilk, Half Gallon</t>
  </si>
  <si>
    <t>Plant-Based Milk</t>
  </si>
  <si>
    <t>Publix Half&amp;Half Hg</t>
  </si>
  <si>
    <t>Publix Half &amp; Half, Half Gallon</t>
  </si>
  <si>
    <t>Cream &amp; Half-and-Half</t>
  </si>
  <si>
    <t>Aldi</t>
  </si>
  <si>
    <t>383212</t>
  </si>
  <si>
    <t>GF Wide Pan Bread</t>
  </si>
  <si>
    <t>160</t>
  </si>
  <si>
    <t>Gluten-Free Wide Pan Bread</t>
  </si>
  <si>
    <t>Bread</t>
  </si>
  <si>
    <t>356691</t>
  </si>
  <si>
    <t>Zucchini</t>
  </si>
  <si>
    <t>Fresh Vegetables</t>
  </si>
  <si>
    <t>356689</t>
  </si>
  <si>
    <t>Yellow Squash</t>
  </si>
  <si>
    <t>356421</t>
  </si>
  <si>
    <t>Medley Potatoes</t>
  </si>
  <si>
    <t>356537</t>
  </si>
  <si>
    <t>Cilantro</t>
  </si>
  <si>
    <t>Fresh Herbs</t>
  </si>
  <si>
    <t>856508</t>
  </si>
  <si>
    <t>Broccoli Crowns</t>
  </si>
  <si>
    <t>356496</t>
  </si>
  <si>
    <t>Beefsteak Tomatoes</t>
  </si>
  <si>
    <t>344280</t>
  </si>
  <si>
    <t>Cauli Crust Pizza</t>
  </si>
  <si>
    <t>Cauliflower Crust Pizza</t>
  </si>
  <si>
    <t>Frozen Pizza</t>
  </si>
  <si>
    <t>356427</t>
  </si>
  <si>
    <t>Multi-Peppers 3pk</t>
  </si>
  <si>
    <t>Multi-Color Peppers, 3-Pack</t>
  </si>
  <si>
    <t>356591</t>
  </si>
  <si>
    <t>Pink Lady Apple</t>
  </si>
  <si>
    <t>Pink Lady Apples</t>
  </si>
  <si>
    <t>Fresh Fruit</t>
  </si>
  <si>
    <t>356488</t>
  </si>
  <si>
    <t>Baby Carrots</t>
  </si>
  <si>
    <t>341979</t>
  </si>
  <si>
    <t>Pine/Water Spears</t>
  </si>
  <si>
    <t>Pineapple &amp; Watermelon Spears</t>
  </si>
  <si>
    <t>Fresh-Cut Fruit</t>
  </si>
  <si>
    <t>356504</t>
  </si>
  <si>
    <t>Blueberries</t>
  </si>
  <si>
    <t>356374</t>
  </si>
  <si>
    <t>Golden Kiwi</t>
  </si>
  <si>
    <t>343738</t>
  </si>
  <si>
    <t>Humus Mini Cups</t>
  </si>
  <si>
    <t>Hummus Mini Cups</t>
  </si>
  <si>
    <t>Dips &amp; Spreads</t>
  </si>
  <si>
    <t>LesserEvil Popcorn</t>
  </si>
  <si>
    <t>Popcorn</t>
  </si>
  <si>
    <t>262747</t>
  </si>
  <si>
    <t>Bananas LRW</t>
  </si>
  <si>
    <t>Bananas</t>
  </si>
  <si>
    <t>328752</t>
  </si>
  <si>
    <t>Fruit &amp; Grain Bars</t>
  </si>
  <si>
    <t>Snack Bars</t>
  </si>
  <si>
    <t>856609</t>
  </si>
  <si>
    <t>Red Onions</t>
  </si>
  <si>
    <t>739153</t>
  </si>
  <si>
    <t>Organic Chickpeas</t>
  </si>
  <si>
    <t>Canned Beans &amp; Legumes</t>
  </si>
  <si>
    <t>381343</t>
  </si>
  <si>
    <t>Dark Red Kidney</t>
  </si>
  <si>
    <t>Dark Red Kidney Beans</t>
  </si>
  <si>
    <t>381359</t>
  </si>
  <si>
    <t>Vinaigrette Drssng</t>
  </si>
  <si>
    <t>Vinaigrette Dressing</t>
  </si>
  <si>
    <t>Salad Dressing</t>
  </si>
  <si>
    <t>356578</t>
  </si>
  <si>
    <t>Parsley each</t>
  </si>
  <si>
    <t>Parsley</t>
  </si>
  <si>
    <t>400462</t>
  </si>
  <si>
    <t>OG Croutons</t>
  </si>
  <si>
    <t>Organic Croutons</t>
  </si>
  <si>
    <t>Croutons</t>
  </si>
  <si>
    <t>344583</t>
  </si>
  <si>
    <t>Evryd Plate 8.5in</t>
  </si>
  <si>
    <t>Everyday Paper Plates, 8.5 Inch</t>
  </si>
  <si>
    <t>Disposable Tableware</t>
  </si>
  <si>
    <t>384545</t>
  </si>
  <si>
    <t>NO Honey Wheat Brd</t>
  </si>
  <si>
    <t>No [or possibly Nature's Own] Honey Wheat Bread</t>
  </si>
  <si>
    <t>730325</t>
  </si>
  <si>
    <t>3pk_Gel Pens</t>
  </si>
  <si>
    <t>Gel Pens, 3-Pack</t>
  </si>
  <si>
    <t>Writing Supplies</t>
  </si>
  <si>
    <t>720921</t>
  </si>
  <si>
    <t>PB Toast Crackers FA</t>
  </si>
  <si>
    <t>Peanut Butter Toast Crackers</t>
  </si>
  <si>
    <t>Crackers</t>
  </si>
  <si>
    <t>383548</t>
  </si>
  <si>
    <t>Goat Cheese Logs</t>
  </si>
  <si>
    <t>Specialty Cheese</t>
  </si>
  <si>
    <t>713372</t>
  </si>
  <si>
    <t>Feta Crumbles</t>
  </si>
  <si>
    <t>Feta Cheese Crumbles</t>
  </si>
  <si>
    <t>CollapsibleStorage</t>
  </si>
  <si>
    <t>Collapsible Storage Container/Bin</t>
  </si>
  <si>
    <t>Storage &amp; Organization</t>
  </si>
  <si>
    <t>Trader Joe's</t>
  </si>
  <si>
    <t>EMPIRE KOSHER GROUND TRK</t>
  </si>
  <si>
    <t>0848</t>
  </si>
  <si>
    <t>Empire Kosher Ground Turkey</t>
  </si>
  <si>
    <t>Fresh Poultry</t>
  </si>
  <si>
    <t>R-STRAWBERRIES 1 LB</t>
  </si>
  <si>
    <t>Strawberries, 1 lb</t>
  </si>
  <si>
    <t>FIRE ROASTED RED PEPPERS</t>
  </si>
  <si>
    <t>Fire Roasted Red Peppers</t>
  </si>
  <si>
    <t>Jarred Vegetables</t>
  </si>
  <si>
    <t>PASTA CHICKPEA FUSILLI</t>
  </si>
  <si>
    <t>Chickpea Fusilli Pasta</t>
  </si>
  <si>
    <t>Pasta</t>
  </si>
  <si>
    <t>MUFFIN BLUEBERRY GLUTEN</t>
  </si>
  <si>
    <t>Gluten-Free Blueberry Muffins</t>
  </si>
  <si>
    <t>Muffins &amp; Pastries</t>
  </si>
  <si>
    <t>Honey Pineapple</t>
  </si>
  <si>
    <t>1 Caramel Macchiato</t>
  </si>
  <si>
    <t>Prepared Coffee</t>
  </si>
  <si>
    <t>1 Iced Caramel Macchiato</t>
  </si>
  <si>
    <t>1 Frenchy Plate</t>
  </si>
  <si>
    <t>LF</t>
  </si>
  <si>
    <t>Prepared Meals</t>
  </si>
  <si>
    <t>1 Chicken N French Toast</t>
  </si>
  <si>
    <t>T</t>
  </si>
  <si>
    <t>Tax</t>
  </si>
  <si>
    <t>Fees &amp; Charges</t>
  </si>
  <si>
    <t>Tip</t>
  </si>
  <si>
    <t>Walmart</t>
  </si>
  <si>
    <t>Safety 1 Soft Grip Brush &amp; Comb, Artic Blue</t>
  </si>
  <si>
    <t>0</t>
  </si>
  <si>
    <t>Safety 1st Soft Grip Brush &amp; Comb</t>
  </si>
  <si>
    <t>Baby Care</t>
  </si>
  <si>
    <t>The Honest Company Conditioning Detangler Sweet Cream Comfort 4 floz</t>
  </si>
  <si>
    <t>Honest Company Conditioning Detangler</t>
  </si>
  <si>
    <t>Hair Care</t>
  </si>
  <si>
    <t>Nestle Toll House Organic Allergen Free Dark Chocolate Regular Baking Chips, Morsels for Baking, 9 oz Bag</t>
  </si>
  <si>
    <t>Nestle Toll House Allergen-Free Dark Chocolate Baking Chips</t>
  </si>
  <si>
    <t>Baking Ingredients</t>
  </si>
  <si>
    <t>GHIRARDELLI Gluten Free Double Chocolate Brownie Mix, Gluten Free Baking Mix, Includes Chocolate Chips, 18 oz Box 20 shopped Qty1</t>
  </si>
  <si>
    <t>Ghirardelli Gluten-Free Double Chocolate Brownie Mix</t>
  </si>
  <si>
    <t>Baking Mixes</t>
  </si>
  <si>
    <t>Purina Tidy Cats With Glade Clear Springs Scented, Odor Control, Clumping Multi-Cat Litter 20 shopped Qty2</t>
  </si>
  <si>
    <t>Purina Tidy Cats Clumping Cat Litter</t>
  </si>
  <si>
    <t>Cat Litter</t>
  </si>
  <si>
    <t>Lawry's Kosher Coarse Ground With Parsley Garlic Salt, 6.0 oz Bottle</t>
  </si>
  <si>
    <t>Lawry's Garlic Salt</t>
  </si>
  <si>
    <t>Seasonings &amp; Spices</t>
  </si>
  <si>
    <t>Huggies Natural Care Sensitive Baby Wipes, Unscented, 3 Flip-Top Packs, 168 Count 20 shopped Qty1</t>
  </si>
  <si>
    <t>Huggies Natural Care Baby Wipes</t>
  </si>
  <si>
    <t>Pampers Swaddlers Fragrance Free Baby Diapers Size 5, 100 Count (Select for More Options) 20 shopped Qty1</t>
  </si>
  <si>
    <t>Pampers Swaddlers Size 5 Diapers</t>
  </si>
  <si>
    <t>Chobani Oatmilk Extra Creamy 52 floz Carton 20 shopped aty1</t>
  </si>
  <si>
    <t>Chobani Extra Creamy Oatmilk</t>
  </si>
  <si>
    <t>Desitin Maximum Strength Diaper Rash Cream, 40% Zinc Oxide, 4.8 oz</t>
  </si>
  <si>
    <t>Desitin Maximum Strength Diaper Rash Cream</t>
  </si>
  <si>
    <t>fairlife Lactose Free Reduced Fat Chocolate Ultra Filtered Milk, 52 floz</t>
  </si>
  <si>
    <t>Fairlife Chocolate Milk</t>
  </si>
  <si>
    <t>Milk</t>
  </si>
  <si>
    <t>Nestle Toll House Dark Chocolate Regular Baking Chips, 10 oz Bag 20 shopped Qty1</t>
  </si>
  <si>
    <t>Nestle Toll House Dark Chocolate Baking Chips</t>
  </si>
  <si>
    <t>Dove Body Wash For 24hr Lotion-Soft Skin Sensitive Skin Moisturizing Skin Cleanser Gentle Hypoallergenic Formula With</t>
  </si>
  <si>
    <t>Dove Sensitive Skin Body Wash</t>
  </si>
  <si>
    <t>Body Wash</t>
  </si>
  <si>
    <t>No Sulfates No Parabens, 11 Floz</t>
  </si>
  <si>
    <t>Great Value Large White Eggs 36 Count 20 shopped Qty1</t>
  </si>
  <si>
    <t>Great Value Large White Eggs</t>
  </si>
  <si>
    <t>Eggs</t>
  </si>
  <si>
    <t>Chobani 20G Protein Low-Fat Greek Yogurt Drink, Strawberries and Cream 10 fl oz Bottle, 4 Pack</t>
  </si>
  <si>
    <t>Chobani Protein Greek Yogurt Drink, Strawberries &amp; Cream</t>
  </si>
  <si>
    <t>McCormick Sea Salt Grinder, oz Bottle 20 shopped aty1</t>
  </si>
  <si>
    <t>McCormick Sea Salt Grinder</t>
  </si>
  <si>
    <t>Fresh Mandarin Oranges, 5 lb Bag 20 shopped Qty1</t>
  </si>
  <si>
    <t>Mandarin Oranges</t>
  </si>
  <si>
    <t>Fresh Pink Lady Apples, 3lb Bag 20 shopped Qty1</t>
  </si>
  <si>
    <t>Fresh Banana, Each 7 weight adjusted Qty7</t>
  </si>
  <si>
    <t>CeraVe Baby Healing Ointment for Diaper Rash &amp; Cracked Chafed Dry Skin for Baby + Toddler 3 oz</t>
  </si>
  <si>
    <t>CeraVe Baby Healing Ointment</t>
  </si>
  <si>
    <t>Driver tip</t>
  </si>
  <si>
    <t>Driver Tip</t>
  </si>
  <si>
    <t>3 hours orless</t>
  </si>
  <si>
    <t>Express Delivery Fee</t>
  </si>
  <si>
    <t>diff</t>
  </si>
  <si>
    <t>Price Adjustment</t>
  </si>
  <si>
    <t>GHIRARDELLI Gluten Free Double Chocolate Brownie Mix, Gluten Free Baking Mix, Includes Chocolate Chips, 18 oz Box</t>
  </si>
  <si>
    <t>Pampers Swaddlers Fragrance Free Baby Diapers Size 5, 100 Count (Select for More Options</t>
  </si>
  <si>
    <t>Chobani Oatmitk Extra Creamy 52 floz Carton 20 shopped Qty1</t>
  </si>
  <si>
    <t>Nestle Tolt House Dark Chocolate Regular Baking Chips, 10 oz Bag 20 shopped Qty1</t>
  </si>
  <si>
    <t>Applegate Natural Chicken &amp; Maple Breakfast Sausage Patties, 16 oz, GF, Resealable Bag (Frozen), About 15 Pieces per Bag</t>
  </si>
  <si>
    <t>Applegate Chicken &amp; Maple Breakfast Sausage</t>
  </si>
  <si>
    <t>Frozen Meat</t>
  </si>
  <si>
    <t>McCormick Sea Salt Grinder, oz Bottle 20 shopped Qty1</t>
  </si>
  <si>
    <t>3 hours or less</t>
  </si>
  <si>
    <t>Nature's Bakery Gluten Free Raspberry Fig Bars in Twin pack Box, 20z Each 36 shopped Qty1</t>
  </si>
  <si>
    <t>Nature's Bakery Gluten-Free Raspberry Fig Bars</t>
  </si>
  <si>
    <t>Mahatma Jasmine Rice, Thai Fragrant Long Grain Rice, Gluten Free, 80 oz Bag (5 lbs</t>
  </si>
  <si>
    <t>Mahatma Jasmine Rice</t>
  </si>
  <si>
    <t>Rice &amp; Grains</t>
  </si>
  <si>
    <t>Hillshire Farm Ultra Thin Oven Roasted Turkey Breast Lunchmeat, 16 oz Plastic Tub, Refrigerated</t>
  </si>
  <si>
    <t>Hillshire Farm Oven Roasted Turkey Breast</t>
  </si>
  <si>
    <t>Deli Meat</t>
  </si>
  <si>
    <t>Hebrew National 100% Kosher Beef Franks, Hot Dogs, 10.3 oz 6 Count</t>
  </si>
  <si>
    <t>Hebrew National Beef Franks</t>
  </si>
  <si>
    <t>Hot Dogs &amp; Sausages</t>
  </si>
  <si>
    <t>Dave's Killer Bread Organic Oats &amp; Blues Regular Size Loaf, 25 oz, USDA Organic</t>
  </si>
  <si>
    <t>Dave's Killer Bread Oats &amp; Blues</t>
  </si>
  <si>
    <t>Birds Eye Steamfresh Sweet Peas, Frozen Vegetables, 10 oz. Bag</t>
  </si>
  <si>
    <t>Birds Eye Steamfresh Sweet Peas</t>
  </si>
  <si>
    <t>Frozen Vegetables</t>
  </si>
  <si>
    <t>Cabot Creamery 4 Cheese Mexican Shredded Cheddar Cheese 2 lb (Refrigerated</t>
  </si>
  <si>
    <t>Cabot Mexican Shredded Cheese</t>
  </si>
  <si>
    <t>Cheese</t>
  </si>
  <si>
    <t>Ziploc Brand Slider Gallon Freezer Food Storage Bags, School Supplies, with Power Shield Technology, 40 Count</t>
  </si>
  <si>
    <t>Ziploc Gallon Freezer Bags</t>
  </si>
  <si>
    <t>Food Storage</t>
  </si>
  <si>
    <t>Ziploc Brand Freezer Food Storage Bags, School Supplies, with Grip 'n Seal Technology, Zipper, Quart, 50 Count</t>
  </si>
  <si>
    <t>Ziploc Quart Freezer Bags</t>
  </si>
  <si>
    <t>Fresh Mini Cucumbers, 16 oz</t>
  </si>
  <si>
    <t>Mini Cucumbers</t>
  </si>
  <si>
    <t>2 pack) Yehuda Sabbath Candles,12ct</t>
  </si>
  <si>
    <t>Yehuda Sabbath Candles</t>
  </si>
  <si>
    <t>Judaica</t>
  </si>
  <si>
    <t>Fresh Yellow Squash, Each 11 weight adjusted aty1</t>
  </si>
  <si>
    <t>Fresh Zucchini, Each 11 weight adjusted aty1</t>
  </si>
  <si>
    <t>Fresh Whole Red Onion, Each</t>
  </si>
  <si>
    <t>Red Onion</t>
  </si>
  <si>
    <t>Fresh Tomato on the Vine, Bag (1.9 lbs/Bag Est.) 11 weight adjusted Qty1</t>
  </si>
  <si>
    <t>Tomatoes on the Vine</t>
  </si>
  <si>
    <t>Fresh Banana, Each 11 weight adjusted Qty7</t>
  </si>
  <si>
    <t>Command Heavy Duty Picture Hangers, Hold 20 tbs, Black, Damage-Free Hanging, 8 Pairs Adhesive Strips</t>
  </si>
  <si>
    <t>Command Heavy Duty Picture Hangers</t>
  </si>
  <si>
    <t>Home Improvement</t>
  </si>
  <si>
    <t>Dove Men+Care Antiperspirant Deodorant Stick 72-Hour Sweat &amp; Odor Protection Clean Comfort Antiperspirant For Men</t>
  </si>
  <si>
    <t>Dove Men+Care Antiperspirant</t>
  </si>
  <si>
    <t>Deodorant</t>
  </si>
  <si>
    <t>Dawn Ultra 11" Puff Glassware and Dish Cleaning Brush Wand with Sponge Head</t>
  </si>
  <si>
    <t>Dawn Dish Cleaning Brush Wand</t>
  </si>
  <si>
    <t>Dishwashing Supplies</t>
  </si>
  <si>
    <t>Once Upon a Farm Organic Tractor Wheels Toddler Bar, Apple, Sweet Potato &amp; Spinach, 10ct</t>
  </si>
  <si>
    <t>Once Upon a Farm Tractor Wheels Toddler Bars</t>
  </si>
  <si>
    <t>Baby &amp; Toddler Food</t>
  </si>
  <si>
    <t>Weiman Granite &amp; Stone Disinfectant Cleaner &amp; Polish, 24 floz</t>
  </si>
  <si>
    <t>Weiman Granite &amp; Stone Cleaner &amp; Polish</t>
  </si>
  <si>
    <t>Household Cleaners</t>
  </si>
  <si>
    <t>Chobani Low-Fat Vanilla Greek Yogurt Mixed Berry On The Bottom, Hero Batch z 4PK</t>
  </si>
  <si>
    <t>Chobani Vanilla Mixed Berry Greek Yogurt</t>
  </si>
  <si>
    <t>Fresh Banana, Each 4 weight adjusted aty4</t>
  </si>
  <si>
    <t>Jif Nsa P/B Creamy</t>
  </si>
  <si>
    <t>120</t>
  </si>
  <si>
    <t>Jif No Sugar Added Creamy Peanut Butter</t>
  </si>
  <si>
    <t>Peanut Butter</t>
  </si>
  <si>
    <t>King Arth G/ Pnck Hix</t>
  </si>
  <si>
    <t>King Arthur Gluten-Free Pancake Mix</t>
  </si>
  <si>
    <t>Bagged Green Beans</t>
  </si>
  <si>
    <t>Green Beans</t>
  </si>
  <si>
    <t>Potato Nibbles Ruby Sensa</t>
  </si>
  <si>
    <t>Ruby Sensation Potato Nibbles</t>
  </si>
  <si>
    <t>Cholula Cremosa Gltro Lme</t>
  </si>
  <si>
    <t>Cholula Cremosa Cilantro Lime Sauce</t>
  </si>
  <si>
    <t>Sauces &amp; Condiments</t>
  </si>
  <si>
    <t>Mc Sig Evrythng Bgel Ssng</t>
  </si>
  <si>
    <t>McCormick Everything Bagel Seasoning</t>
  </si>
  <si>
    <t>Banza White Cheddar Shel</t>
  </si>
  <si>
    <t>Banza White Cheddar Shells</t>
  </si>
  <si>
    <t>Macaroni &amp; Cheese</t>
  </si>
  <si>
    <t>anza White Cheddar Shel</t>
  </si>
  <si>
    <t>Annie's Dlx Shi&amp;Chd Gf</t>
  </si>
  <si>
    <t>Annie's Gluten-Free Deluxe Shells &amp; Cheddar</t>
  </si>
  <si>
    <t>Annie's Dlx Shl&amp;Chd Gf</t>
  </si>
  <si>
    <t>Gw Keta Salmon Fillet</t>
  </si>
  <si>
    <t>GreenWise Keta Salmon Fillet</t>
  </si>
  <si>
    <t>Fresh Seafood</t>
  </si>
  <si>
    <t>Daiya Shreds Mexican Bld</t>
  </si>
  <si>
    <t>Daiya Mexican Blend Shreds</t>
  </si>
  <si>
    <t>Plant-Based Cheese</t>
  </si>
  <si>
    <t>Tf Caesar Salad Kit Chop F</t>
  </si>
  <si>
    <t>Taylor Farms Chopped Caesar Salad Kit</t>
  </si>
  <si>
    <t>Salad Kits</t>
  </si>
  <si>
    <t>Tf Everything Salad Chop</t>
  </si>
  <si>
    <t>TF</t>
  </si>
  <si>
    <t>Taylor Farms Everything Chopped Salad Kit</t>
  </si>
  <si>
    <t>Hagen David Blackberry</t>
  </si>
  <si>
    <t>Häagen-Dazs Blackberry Ice Cream</t>
  </si>
  <si>
    <t>Ice Cream</t>
  </si>
  <si>
    <t>Product 1</t>
  </si>
  <si>
    <t>Product 2</t>
  </si>
  <si>
    <t>Product 3</t>
  </si>
  <si>
    <t>Product 4</t>
  </si>
  <si>
    <t>Product 5</t>
  </si>
  <si>
    <t>Product 6</t>
  </si>
  <si>
    <t>Product 7</t>
  </si>
  <si>
    <t>Product 8</t>
  </si>
  <si>
    <t>Product 9</t>
  </si>
  <si>
    <t>Product 10</t>
  </si>
  <si>
    <t>Product 11</t>
  </si>
  <si>
    <t>Product 12</t>
  </si>
  <si>
    <t>Product 13</t>
  </si>
  <si>
    <t>ShopGraph Spending Analytics</t>
  </si>
  <si>
    <t>Total Spending</t>
  </si>
  <si>
    <t>Purchase Observations</t>
  </si>
  <si>
    <t>Date Range</t>
  </si>
  <si>
    <t>Stores</t>
  </si>
  <si>
    <t>Categories</t>
  </si>
  <si>
    <t>08/06/2026 - 08/28/2026</t>
  </si>
  <si>
    <t>Number / Month</t>
  </si>
  <si>
    <t>How to Read This Graph</t>
  </si>
  <si>
    <t>#</t>
  </si>
  <si>
    <t>Description</t>
  </si>
  <si>
    <t>Value</t>
  </si>
  <si>
    <t>August 2026</t>
  </si>
  <si>
    <t>$899.73</t>
  </si>
  <si>
    <t>What it represents</t>
  </si>
  <si>
    <t>Shows total household spending for each calendar month. Every valid Date N / Price N purchase observation is added to its month.</t>
  </si>
  <si>
    <t>How to read it</t>
  </si>
  <si>
    <t>The x-axis uses month numbers instead of month names to keep the graph clear. Match each number to the month and dollar total in the key. A rising line means monthly spending increased; a falling line means it decreased.</t>
  </si>
  <si>
    <t>What it is useful for</t>
  </si>
  <si>
    <t>Use this to identify overall spending trends, unusually expensive months, and whether spending is gradually moving up or down over time.</t>
  </si>
  <si>
    <t>Notes</t>
  </si>
  <si>
    <t>Months with no spending between the earliest and latest purchase dates are included as zero-spend months.</t>
  </si>
  <si>
    <t>Number / Category</t>
  </si>
  <si>
    <t>$136.04</t>
  </si>
  <si>
    <t>$87.39</t>
  </si>
  <si>
    <t>Compares total spending across every category in Purchase History. No categories are collapsed into an 'Other' group.</t>
  </si>
  <si>
    <t>$57.05</t>
  </si>
  <si>
    <t>$47.88</t>
  </si>
  <si>
    <t>$45.36</t>
  </si>
  <si>
    <t>$39.15</t>
  </si>
  <si>
    <t>$31.20</t>
  </si>
  <si>
    <t>$28.54</t>
  </si>
  <si>
    <t>Each horizontal bar is identified by a number and color. Use the key to map that number/color to the category name and exact spending amount. Longer bars mean more money was spent in that category.</t>
  </si>
  <si>
    <t>$26.91</t>
  </si>
  <si>
    <t>$26.66</t>
  </si>
  <si>
    <t>$19.88</t>
  </si>
  <si>
    <t>$18.88</t>
  </si>
  <si>
    <t>$18.49</t>
  </si>
  <si>
    <t>$18.19</t>
  </si>
  <si>
    <t>Use this to see which types of goods are the biggest drivers of household spending.</t>
  </si>
  <si>
    <t>$16.14</t>
  </si>
  <si>
    <t>$14.46</t>
  </si>
  <si>
    <t>$14.29</t>
  </si>
  <si>
    <t>$13.98</t>
  </si>
  <si>
    <t>$13.92</t>
  </si>
  <si>
    <t>$11.93</t>
  </si>
  <si>
    <t>$11.76</t>
  </si>
  <si>
    <t>$11.00</t>
  </si>
  <si>
    <t>$10.64</t>
  </si>
  <si>
    <t>$10.00</t>
  </si>
  <si>
    <t>$9.98</t>
  </si>
  <si>
    <t>$9.95</t>
  </si>
  <si>
    <t>$9.76</t>
  </si>
  <si>
    <t>$8.29</t>
  </si>
  <si>
    <t>$7.78</t>
  </si>
  <si>
    <t>$7.19</t>
  </si>
  <si>
    <t>$6.99</t>
  </si>
  <si>
    <t>$6.88</t>
  </si>
  <si>
    <t>$6.48</t>
  </si>
  <si>
    <t>$6.24</t>
  </si>
  <si>
    <t>$5.99</t>
  </si>
  <si>
    <t>$5.89</t>
  </si>
  <si>
    <t>$5.74</t>
  </si>
  <si>
    <t>$5.65</t>
  </si>
  <si>
    <t>$5.25</t>
  </si>
  <si>
    <t>$4.88</t>
  </si>
  <si>
    <t>$4.46</t>
  </si>
  <si>
    <t>$3.89</t>
  </si>
  <si>
    <t>$3.69</t>
  </si>
  <si>
    <t>$3.68</t>
  </si>
  <si>
    <t>$3.45</t>
  </si>
  <si>
    <t>$3.29</t>
  </si>
  <si>
    <t>$3.19</t>
  </si>
  <si>
    <t>$3.16</t>
  </si>
  <si>
    <t>$2.99</t>
  </si>
  <si>
    <t>$2.79</t>
  </si>
  <si>
    <t>$2.39</t>
  </si>
  <si>
    <t>$1.99</t>
  </si>
  <si>
    <t>$1.84</t>
  </si>
  <si>
    <t>$1.27</t>
  </si>
  <si>
    <t>Number / Store</t>
  </si>
  <si>
    <t>$574.97</t>
  </si>
  <si>
    <t>$145.58</t>
  </si>
  <si>
    <t>Compares how much money was spent at each retailer across the entire Purchase History.</t>
  </si>
  <si>
    <t>$100.82</t>
  </si>
  <si>
    <t>$48.12</t>
  </si>
  <si>
    <t>$30.24</t>
  </si>
  <si>
    <t>Each store is represented by a numbered colored bar. Match the number/color to the key. Longer bars indicate more total spending at that store.</t>
  </si>
  <si>
    <t>Use this to understand which retailers receive the largest share of your household shopping budget.</t>
  </si>
  <si>
    <t>Store Number is intentionally ignored here; purchases are grouped by the Store name.</t>
  </si>
  <si>
    <t>$136.04 (15.1%)</t>
  </si>
  <si>
    <t>$87.39 (9.7%)</t>
  </si>
  <si>
    <t>Shows each category's share of total spending as part of the whole shopping budget.</t>
  </si>
  <si>
    <t>$57.05 (6.3%)</t>
  </si>
  <si>
    <t>$47.88 (5.3%)</t>
  </si>
  <si>
    <t>$45.36 (5.0%)</t>
  </si>
  <si>
    <t>$39.15 (4.4%)</t>
  </si>
  <si>
    <t>$31.20 (3.5%)</t>
  </si>
  <si>
    <t>$28.54 (3.2%)</t>
  </si>
  <si>
    <t>The doughnut itself displays only numeric category codes. Match each number/color to the key for the category name, dollar amount, and percentage of total spending.</t>
  </si>
  <si>
    <t>$26.91 (3.0%)</t>
  </si>
  <si>
    <t>$26.66 (3.0%)</t>
  </si>
  <si>
    <t>$19.88 (2.2%)</t>
  </si>
  <si>
    <t>$18.88 (2.1%)</t>
  </si>
  <si>
    <t>$18.49 (2.1%)</t>
  </si>
  <si>
    <t>$18.19 (2.0%)</t>
  </si>
  <si>
    <t>Use this for a fast visual picture of the household spending mix—especially which categories take the largest portion of the budget.</t>
  </si>
  <si>
    <t>$16.14 (1.8%)</t>
  </si>
  <si>
    <t>$14.46 (1.6%)</t>
  </si>
  <si>
    <t>$14.29 (1.6%)</t>
  </si>
  <si>
    <t>$13.98 (1.6%)</t>
  </si>
  <si>
    <t>$13.92 (1.5%)</t>
  </si>
  <si>
    <t>$11.93 (1.3%)</t>
  </si>
  <si>
    <t>Unlike the older dashboard, this graph does not create a large 'Other' slice. Every category receives its own numbered segment.</t>
  </si>
  <si>
    <t>$11.76 (1.3%)</t>
  </si>
  <si>
    <t>$11.00 (1.2%)</t>
  </si>
  <si>
    <t>$10.64 (1.2%)</t>
  </si>
  <si>
    <t>$10.00 (1.1%)</t>
  </si>
  <si>
    <t>$9.98 (1.1%)</t>
  </si>
  <si>
    <t>$9.95 (1.1%)</t>
  </si>
  <si>
    <t>$9.76 (1.1%)</t>
  </si>
  <si>
    <t>$8.29 (0.9%)</t>
  </si>
  <si>
    <t>$7.78 (0.9%)</t>
  </si>
  <si>
    <t>$7.19 (0.8%)</t>
  </si>
  <si>
    <t>$6.99 (0.8%)</t>
  </si>
  <si>
    <t>$6.88 (0.8%)</t>
  </si>
  <si>
    <t>$6.48 (0.7%)</t>
  </si>
  <si>
    <t>$6.24 (0.7%)</t>
  </si>
  <si>
    <t>$5.99 (0.7%)</t>
  </si>
  <si>
    <t>$5.89 (0.7%)</t>
  </si>
  <si>
    <t>$5.74 (0.6%)</t>
  </si>
  <si>
    <t>$5.65 (0.6%)</t>
  </si>
  <si>
    <t>$5.25 (0.6%)</t>
  </si>
  <si>
    <t>$4.88 (0.5%)</t>
  </si>
  <si>
    <t>$4.46 (0.5%)</t>
  </si>
  <si>
    <t>$3.89 (0.4%)</t>
  </si>
  <si>
    <t>$3.69 (0.4%)</t>
  </si>
  <si>
    <t>$3.68 (0.4%)</t>
  </si>
  <si>
    <t>$3.45 (0.4%)</t>
  </si>
  <si>
    <t>$3.29 (0.4%)</t>
  </si>
  <si>
    <t>$3.19 (0.4%)</t>
  </si>
  <si>
    <t>$3.16 (0.4%)</t>
  </si>
  <si>
    <t>$2.99 (0.3%)</t>
  </si>
  <si>
    <t>$2.79 (0.3%)</t>
  </si>
  <si>
    <t>$2.39 (0.3%)</t>
  </si>
  <si>
    <t>$1.99 (0.2%)</t>
  </si>
  <si>
    <t>$1.84 (0.2%)</t>
  </si>
  <si>
    <t>$1.27 (0.1%)</t>
  </si>
  <si>
    <t>Number / Product</t>
  </si>
  <si>
    <t>$79.54</t>
  </si>
  <si>
    <t>Ranks the ten individual product identities with the most accumulated spending across all recorded purchases.</t>
  </si>
  <si>
    <t>$46.78</t>
  </si>
  <si>
    <t>$24.88</t>
  </si>
  <si>
    <t>$19.96</t>
  </si>
  <si>
    <t>$19.34</t>
  </si>
  <si>
    <t>Each product is represented by a numbered colored bar. Use the key to see the product name and its total spending. The longest bar is the largest individual spending driver.</t>
  </si>
  <si>
    <t>$18.57</t>
  </si>
  <si>
    <t>$16.74</t>
  </si>
  <si>
    <t>Use this to identify specific products that contribute the most to total spending and may be worth price-comparing or watching over time.</t>
  </si>
  <si>
    <t>Product identity prefers Common Name and falls back to Product when Common Name is unavailable.</t>
  </si>
  <si>
    <t>Store Numbers + Month Numbers</t>
  </si>
  <si>
    <t>Shows how monthly spending is divided among stores. Each column is one month; each colored section inside the column represents one store.</t>
  </si>
  <si>
    <t>Month August 2026</t>
  </si>
  <si>
    <t>Store series use the numbered color key. The x-axis uses month numbers. Match those month numbers to the month rows in the key. The total height of a column is total monthly spending; the colored portions show which stores made up that total.</t>
  </si>
  <si>
    <t>Use this to see whether changes in monthly spending are connected to a particular store and how your retailer mix changes over time.</t>
  </si>
  <si>
    <t>All stores are retained. There is no catch-all 'Other' store series.</t>
  </si>
  <si>
    <t>18</t>
  </si>
  <si>
    <t>Counts how many valid purchase observations occurred in each category. This measures frequency, not dollars.</t>
  </si>
  <si>
    <t>14</t>
  </si>
  <si>
    <t>10</t>
  </si>
  <si>
    <t>6</t>
  </si>
  <si>
    <t>5</t>
  </si>
  <si>
    <t>4</t>
  </si>
  <si>
    <t>Each category is a numbered colored bar. Match the number and color to the key. A longer bar means the category was purchased more frequently.</t>
  </si>
  <si>
    <t>3</t>
  </si>
  <si>
    <t>Use this alongside Spending by Category to distinguish frequent routine purchases from categories that are bought less often but cost more.</t>
  </si>
  <si>
    <t>2</t>
  </si>
  <si>
    <t>1</t>
  </si>
  <si>
    <t>Monthly Spending</t>
  </si>
  <si>
    <t>Spending by Category</t>
  </si>
  <si>
    <t>Spending by Store</t>
  </si>
  <si>
    <t>Spending Share by Category</t>
  </si>
  <si>
    <t>Top Products by Spending</t>
  </si>
  <si>
    <t>Purchase Frequency by Category</t>
  </si>
  <si>
    <t>Monthly Spending by Store</t>
  </si>
  <si>
    <t>Number</t>
  </si>
  <si>
    <t>Month</t>
  </si>
  <si>
    <t>Spending</t>
  </si>
  <si>
    <t>Purchases</t>
  </si>
  <si>
    <t>Month Number</t>
  </si>
  <si>
    <t>Source OCR JSON</t>
  </si>
  <si>
    <t>Receipt Date</t>
  </si>
  <si>
    <t>Imported Timestamp</t>
  </si>
  <si>
    <t>IMG_0250_raw_ocr.json</t>
  </si>
  <si>
    <t>IMG_0251_raw_ocr.json</t>
  </si>
  <si>
    <t>IMG_0255_raw_ocr.json</t>
  </si>
  <si>
    <t>IMG_0257_raw_ocr.json</t>
  </si>
  <si>
    <t>walmart_aug_6_raw_ocr.json</t>
  </si>
  <si>
    <t>080726_Walmart_0_raw_ocr.json</t>
  </si>
  <si>
    <t>081326_Walmart_0_raw_ocr.json</t>
  </si>
  <si>
    <t>081326_Walmart_0_B_raw_ocr.json</t>
  </si>
  <si>
    <t>082626_Walmart_0_raw_ocr.json</t>
  </si>
  <si>
    <t>082826_Publix_120_raw_ocr.json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</si>
</sst>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m/dd/yyyy"/>
    <numFmt numFmtId="165" formatCode="mm/dd/yyyy\ hh:mm"/>
    <numFmt numFmtId="166" formatCode="mmm\ yyyy"/>
    <numFmt numFmtId="167" formatCode="\$#,##0.00"/>
  </numFmts>
  <fonts count="10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  <font>
      <b/>
      <sz val="22"/>
      <color rgb="FFFFFFFF"/>
      <name val="Calibri"/>
      <family val="2"/>
    </font>
    <font>
      <b/>
      <sz val="11"/>
      <color rgb="FF404040"/>
      <name val="Calibri"/>
      <family val="2"/>
    </font>
    <font>
      <b/>
      <sz val="12"/>
      <name val="Calibri"/>
      <family val="2"/>
    </font>
    <font>
      <b/>
      <sz val="11"/>
      <name val="Calibri"/>
      <family val="2"/>
    </font>
    <font>
      <b/>
      <sz val="12"/>
      <color rgb="FFFFFFFF"/>
      <name val="Calibri"/>
      <family val="2"/>
    </font>
    <font>
      <b/>
      <sz val="11"/>
      <color rgb="FF1F4E78"/>
      <name val="Calibri"/>
      <family val="2"/>
    </font>
    <font>
      <b/>
      <sz val="11"/>
      <color rgb="FFFFFFFF"/>
      <name val="Calibri"/>
      <family val="2"/>
    </font>
    <font>
      <b/>
      <sz val="11"/>
      <name val="Calibri"/>
      <family val="2"/>
    </font>
  </fonts>
  <fills count="23">
    <fill>
      <patternFill patternType="none"/>
    </fill>
    <fill>
      <patternFill patternType="gray125"/>
    </fill>
    <fill>
      <patternFill patternType="solid">
        <fgColor rgb="FF1F4E78"/>
      </patternFill>
    </fill>
    <fill>
      <patternFill patternType="solid">
        <fgColor rgb="FF4472C4"/>
      </patternFill>
    </fill>
    <fill>
      <patternFill patternType="solid">
        <fgColor rgb="FFED7D31"/>
      </patternFill>
    </fill>
    <fill>
      <patternFill patternType="solid">
        <fgColor rgb="FF70AD47"/>
      </patternFill>
    </fill>
    <fill>
      <patternFill patternType="solid">
        <fgColor rgb="FFA5A5A5"/>
      </patternFill>
    </fill>
    <fill>
      <patternFill patternType="solid">
        <fgColor rgb="FFFFC000"/>
      </patternFill>
    </fill>
    <fill>
      <patternFill patternType="solid">
        <fgColor rgb="FF5B9BD5"/>
      </patternFill>
    </fill>
    <fill>
      <patternFill patternType="solid">
        <fgColor rgb="FFC55A11"/>
      </patternFill>
    </fill>
    <fill>
      <patternFill patternType="solid">
        <fgColor rgb="FF548235"/>
      </patternFill>
    </fill>
    <fill>
      <patternFill patternType="solid">
        <fgColor rgb="FF8064A2"/>
      </patternFill>
    </fill>
    <fill>
      <patternFill patternType="solid">
        <fgColor rgb="FF264478"/>
      </patternFill>
    </fill>
    <fill>
      <patternFill patternType="solid">
        <fgColor rgb="FF9E480E"/>
      </patternFill>
    </fill>
    <fill>
      <patternFill patternType="solid">
        <fgColor rgb="FF636363"/>
      </patternFill>
    </fill>
    <fill>
      <patternFill patternType="solid">
        <fgColor rgb="FFD9EAF7"/>
      </patternFill>
    </fill>
    <fill>
      <patternFill patternType="solid">
        <fgColor rgb="FF1F4E78"/>
      </patternFill>
    </fill>
    <fill>
      <patternFill patternType="solid">
        <fgColor rgb="FFD9EAF7"/>
      </patternFill>
    </fill>
    <fill>
      <patternFill patternType="solid">
        <fgColor rgb="FFE2F0D9"/>
      </patternFill>
    </fill>
    <fill>
      <patternFill patternType="solid">
        <fgColor rgb="FFFFF2CC"/>
      </patternFill>
    </fill>
    <fill>
      <patternFill patternType="solid">
        <fgColor rgb="FFFCE4D6"/>
      </patternFill>
    </fill>
    <fill>
      <patternFill patternType="solid">
        <fgColor rgb="FFE4DFEC"/>
      </patternFill>
    </fill>
    <fill>
      <patternFill patternType="solid">
        <fgColor rgb="FFDDEBF7"/>
      </patternFill>
    </fill>
  </fills>
  <borders count="2">
    <border>
      <left/>
      <right/>
      <top/>
      <bottom/>
      <diagonal/>
    </border>
    <border>
      <left style="thin">
        <color rgb="FFB7C9D6"/>
      </left>
      <right style="thin">
        <color rgb="FFB7C9D6"/>
      </right>
      <top style="thin">
        <color rgb="FFB7C9D6"/>
      </top>
      <bottom style="thin">
        <color rgb="FFB7C9D6"/>
      </bottom>
      <diagonal/>
    </border>
  </borders>
  <cellStyleXfs count="1">
    <xf numFmtId="0" fontId="0" fillId="0" borderId="0"/>
  </cellStyleXfs>
  <cellXfs count="45">
    <xf numFmtId="0" fontId="0" fillId="0" borderId="0" xfId="0"/>
    <xf numFmtId="2" fontId="0" fillId="0" borderId="0" xfId="0" applyNumberFormat="1"/>
    <xf numFmtId="164" fontId="0" fillId="0" borderId="0" xfId="0" applyNumberFormat="1"/>
    <xf numFmtId="165" fontId="0" fillId="0" borderId="0" xfId="0" applyNumberFormat="1"/>
    <xf numFmtId="166" fontId="0" fillId="0" borderId="0" xfId="0" applyNumberFormat="1"/>
    <xf numFmtId="167" fontId="0" fillId="0" borderId="0" xfId="0" applyNumberFormat="1"/>
    <xf numFmtId="0" fontId="0" fillId="0" borderId="0" xfId="0" applyAlignment="1">
      <alignment horizontal="right" vertical="top"/>
    </xf>
    <xf numFmtId="0" fontId="1" fillId="0" borderId="0" xfId="0" applyFont="1"/>
    <xf numFmtId="0" fontId="3" fillId="0" borderId="0" xfId="0" applyFont="1" applyAlignment="1">
      <alignment horizontal="left"/>
    </xf>
    <xf numFmtId="167" fontId="4" fillId="0" borderId="0" xfId="0" applyNumberFormat="1" applyFont="1" applyAlignment="1">
      <alignment horizontal="left"/>
    </xf>
    <xf numFmtId="0" fontId="4" fillId="0" borderId="0" xfId="0" applyFont="1" applyAlignment="1">
      <alignment horizontal="left"/>
    </xf>
    <xf numFmtId="0" fontId="5" fillId="0" borderId="0" xfId="0" applyFont="1" applyAlignment="1">
      <alignment horizontal="left" vertical="center"/>
    </xf>
    <xf numFmtId="0" fontId="0" fillId="3" borderId="0" xfId="0" applyFill="1"/>
    <xf numFmtId="0" fontId="5" fillId="0" borderId="0" xfId="0" applyFont="1" applyAlignment="1">
      <alignment horizontal="center"/>
    </xf>
    <xf numFmtId="0" fontId="0" fillId="4" borderId="0" xfId="0" applyFill="1"/>
    <xf numFmtId="0" fontId="0" fillId="5" borderId="0" xfId="0" applyFill="1"/>
    <xf numFmtId="0" fontId="0" fillId="6" borderId="0" xfId="0" applyFill="1"/>
    <xf numFmtId="0" fontId="0" fillId="7" borderId="0" xfId="0" applyFill="1"/>
    <xf numFmtId="0" fontId="0" fillId="8" borderId="0" xfId="0" applyFill="1"/>
    <xf numFmtId="0" fontId="0" fillId="9" borderId="0" xfId="0" applyFill="1"/>
    <xf numFmtId="0" fontId="0" fillId="10" borderId="0" xfId="0" applyFill="1"/>
    <xf numFmtId="0" fontId="0" fillId="11" borderId="0" xfId="0" applyFill="1"/>
    <xf numFmtId="0" fontId="0" fillId="12" borderId="0" xfId="0" applyFill="1"/>
    <xf numFmtId="0" fontId="0" fillId="13" borderId="0" xfId="0" applyFill="1"/>
    <xf numFmtId="0" fontId="0" fillId="14" borderId="0" xfId="0" applyFill="1"/>
    <xf numFmtId="0" fontId="0" fillId="15" borderId="0" xfId="0" applyFill="1"/>
    <xf numFmtId="0" fontId="5" fillId="0" borderId="0" xfId="0" applyFont="1"/>
    <xf numFmtId="0" fontId="8" fillId="16" borderId="1" xfId="0" applyFont="1" applyFill="1" applyBorder="1" applyAlignment="1">
      <alignment horizontal="center" vertical="center" wrapText="1"/>
    </xf>
    <xf numFmtId="0" fontId="9" fillId="17" borderId="1" xfId="0" applyFont="1" applyFill="1" applyBorder="1" applyAlignment="1">
      <alignment vertical="top" wrapText="1"/>
    </xf>
    <xf numFmtId="0" fontId="0" fillId="17" borderId="1" xfId="0" applyFill="1" applyBorder="1" applyAlignment="1">
      <alignment vertical="top" wrapText="1"/>
    </xf>
    <xf numFmtId="0" fontId="9" fillId="18" borderId="1" xfId="0" applyFont="1" applyFill="1" applyBorder="1" applyAlignment="1">
      <alignment vertical="top" wrapText="1"/>
    </xf>
    <xf numFmtId="0" fontId="0" fillId="18" borderId="1" xfId="0" applyFill="1" applyBorder="1" applyAlignment="1">
      <alignment vertical="top" wrapText="1"/>
    </xf>
    <xf numFmtId="0" fontId="9" fillId="19" borderId="1" xfId="0" applyFont="1" applyFill="1" applyBorder="1" applyAlignment="1">
      <alignment vertical="top" wrapText="1"/>
    </xf>
    <xf numFmtId="0" fontId="0" fillId="19" borderId="1" xfId="0" applyFill="1" applyBorder="1" applyAlignment="1">
      <alignment vertical="top" wrapText="1"/>
    </xf>
    <xf numFmtId="0" fontId="9" fillId="20" borderId="1" xfId="0" applyFont="1" applyFill="1" applyBorder="1" applyAlignment="1">
      <alignment vertical="top" wrapText="1"/>
    </xf>
    <xf numFmtId="0" fontId="0" fillId="20" borderId="1" xfId="0" applyFill="1" applyBorder="1" applyAlignment="1">
      <alignment vertical="top" wrapText="1"/>
    </xf>
    <xf numFmtId="0" fontId="9" fillId="21" borderId="1" xfId="0" applyFont="1" applyFill="1" applyBorder="1" applyAlignment="1">
      <alignment vertical="top" wrapText="1"/>
    </xf>
    <xf numFmtId="0" fontId="0" fillId="21" borderId="1" xfId="0" applyFill="1" applyBorder="1" applyAlignment="1">
      <alignment vertical="top" wrapText="1"/>
    </xf>
    <xf numFmtId="0" fontId="9" fillId="22" borderId="1" xfId="0" applyFont="1" applyFill="1" applyBorder="1" applyAlignment="1">
      <alignment vertical="top" wrapText="1"/>
    </xf>
    <xf numFmtId="0" fontId="0" fillId="22" borderId="1" xfId="0" applyFill="1" applyBorder="1" applyAlignment="1">
      <alignment vertical="top" wrapText="1"/>
    </xf>
    <xf numFmtId="0" fontId="0" fillId="0" borderId="0" xfId="0" applyAlignment="1">
      <alignment vertical="top" wrapText="1"/>
    </xf>
    <xf numFmtId="0" fontId="0" fillId="0" borderId="0" xfId="0"/>
    <xf numFmtId="0" fontId="7" fillId="0" borderId="0" xfId="0" applyFont="1"/>
    <xf numFmtId="0" fontId="6" fillId="2" borderId="0" xfId="0" applyFont="1" applyFill="1" applyAlignment="1">
      <alignment horizontal="left" vertical="center"/>
    </xf>
    <xf numFmtId="0" fontId="2" fillId="2" borderId="0" xfId="0" applyFont="1" applyFill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>
              <a:defRPr/>
            </a:pPr>
            <a:r>
              <a:rPr lang="en-US"/>
              <a:t>Monthly Spending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_AnalyticsData!$C$2</c:f>
              <c:strCache>
                <c:ptCount val="1"/>
                <c:pt idx="0">
                  <c:v>Spending</c:v>
                </c:pt>
              </c:strCache>
            </c:strRef>
          </c:tx>
          <c:spPr>
            <a:ln w="28575">
              <a:solidFill>
                <a:srgbClr val="4472C4"/>
              </a:solidFill>
              <a:prstDash val="solid"/>
            </a:ln>
          </c:spPr>
          <c:marker>
            <c:symbol val="circle"/>
            <c:size val="7"/>
            <c:spPr>
              <a:ln>
                <a:prstDash val="solid"/>
              </a:ln>
            </c:spPr>
          </c:marker>
          <c:cat>
            <c:numRef>
              <c:f>_AnalyticsData!$A$3</c:f>
              <c:numCache>
                <c:formatCode>General</c:formatCode>
                <c:ptCount val="1"/>
                <c:pt idx="0">
                  <c:v>1</c:v>
                </c:pt>
              </c:numCache>
            </c:numRef>
          </c:cat>
          <c:val>
            <c:numRef>
              <c:f>_AnalyticsData!$C$3</c:f>
              <c:numCache>
                <c:formatCode>\$#,##0.00</c:formatCode>
                <c:ptCount val="1"/>
                <c:pt idx="0">
                  <c:v>899.73000000000047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3C3E-9447-AE7E-4828BA8F9D1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"/>
        <c:axId val="100"/>
      </c:lineChart>
      <c:cat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Month Number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Spending ($)</a:t>
                </a:r>
              </a:p>
            </c:rich>
          </c:tx>
          <c:overlay val="1"/>
        </c:title>
        <c:numFmt formatCode="\$#,##0.00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>
              <a:defRPr/>
            </a:pPr>
            <a:r>
              <a:rPr lang="en-US"/>
              <a:t>Spending by Category</a:t>
            </a:r>
          </a:p>
        </c:rich>
      </c:tx>
      <c:overlay val="1"/>
    </c:title>
    <c:autoTitleDeleted val="0"/>
    <c:plotArea>
      <c:layout/>
      <c:barChart>
        <c:barDir val="bar"/>
        <c:grouping val="clustered"/>
        <c:varyColors val="1"/>
        <c:ser>
          <c:idx val="0"/>
          <c:order val="0"/>
          <c:tx>
            <c:strRef>
              <c:f>_AnalyticsData!$G$2</c:f>
              <c:strCache>
                <c:ptCount val="1"/>
                <c:pt idx="0">
                  <c:v>Spending</c:v>
                </c:pt>
              </c:strCache>
            </c:strRef>
          </c:tx>
          <c:spPr>
            <a:ln>
              <a:prstDash val="solid"/>
            </a:ln>
          </c:spPr>
          <c:invertIfNegative val="1"/>
          <c:dPt>
            <c:idx val="0"/>
            <c:invertIfNegative val="1"/>
            <c:bubble3D val="0"/>
            <c:spPr>
              <a:solidFill>
                <a:srgbClr val="4472C4"/>
              </a:solidFill>
              <a:ln>
                <a:solidFill>
                  <a:srgbClr val="4472C4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1-1DB4-9F4A-AC10-62AD8FA6B9C0}"/>
              </c:ext>
            </c:extLst>
          </c:dPt>
          <c:dPt>
            <c:idx val="1"/>
            <c:invertIfNegative val="1"/>
            <c:bubble3D val="0"/>
            <c: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3-1DB4-9F4A-AC10-62AD8FA6B9C0}"/>
              </c:ext>
            </c:extLst>
          </c:dPt>
          <c:dPt>
            <c:idx val="2"/>
            <c:invertIfNegative val="1"/>
            <c:bubble3D val="0"/>
            <c:spPr>
              <a:solidFill>
                <a:srgbClr val="70AD47"/>
              </a:solidFill>
              <a:ln>
                <a:solidFill>
                  <a:srgbClr val="70AD47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5-1DB4-9F4A-AC10-62AD8FA6B9C0}"/>
              </c:ext>
            </c:extLst>
          </c:dPt>
          <c:dPt>
            <c:idx val="3"/>
            <c:invertIfNegative val="1"/>
            <c:bubble3D val="0"/>
            <c:spPr>
              <a:solidFill>
                <a:srgbClr val="A5A5A5"/>
              </a:solidFill>
              <a:ln>
                <a:solidFill>
                  <a:srgbClr val="A5A5A5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7-1DB4-9F4A-AC10-62AD8FA6B9C0}"/>
              </c:ext>
            </c:extLst>
          </c:dPt>
          <c:dPt>
            <c:idx val="4"/>
            <c:invertIfNegative val="1"/>
            <c:bubble3D val="0"/>
            <c:spPr>
              <a:solidFill>
                <a:srgbClr val="FFC000"/>
              </a:solidFill>
              <a:ln>
                <a:solidFill>
                  <a:srgbClr val="FFC000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9-1DB4-9F4A-AC10-62AD8FA6B9C0}"/>
              </c:ext>
            </c:extLst>
          </c:dPt>
          <c:dPt>
            <c:idx val="5"/>
            <c:invertIfNegative val="1"/>
            <c:bubble3D val="0"/>
            <c:spPr>
              <a:solidFill>
                <a:srgbClr val="5B9BD5"/>
              </a:solidFill>
              <a:ln>
                <a:solidFill>
                  <a:srgbClr val="5B9BD5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B-1DB4-9F4A-AC10-62AD8FA6B9C0}"/>
              </c:ext>
            </c:extLst>
          </c:dPt>
          <c:dPt>
            <c:idx val="6"/>
            <c:invertIfNegative val="1"/>
            <c:bubble3D val="0"/>
            <c:spPr>
              <a:solidFill>
                <a:srgbClr val="C55A11"/>
              </a:solidFill>
              <a:ln>
                <a:solidFill>
                  <a:srgbClr val="C55A1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D-1DB4-9F4A-AC10-62AD8FA6B9C0}"/>
              </c:ext>
            </c:extLst>
          </c:dPt>
          <c:dPt>
            <c:idx val="7"/>
            <c:invertIfNegative val="1"/>
            <c:bubble3D val="0"/>
            <c:spPr>
              <a:solidFill>
                <a:srgbClr val="548235"/>
              </a:solidFill>
              <a:ln>
                <a:solidFill>
                  <a:srgbClr val="548235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F-1DB4-9F4A-AC10-62AD8FA6B9C0}"/>
              </c:ext>
            </c:extLst>
          </c:dPt>
          <c:dPt>
            <c:idx val="8"/>
            <c:invertIfNegative val="1"/>
            <c:bubble3D val="0"/>
            <c:spPr>
              <a:solidFill>
                <a:srgbClr val="8064A2"/>
              </a:solidFill>
              <a:ln>
                <a:solidFill>
                  <a:srgbClr val="8064A2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1-1DB4-9F4A-AC10-62AD8FA6B9C0}"/>
              </c:ext>
            </c:extLst>
          </c:dPt>
          <c:dPt>
            <c:idx val="9"/>
            <c:invertIfNegative val="1"/>
            <c:bubble3D val="0"/>
            <c:spPr>
              <a:solidFill>
                <a:srgbClr val="264478"/>
              </a:solidFill>
              <a:ln>
                <a:solidFill>
                  <a:srgbClr val="264478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3-1DB4-9F4A-AC10-62AD8FA6B9C0}"/>
              </c:ext>
            </c:extLst>
          </c:dPt>
          <c:dPt>
            <c:idx val="10"/>
            <c:invertIfNegative val="1"/>
            <c:bubble3D val="0"/>
            <c:spPr>
              <a:solidFill>
                <a:srgbClr val="9E480E"/>
              </a:solidFill>
              <a:ln>
                <a:solidFill>
                  <a:srgbClr val="9E480E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5-1DB4-9F4A-AC10-62AD8FA6B9C0}"/>
              </c:ext>
            </c:extLst>
          </c:dPt>
          <c:dPt>
            <c:idx val="11"/>
            <c:invertIfNegative val="1"/>
            <c:bubble3D val="0"/>
            <c:spPr>
              <a:solidFill>
                <a:srgbClr val="636363"/>
              </a:solidFill>
              <a:ln>
                <a:solidFill>
                  <a:srgbClr val="636363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7-1DB4-9F4A-AC10-62AD8FA6B9C0}"/>
              </c:ext>
            </c:extLst>
          </c:dPt>
          <c:dPt>
            <c:idx val="12"/>
            <c:invertIfNegative val="1"/>
            <c:bubble3D val="0"/>
            <c:spPr>
              <a:solidFill>
                <a:srgbClr val="4472C4"/>
              </a:solidFill>
              <a:ln>
                <a:solidFill>
                  <a:srgbClr val="4472C4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9-1DB4-9F4A-AC10-62AD8FA6B9C0}"/>
              </c:ext>
            </c:extLst>
          </c:dPt>
          <c:dPt>
            <c:idx val="13"/>
            <c:invertIfNegative val="1"/>
            <c:bubble3D val="0"/>
            <c: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B-1DB4-9F4A-AC10-62AD8FA6B9C0}"/>
              </c:ext>
            </c:extLst>
          </c:dPt>
          <c:dPt>
            <c:idx val="14"/>
            <c:invertIfNegative val="1"/>
            <c:bubble3D val="0"/>
            <c:spPr>
              <a:solidFill>
                <a:srgbClr val="70AD47"/>
              </a:solidFill>
              <a:ln>
                <a:solidFill>
                  <a:srgbClr val="70AD47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D-1DB4-9F4A-AC10-62AD8FA6B9C0}"/>
              </c:ext>
            </c:extLst>
          </c:dPt>
          <c:dPt>
            <c:idx val="15"/>
            <c:invertIfNegative val="1"/>
            <c:bubble3D val="0"/>
            <c:spPr>
              <a:solidFill>
                <a:srgbClr val="A5A5A5"/>
              </a:solidFill>
              <a:ln>
                <a:solidFill>
                  <a:srgbClr val="A5A5A5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F-1DB4-9F4A-AC10-62AD8FA6B9C0}"/>
              </c:ext>
            </c:extLst>
          </c:dPt>
          <c:dPt>
            <c:idx val="16"/>
            <c:invertIfNegative val="1"/>
            <c:bubble3D val="0"/>
            <c:spPr>
              <a:solidFill>
                <a:srgbClr val="FFC000"/>
              </a:solidFill>
              <a:ln>
                <a:solidFill>
                  <a:srgbClr val="FFC000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21-1DB4-9F4A-AC10-62AD8FA6B9C0}"/>
              </c:ext>
            </c:extLst>
          </c:dPt>
          <c:dPt>
            <c:idx val="17"/>
            <c:invertIfNegative val="1"/>
            <c:bubble3D val="0"/>
            <c:spPr>
              <a:solidFill>
                <a:srgbClr val="5B9BD5"/>
              </a:solidFill>
              <a:ln>
                <a:solidFill>
                  <a:srgbClr val="5B9BD5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23-1DB4-9F4A-AC10-62AD8FA6B9C0}"/>
              </c:ext>
            </c:extLst>
          </c:dPt>
          <c:dPt>
            <c:idx val="18"/>
            <c:invertIfNegative val="1"/>
            <c:bubble3D val="0"/>
            <c:spPr>
              <a:solidFill>
                <a:srgbClr val="C55A11"/>
              </a:solidFill>
              <a:ln>
                <a:solidFill>
                  <a:srgbClr val="C55A1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25-1DB4-9F4A-AC10-62AD8FA6B9C0}"/>
              </c:ext>
            </c:extLst>
          </c:dPt>
          <c:dPt>
            <c:idx val="19"/>
            <c:invertIfNegative val="1"/>
            <c:bubble3D val="0"/>
            <c:spPr>
              <a:solidFill>
                <a:srgbClr val="548235"/>
              </a:solidFill>
              <a:ln>
                <a:solidFill>
                  <a:srgbClr val="548235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27-1DB4-9F4A-AC10-62AD8FA6B9C0}"/>
              </c:ext>
            </c:extLst>
          </c:dPt>
          <c:dPt>
            <c:idx val="20"/>
            <c:invertIfNegative val="1"/>
            <c:bubble3D val="0"/>
            <c:spPr>
              <a:solidFill>
                <a:srgbClr val="8064A2"/>
              </a:solidFill>
              <a:ln>
                <a:solidFill>
                  <a:srgbClr val="8064A2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29-1DB4-9F4A-AC10-62AD8FA6B9C0}"/>
              </c:ext>
            </c:extLst>
          </c:dPt>
          <c:dPt>
            <c:idx val="21"/>
            <c:invertIfNegative val="1"/>
            <c:bubble3D val="0"/>
            <c:spPr>
              <a:solidFill>
                <a:srgbClr val="264478"/>
              </a:solidFill>
              <a:ln>
                <a:solidFill>
                  <a:srgbClr val="264478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2B-1DB4-9F4A-AC10-62AD8FA6B9C0}"/>
              </c:ext>
            </c:extLst>
          </c:dPt>
          <c:dPt>
            <c:idx val="22"/>
            <c:invertIfNegative val="1"/>
            <c:bubble3D val="0"/>
            <c:spPr>
              <a:solidFill>
                <a:srgbClr val="9E480E"/>
              </a:solidFill>
              <a:ln>
                <a:solidFill>
                  <a:srgbClr val="9E480E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2D-1DB4-9F4A-AC10-62AD8FA6B9C0}"/>
              </c:ext>
            </c:extLst>
          </c:dPt>
          <c:dPt>
            <c:idx val="23"/>
            <c:invertIfNegative val="1"/>
            <c:bubble3D val="0"/>
            <c:spPr>
              <a:solidFill>
                <a:srgbClr val="636363"/>
              </a:solidFill>
              <a:ln>
                <a:solidFill>
                  <a:srgbClr val="636363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2F-1DB4-9F4A-AC10-62AD8FA6B9C0}"/>
              </c:ext>
            </c:extLst>
          </c:dPt>
          <c:dPt>
            <c:idx val="24"/>
            <c:invertIfNegative val="1"/>
            <c:bubble3D val="0"/>
            <c:spPr>
              <a:solidFill>
                <a:srgbClr val="4472C4"/>
              </a:solidFill>
              <a:ln>
                <a:solidFill>
                  <a:srgbClr val="4472C4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31-1DB4-9F4A-AC10-62AD8FA6B9C0}"/>
              </c:ext>
            </c:extLst>
          </c:dPt>
          <c:dPt>
            <c:idx val="25"/>
            <c:invertIfNegative val="1"/>
            <c:bubble3D val="0"/>
            <c: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33-1DB4-9F4A-AC10-62AD8FA6B9C0}"/>
              </c:ext>
            </c:extLst>
          </c:dPt>
          <c:dPt>
            <c:idx val="26"/>
            <c:invertIfNegative val="1"/>
            <c:bubble3D val="0"/>
            <c:spPr>
              <a:solidFill>
                <a:srgbClr val="70AD47"/>
              </a:solidFill>
              <a:ln>
                <a:solidFill>
                  <a:srgbClr val="70AD47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35-1DB4-9F4A-AC10-62AD8FA6B9C0}"/>
              </c:ext>
            </c:extLst>
          </c:dPt>
          <c:dPt>
            <c:idx val="27"/>
            <c:invertIfNegative val="1"/>
            <c:bubble3D val="0"/>
            <c:spPr>
              <a:solidFill>
                <a:srgbClr val="A5A5A5"/>
              </a:solidFill>
              <a:ln>
                <a:solidFill>
                  <a:srgbClr val="A5A5A5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37-1DB4-9F4A-AC10-62AD8FA6B9C0}"/>
              </c:ext>
            </c:extLst>
          </c:dPt>
          <c:dPt>
            <c:idx val="28"/>
            <c:invertIfNegative val="1"/>
            <c:bubble3D val="0"/>
            <c:spPr>
              <a:solidFill>
                <a:srgbClr val="FFC000"/>
              </a:solidFill>
              <a:ln>
                <a:solidFill>
                  <a:srgbClr val="FFC000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39-1DB4-9F4A-AC10-62AD8FA6B9C0}"/>
              </c:ext>
            </c:extLst>
          </c:dPt>
          <c:dPt>
            <c:idx val="29"/>
            <c:invertIfNegative val="1"/>
            <c:bubble3D val="0"/>
            <c:spPr>
              <a:solidFill>
                <a:srgbClr val="5B9BD5"/>
              </a:solidFill>
              <a:ln>
                <a:solidFill>
                  <a:srgbClr val="5B9BD5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3B-1DB4-9F4A-AC10-62AD8FA6B9C0}"/>
              </c:ext>
            </c:extLst>
          </c:dPt>
          <c:dPt>
            <c:idx val="30"/>
            <c:invertIfNegative val="1"/>
            <c:bubble3D val="0"/>
            <c:spPr>
              <a:solidFill>
                <a:srgbClr val="C55A11"/>
              </a:solidFill>
              <a:ln>
                <a:solidFill>
                  <a:srgbClr val="C55A1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3D-1DB4-9F4A-AC10-62AD8FA6B9C0}"/>
              </c:ext>
            </c:extLst>
          </c:dPt>
          <c:dPt>
            <c:idx val="31"/>
            <c:invertIfNegative val="1"/>
            <c:bubble3D val="0"/>
            <c:spPr>
              <a:solidFill>
                <a:srgbClr val="548235"/>
              </a:solidFill>
              <a:ln>
                <a:solidFill>
                  <a:srgbClr val="548235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3F-1DB4-9F4A-AC10-62AD8FA6B9C0}"/>
              </c:ext>
            </c:extLst>
          </c:dPt>
          <c:dPt>
            <c:idx val="32"/>
            <c:invertIfNegative val="1"/>
            <c:bubble3D val="0"/>
            <c:spPr>
              <a:solidFill>
                <a:srgbClr val="8064A2"/>
              </a:solidFill>
              <a:ln>
                <a:solidFill>
                  <a:srgbClr val="8064A2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41-1DB4-9F4A-AC10-62AD8FA6B9C0}"/>
              </c:ext>
            </c:extLst>
          </c:dPt>
          <c:dPt>
            <c:idx val="33"/>
            <c:invertIfNegative val="1"/>
            <c:bubble3D val="0"/>
            <c:spPr>
              <a:solidFill>
                <a:srgbClr val="264478"/>
              </a:solidFill>
              <a:ln>
                <a:solidFill>
                  <a:srgbClr val="264478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43-1DB4-9F4A-AC10-62AD8FA6B9C0}"/>
              </c:ext>
            </c:extLst>
          </c:dPt>
          <c:dPt>
            <c:idx val="34"/>
            <c:invertIfNegative val="1"/>
            <c:bubble3D val="0"/>
            <c:spPr>
              <a:solidFill>
                <a:srgbClr val="9E480E"/>
              </a:solidFill>
              <a:ln>
                <a:solidFill>
                  <a:srgbClr val="9E480E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45-1DB4-9F4A-AC10-62AD8FA6B9C0}"/>
              </c:ext>
            </c:extLst>
          </c:dPt>
          <c:dPt>
            <c:idx val="35"/>
            <c:invertIfNegative val="1"/>
            <c:bubble3D val="0"/>
            <c:spPr>
              <a:solidFill>
                <a:srgbClr val="636363"/>
              </a:solidFill>
              <a:ln>
                <a:solidFill>
                  <a:srgbClr val="636363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47-1DB4-9F4A-AC10-62AD8FA6B9C0}"/>
              </c:ext>
            </c:extLst>
          </c:dPt>
          <c:dPt>
            <c:idx val="36"/>
            <c:invertIfNegative val="1"/>
            <c:bubble3D val="0"/>
            <c:spPr>
              <a:solidFill>
                <a:srgbClr val="4472C4"/>
              </a:solidFill>
              <a:ln>
                <a:solidFill>
                  <a:srgbClr val="4472C4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49-1DB4-9F4A-AC10-62AD8FA6B9C0}"/>
              </c:ext>
            </c:extLst>
          </c:dPt>
          <c:dPt>
            <c:idx val="37"/>
            <c:invertIfNegative val="1"/>
            <c:bubble3D val="0"/>
            <c: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4B-1DB4-9F4A-AC10-62AD8FA6B9C0}"/>
              </c:ext>
            </c:extLst>
          </c:dPt>
          <c:dPt>
            <c:idx val="38"/>
            <c:invertIfNegative val="1"/>
            <c:bubble3D val="0"/>
            <c:spPr>
              <a:solidFill>
                <a:srgbClr val="70AD47"/>
              </a:solidFill>
              <a:ln>
                <a:solidFill>
                  <a:srgbClr val="70AD47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4D-1DB4-9F4A-AC10-62AD8FA6B9C0}"/>
              </c:ext>
            </c:extLst>
          </c:dPt>
          <c:dPt>
            <c:idx val="39"/>
            <c:invertIfNegative val="1"/>
            <c:bubble3D val="0"/>
            <c:spPr>
              <a:solidFill>
                <a:srgbClr val="A5A5A5"/>
              </a:solidFill>
              <a:ln>
                <a:solidFill>
                  <a:srgbClr val="A5A5A5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4F-1DB4-9F4A-AC10-62AD8FA6B9C0}"/>
              </c:ext>
            </c:extLst>
          </c:dPt>
          <c:dPt>
            <c:idx val="40"/>
            <c:invertIfNegative val="1"/>
            <c:bubble3D val="0"/>
            <c:spPr>
              <a:solidFill>
                <a:srgbClr val="FFC000"/>
              </a:solidFill>
              <a:ln>
                <a:solidFill>
                  <a:srgbClr val="FFC000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51-1DB4-9F4A-AC10-62AD8FA6B9C0}"/>
              </c:ext>
            </c:extLst>
          </c:dPt>
          <c:dPt>
            <c:idx val="41"/>
            <c:invertIfNegative val="1"/>
            <c:bubble3D val="0"/>
            <c:spPr>
              <a:solidFill>
                <a:srgbClr val="5B9BD5"/>
              </a:solidFill>
              <a:ln>
                <a:solidFill>
                  <a:srgbClr val="5B9BD5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53-1DB4-9F4A-AC10-62AD8FA6B9C0}"/>
              </c:ext>
            </c:extLst>
          </c:dPt>
          <c:dPt>
            <c:idx val="42"/>
            <c:invertIfNegative val="1"/>
            <c:bubble3D val="0"/>
            <c:spPr>
              <a:solidFill>
                <a:srgbClr val="C55A11"/>
              </a:solidFill>
              <a:ln>
                <a:solidFill>
                  <a:srgbClr val="C55A1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55-1DB4-9F4A-AC10-62AD8FA6B9C0}"/>
              </c:ext>
            </c:extLst>
          </c:dPt>
          <c:dPt>
            <c:idx val="43"/>
            <c:invertIfNegative val="1"/>
            <c:bubble3D val="0"/>
            <c:spPr>
              <a:solidFill>
                <a:srgbClr val="548235"/>
              </a:solidFill>
              <a:ln>
                <a:solidFill>
                  <a:srgbClr val="548235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57-1DB4-9F4A-AC10-62AD8FA6B9C0}"/>
              </c:ext>
            </c:extLst>
          </c:dPt>
          <c:dPt>
            <c:idx val="44"/>
            <c:invertIfNegative val="1"/>
            <c:bubble3D val="0"/>
            <c:spPr>
              <a:solidFill>
                <a:srgbClr val="8064A2"/>
              </a:solidFill>
              <a:ln>
                <a:solidFill>
                  <a:srgbClr val="8064A2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59-1DB4-9F4A-AC10-62AD8FA6B9C0}"/>
              </c:ext>
            </c:extLst>
          </c:dPt>
          <c:dPt>
            <c:idx val="45"/>
            <c:invertIfNegative val="1"/>
            <c:bubble3D val="0"/>
            <c:spPr>
              <a:solidFill>
                <a:srgbClr val="264478"/>
              </a:solidFill>
              <a:ln>
                <a:solidFill>
                  <a:srgbClr val="264478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5B-1DB4-9F4A-AC10-62AD8FA6B9C0}"/>
              </c:ext>
            </c:extLst>
          </c:dPt>
          <c:dPt>
            <c:idx val="46"/>
            <c:invertIfNegative val="1"/>
            <c:bubble3D val="0"/>
            <c:spPr>
              <a:solidFill>
                <a:srgbClr val="9E480E"/>
              </a:solidFill>
              <a:ln>
                <a:solidFill>
                  <a:srgbClr val="9E480E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5D-1DB4-9F4A-AC10-62AD8FA6B9C0}"/>
              </c:ext>
            </c:extLst>
          </c:dPt>
          <c:dPt>
            <c:idx val="47"/>
            <c:invertIfNegative val="1"/>
            <c:bubble3D val="0"/>
            <c:spPr>
              <a:solidFill>
                <a:srgbClr val="636363"/>
              </a:solidFill>
              <a:ln>
                <a:solidFill>
                  <a:srgbClr val="636363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5F-1DB4-9F4A-AC10-62AD8FA6B9C0}"/>
              </c:ext>
            </c:extLst>
          </c:dPt>
          <c:dPt>
            <c:idx val="48"/>
            <c:invertIfNegative val="1"/>
            <c:bubble3D val="0"/>
            <c:spPr>
              <a:solidFill>
                <a:srgbClr val="4472C4"/>
              </a:solidFill>
              <a:ln>
                <a:solidFill>
                  <a:srgbClr val="4472C4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61-1DB4-9F4A-AC10-62AD8FA6B9C0}"/>
              </c:ext>
            </c:extLst>
          </c:dPt>
          <c:dPt>
            <c:idx val="49"/>
            <c:invertIfNegative val="1"/>
            <c:bubble3D val="0"/>
            <c: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63-1DB4-9F4A-AC10-62AD8FA6B9C0}"/>
              </c:ext>
            </c:extLst>
          </c:dPt>
          <c:dPt>
            <c:idx val="50"/>
            <c:invertIfNegative val="1"/>
            <c:bubble3D val="0"/>
            <c:spPr>
              <a:solidFill>
                <a:srgbClr val="70AD47"/>
              </a:solidFill>
              <a:ln>
                <a:solidFill>
                  <a:srgbClr val="70AD47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65-1DB4-9F4A-AC10-62AD8FA6B9C0}"/>
              </c:ext>
            </c:extLst>
          </c:dPt>
          <c:dPt>
            <c:idx val="51"/>
            <c:invertIfNegative val="1"/>
            <c:bubble3D val="0"/>
            <c:spPr>
              <a:solidFill>
                <a:srgbClr val="A5A5A5"/>
              </a:solidFill>
              <a:ln>
                <a:solidFill>
                  <a:srgbClr val="A5A5A5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67-1DB4-9F4A-AC10-62AD8FA6B9C0}"/>
              </c:ext>
            </c:extLst>
          </c:dPt>
          <c:dPt>
            <c:idx val="52"/>
            <c:invertIfNegative val="1"/>
            <c:bubble3D val="0"/>
            <c:spPr>
              <a:solidFill>
                <a:srgbClr val="FFC000"/>
              </a:solidFill>
              <a:ln>
                <a:solidFill>
                  <a:srgbClr val="FFC000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69-1DB4-9F4A-AC10-62AD8FA6B9C0}"/>
              </c:ext>
            </c:extLst>
          </c:dPt>
          <c:dPt>
            <c:idx val="53"/>
            <c:invertIfNegative val="1"/>
            <c:bubble3D val="0"/>
            <c:spPr>
              <a:solidFill>
                <a:srgbClr val="5B9BD5"/>
              </a:solidFill>
              <a:ln>
                <a:solidFill>
                  <a:srgbClr val="5B9BD5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6B-1DB4-9F4A-AC10-62AD8FA6B9C0}"/>
              </c:ext>
            </c:extLst>
          </c:dPt>
          <c:dPt>
            <c:idx val="54"/>
            <c:invertIfNegative val="1"/>
            <c:bubble3D val="0"/>
            <c:spPr>
              <a:solidFill>
                <a:srgbClr val="C55A11"/>
              </a:solidFill>
              <a:ln>
                <a:solidFill>
                  <a:srgbClr val="C55A1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6D-1DB4-9F4A-AC10-62AD8FA6B9C0}"/>
              </c:ext>
            </c:extLst>
          </c:dPt>
          <c:dPt>
            <c:idx val="55"/>
            <c:invertIfNegative val="1"/>
            <c:bubble3D val="0"/>
            <c:spPr>
              <a:solidFill>
                <a:srgbClr val="548235"/>
              </a:solidFill>
              <a:ln>
                <a:solidFill>
                  <a:srgbClr val="548235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6F-1DB4-9F4A-AC10-62AD8FA6B9C0}"/>
              </c:ext>
            </c:extLst>
          </c:dPt>
          <c:dPt>
            <c:idx val="56"/>
            <c:invertIfNegative val="1"/>
            <c:bubble3D val="0"/>
            <c:spPr>
              <a:solidFill>
                <a:srgbClr val="8064A2"/>
              </a:solidFill>
              <a:ln>
                <a:solidFill>
                  <a:srgbClr val="8064A2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71-1DB4-9F4A-AC10-62AD8FA6B9C0}"/>
              </c:ext>
            </c:extLst>
          </c:dPt>
          <c:dLbls>
            <c:spPr>
              <a:noFill/>
              <a:ln>
                <a:noFill/>
                <a:prstDash val="solid"/>
              </a:ln>
            </c:spPr>
            <c:showLegendKey val="1"/>
            <c:showVal val="1"/>
            <c:showCatName val="1"/>
            <c:showSerName val="1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_AnalyticsData!$E$3:$E$59</c:f>
              <c:numCache>
                <c:formatCode>General</c:formatCode>
                <c:ptCount val="57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</c:numCache>
            </c:numRef>
          </c:cat>
          <c:val>
            <c:numRef>
              <c:f>_AnalyticsData!$G$3:$G$59</c:f>
              <c:numCache>
                <c:formatCode>\$#,##0.00</c:formatCode>
                <c:ptCount val="57"/>
                <c:pt idx="0">
                  <c:v>136.04</c:v>
                </c:pt>
                <c:pt idx="1">
                  <c:v>87.39</c:v>
                </c:pt>
                <c:pt idx="2">
                  <c:v>57.04999999999999</c:v>
                </c:pt>
                <c:pt idx="3">
                  <c:v>47.88</c:v>
                </c:pt>
                <c:pt idx="4">
                  <c:v>45.360000000000007</c:v>
                </c:pt>
                <c:pt idx="5">
                  <c:v>39.150000000000013</c:v>
                </c:pt>
                <c:pt idx="6">
                  <c:v>31.2</c:v>
                </c:pt>
                <c:pt idx="7">
                  <c:v>28.54</c:v>
                </c:pt>
                <c:pt idx="8">
                  <c:v>26.91</c:v>
                </c:pt>
                <c:pt idx="9">
                  <c:v>26.66</c:v>
                </c:pt>
                <c:pt idx="10">
                  <c:v>19.88</c:v>
                </c:pt>
                <c:pt idx="11">
                  <c:v>18.88</c:v>
                </c:pt>
                <c:pt idx="12">
                  <c:v>18.489999999999998</c:v>
                </c:pt>
                <c:pt idx="13">
                  <c:v>18.190000000000001</c:v>
                </c:pt>
                <c:pt idx="14">
                  <c:v>16.14</c:v>
                </c:pt>
                <c:pt idx="15">
                  <c:v>14.46</c:v>
                </c:pt>
                <c:pt idx="16">
                  <c:v>14.29</c:v>
                </c:pt>
                <c:pt idx="17">
                  <c:v>13.98</c:v>
                </c:pt>
                <c:pt idx="18">
                  <c:v>13.92</c:v>
                </c:pt>
                <c:pt idx="19">
                  <c:v>11.93</c:v>
                </c:pt>
                <c:pt idx="20">
                  <c:v>11.76</c:v>
                </c:pt>
                <c:pt idx="21">
                  <c:v>11</c:v>
                </c:pt>
                <c:pt idx="22">
                  <c:v>10.64</c:v>
                </c:pt>
                <c:pt idx="23">
                  <c:v>10</c:v>
                </c:pt>
                <c:pt idx="24">
                  <c:v>9.98</c:v>
                </c:pt>
                <c:pt idx="25">
                  <c:v>9.9499999999999993</c:v>
                </c:pt>
                <c:pt idx="26">
                  <c:v>9.76</c:v>
                </c:pt>
                <c:pt idx="27">
                  <c:v>8.2899999999999991</c:v>
                </c:pt>
                <c:pt idx="28">
                  <c:v>7.78</c:v>
                </c:pt>
                <c:pt idx="29">
                  <c:v>7.19</c:v>
                </c:pt>
                <c:pt idx="30">
                  <c:v>6.99</c:v>
                </c:pt>
                <c:pt idx="31">
                  <c:v>6.88</c:v>
                </c:pt>
                <c:pt idx="32">
                  <c:v>6.48</c:v>
                </c:pt>
                <c:pt idx="33">
                  <c:v>6.24</c:v>
                </c:pt>
                <c:pt idx="34">
                  <c:v>5.99</c:v>
                </c:pt>
                <c:pt idx="35">
                  <c:v>5.99</c:v>
                </c:pt>
                <c:pt idx="36">
                  <c:v>5.99</c:v>
                </c:pt>
                <c:pt idx="37">
                  <c:v>5.89</c:v>
                </c:pt>
                <c:pt idx="38">
                  <c:v>5.74</c:v>
                </c:pt>
                <c:pt idx="39">
                  <c:v>5.65</c:v>
                </c:pt>
                <c:pt idx="40">
                  <c:v>5.25</c:v>
                </c:pt>
                <c:pt idx="41">
                  <c:v>4.88</c:v>
                </c:pt>
                <c:pt idx="42">
                  <c:v>4.46</c:v>
                </c:pt>
                <c:pt idx="43">
                  <c:v>3.89</c:v>
                </c:pt>
                <c:pt idx="44">
                  <c:v>3.69</c:v>
                </c:pt>
                <c:pt idx="45">
                  <c:v>3.68</c:v>
                </c:pt>
                <c:pt idx="46">
                  <c:v>3.45</c:v>
                </c:pt>
                <c:pt idx="47">
                  <c:v>3.29</c:v>
                </c:pt>
                <c:pt idx="48">
                  <c:v>3.19</c:v>
                </c:pt>
                <c:pt idx="49">
                  <c:v>3.16</c:v>
                </c:pt>
                <c:pt idx="50">
                  <c:v>2.99</c:v>
                </c:pt>
                <c:pt idx="51">
                  <c:v>2.99</c:v>
                </c:pt>
                <c:pt idx="52">
                  <c:v>2.79</c:v>
                </c:pt>
                <c:pt idx="53">
                  <c:v>2.39</c:v>
                </c:pt>
                <c:pt idx="54">
                  <c:v>1.99</c:v>
                </c:pt>
                <c:pt idx="55">
                  <c:v>1.84</c:v>
                </c:pt>
                <c:pt idx="56">
                  <c:v>1.27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72-1DB4-9F4A-AC10-62AD8FA6B9C0}"/>
            </c:ext>
          </c:extLst>
        </c:ser>
        <c:dLbls>
          <c:showLegendKey val="1"/>
          <c:showVal val="1"/>
          <c:showCatName val="1"/>
          <c:showSerName val="1"/>
          <c:showPercent val="1"/>
          <c:showBubbleSize val="1"/>
        </c:dLbls>
        <c:gapWidth val="45"/>
        <c:axId val="10"/>
        <c:axId val="100"/>
      </c:barChart>
      <c:catAx>
        <c:axId val="10"/>
        <c:scaling>
          <c:orientation val="minMax"/>
        </c:scaling>
        <c:delete val="1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Spending ($)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b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Number</a:t>
                </a:r>
              </a:p>
            </c:rich>
          </c:tx>
          <c:overlay val="1"/>
        </c:title>
        <c:numFmt formatCode="\$#,##0.00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>
              <a:defRPr/>
            </a:pPr>
            <a:r>
              <a:rPr lang="en-US"/>
              <a:t>Spending by Store</a:t>
            </a:r>
          </a:p>
        </c:rich>
      </c:tx>
      <c:overlay val="1"/>
    </c:title>
    <c:autoTitleDeleted val="0"/>
    <c:plotArea>
      <c:layout/>
      <c:barChart>
        <c:barDir val="bar"/>
        <c:grouping val="clustered"/>
        <c:varyColors val="1"/>
        <c:ser>
          <c:idx val="0"/>
          <c:order val="0"/>
          <c:tx>
            <c:strRef>
              <c:f>_AnalyticsData!$K$2</c:f>
              <c:strCache>
                <c:ptCount val="1"/>
                <c:pt idx="0">
                  <c:v>Spending</c:v>
                </c:pt>
              </c:strCache>
            </c:strRef>
          </c:tx>
          <c:spPr>
            <a:ln>
              <a:prstDash val="solid"/>
            </a:ln>
          </c:spPr>
          <c:invertIfNegative val="1"/>
          <c:dPt>
            <c:idx val="0"/>
            <c:invertIfNegative val="1"/>
            <c:bubble3D val="0"/>
            <c:spPr>
              <a:solidFill>
                <a:srgbClr val="4472C4"/>
              </a:solidFill>
              <a:ln>
                <a:solidFill>
                  <a:srgbClr val="4472C4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1-85B0-E541-8A77-22837CC38831}"/>
              </c:ext>
            </c:extLst>
          </c:dPt>
          <c:dPt>
            <c:idx val="1"/>
            <c:invertIfNegative val="1"/>
            <c:bubble3D val="0"/>
            <c: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3-85B0-E541-8A77-22837CC38831}"/>
              </c:ext>
            </c:extLst>
          </c:dPt>
          <c:dPt>
            <c:idx val="2"/>
            <c:invertIfNegative val="1"/>
            <c:bubble3D val="0"/>
            <c:spPr>
              <a:solidFill>
                <a:srgbClr val="70AD47"/>
              </a:solidFill>
              <a:ln>
                <a:solidFill>
                  <a:srgbClr val="70AD47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5-85B0-E541-8A77-22837CC38831}"/>
              </c:ext>
            </c:extLst>
          </c:dPt>
          <c:dPt>
            <c:idx val="3"/>
            <c:invertIfNegative val="1"/>
            <c:bubble3D val="0"/>
            <c:spPr>
              <a:solidFill>
                <a:srgbClr val="A5A5A5"/>
              </a:solidFill>
              <a:ln>
                <a:solidFill>
                  <a:srgbClr val="A5A5A5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7-85B0-E541-8A77-22837CC38831}"/>
              </c:ext>
            </c:extLst>
          </c:dPt>
          <c:dPt>
            <c:idx val="4"/>
            <c:invertIfNegative val="1"/>
            <c:bubble3D val="0"/>
            <c:spPr>
              <a:solidFill>
                <a:srgbClr val="FFC000"/>
              </a:solidFill>
              <a:ln>
                <a:solidFill>
                  <a:srgbClr val="FFC000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9-85B0-E541-8A77-22837CC38831}"/>
              </c:ext>
            </c:extLst>
          </c:dPt>
          <c:dLbls>
            <c:spPr>
              <a:noFill/>
              <a:ln>
                <a:noFill/>
                <a:prstDash val="solid"/>
              </a:ln>
            </c:spPr>
            <c:showLegendKey val="1"/>
            <c:showVal val="1"/>
            <c:showCatName val="1"/>
            <c:showSerName val="1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_AnalyticsData!$I$3:$I$7</c:f>
              <c:numCache>
                <c:formatCode>General</c:formatCode>
                <c:ptCount val="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</c:numCache>
            </c:numRef>
          </c:cat>
          <c:val>
            <c:numRef>
              <c:f>_AnalyticsData!$K$3:$K$7</c:f>
              <c:numCache>
                <c:formatCode>\$#,##0.00</c:formatCode>
                <c:ptCount val="5"/>
                <c:pt idx="0">
                  <c:v>574.97000000000037</c:v>
                </c:pt>
                <c:pt idx="1">
                  <c:v>145.58000000000001</c:v>
                </c:pt>
                <c:pt idx="2">
                  <c:v>100.82</c:v>
                </c:pt>
                <c:pt idx="3">
                  <c:v>48.12</c:v>
                </c:pt>
                <c:pt idx="4">
                  <c:v>30.24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85B0-E541-8A77-22837CC38831}"/>
            </c:ext>
          </c:extLst>
        </c:ser>
        <c:dLbls>
          <c:showLegendKey val="1"/>
          <c:showVal val="1"/>
          <c:showCatName val="1"/>
          <c:showSerName val="1"/>
          <c:showPercent val="1"/>
          <c:showBubbleSize val="1"/>
        </c:dLbls>
        <c:gapWidth val="45"/>
        <c:axId val="10"/>
        <c:axId val="100"/>
      </c:barChart>
      <c:catAx>
        <c:axId val="10"/>
        <c:scaling>
          <c:orientation val="minMax"/>
        </c:scaling>
        <c:delete val="1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Spending ($)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b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Number</a:t>
                </a:r>
              </a:p>
            </c:rich>
          </c:tx>
          <c:overlay val="1"/>
        </c:title>
        <c:numFmt formatCode="\$#,##0.00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>
              <a:defRPr/>
            </a:pPr>
            <a:r>
              <a:rPr lang="en-US"/>
              <a:t>Spending Share by Category</a:t>
            </a:r>
          </a:p>
        </c:rich>
      </c:tx>
      <c:overlay val="1"/>
    </c:title>
    <c:autoTitleDeleted val="0"/>
    <c:plotArea>
      <c:layout/>
      <c:doughnutChart>
        <c:varyColors val="1"/>
        <c:ser>
          <c:idx val="0"/>
          <c:order val="0"/>
          <c:tx>
            <c:strRef>
              <c:f>_AnalyticsData!$O$2</c:f>
              <c:strCache>
                <c:ptCount val="1"/>
                <c:pt idx="0">
                  <c:v>Spending</c:v>
                </c:pt>
              </c:strCache>
            </c:strRef>
          </c:tx>
          <c:spPr>
            <a:ln>
              <a:prstDash val="solid"/>
            </a:ln>
          </c:spPr>
          <c:dPt>
            <c:idx val="0"/>
            <c:bubble3D val="0"/>
            <c:spPr>
              <a:solidFill>
                <a:srgbClr val="4472C4"/>
              </a:solidFill>
              <a:ln>
                <a:solidFill>
                  <a:srgbClr val="4472C4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1-BB11-9140-BF27-10A0CB431413}"/>
              </c:ext>
            </c:extLst>
          </c:dPt>
          <c:dPt>
            <c:idx val="1"/>
            <c:bubble3D val="0"/>
            <c: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3-BB11-9140-BF27-10A0CB431413}"/>
              </c:ext>
            </c:extLst>
          </c:dPt>
          <c:dPt>
            <c:idx val="2"/>
            <c:bubble3D val="0"/>
            <c:spPr>
              <a:solidFill>
                <a:srgbClr val="70AD47"/>
              </a:solidFill>
              <a:ln>
                <a:solidFill>
                  <a:srgbClr val="70AD47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5-BB11-9140-BF27-10A0CB431413}"/>
              </c:ext>
            </c:extLst>
          </c:dPt>
          <c:dPt>
            <c:idx val="3"/>
            <c:bubble3D val="0"/>
            <c:spPr>
              <a:solidFill>
                <a:srgbClr val="A5A5A5"/>
              </a:solidFill>
              <a:ln>
                <a:solidFill>
                  <a:srgbClr val="A5A5A5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7-BB11-9140-BF27-10A0CB431413}"/>
              </c:ext>
            </c:extLst>
          </c:dPt>
          <c:dPt>
            <c:idx val="4"/>
            <c:bubble3D val="0"/>
            <c:spPr>
              <a:solidFill>
                <a:srgbClr val="FFC000"/>
              </a:solidFill>
              <a:ln>
                <a:solidFill>
                  <a:srgbClr val="FFC000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9-BB11-9140-BF27-10A0CB431413}"/>
              </c:ext>
            </c:extLst>
          </c:dPt>
          <c:dPt>
            <c:idx val="5"/>
            <c:bubble3D val="0"/>
            <c:spPr>
              <a:solidFill>
                <a:srgbClr val="5B9BD5"/>
              </a:solidFill>
              <a:ln>
                <a:solidFill>
                  <a:srgbClr val="5B9BD5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B-BB11-9140-BF27-10A0CB431413}"/>
              </c:ext>
            </c:extLst>
          </c:dPt>
          <c:dPt>
            <c:idx val="6"/>
            <c:bubble3D val="0"/>
            <c:spPr>
              <a:solidFill>
                <a:srgbClr val="C55A11"/>
              </a:solidFill>
              <a:ln>
                <a:solidFill>
                  <a:srgbClr val="C55A1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D-BB11-9140-BF27-10A0CB431413}"/>
              </c:ext>
            </c:extLst>
          </c:dPt>
          <c:dPt>
            <c:idx val="7"/>
            <c:bubble3D val="0"/>
            <c:spPr>
              <a:solidFill>
                <a:srgbClr val="548235"/>
              </a:solidFill>
              <a:ln>
                <a:solidFill>
                  <a:srgbClr val="548235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F-BB11-9140-BF27-10A0CB431413}"/>
              </c:ext>
            </c:extLst>
          </c:dPt>
          <c:dPt>
            <c:idx val="8"/>
            <c:bubble3D val="0"/>
            <c:spPr>
              <a:solidFill>
                <a:srgbClr val="8064A2"/>
              </a:solidFill>
              <a:ln>
                <a:solidFill>
                  <a:srgbClr val="8064A2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1-BB11-9140-BF27-10A0CB431413}"/>
              </c:ext>
            </c:extLst>
          </c:dPt>
          <c:dPt>
            <c:idx val="9"/>
            <c:bubble3D val="0"/>
            <c:spPr>
              <a:solidFill>
                <a:srgbClr val="264478"/>
              </a:solidFill>
              <a:ln>
                <a:solidFill>
                  <a:srgbClr val="264478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3-BB11-9140-BF27-10A0CB431413}"/>
              </c:ext>
            </c:extLst>
          </c:dPt>
          <c:dPt>
            <c:idx val="10"/>
            <c:bubble3D val="0"/>
            <c:spPr>
              <a:solidFill>
                <a:srgbClr val="9E480E"/>
              </a:solidFill>
              <a:ln>
                <a:solidFill>
                  <a:srgbClr val="9E480E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5-BB11-9140-BF27-10A0CB431413}"/>
              </c:ext>
            </c:extLst>
          </c:dPt>
          <c:dPt>
            <c:idx val="11"/>
            <c:bubble3D val="0"/>
            <c:spPr>
              <a:solidFill>
                <a:srgbClr val="636363"/>
              </a:solidFill>
              <a:ln>
                <a:solidFill>
                  <a:srgbClr val="636363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7-BB11-9140-BF27-10A0CB431413}"/>
              </c:ext>
            </c:extLst>
          </c:dPt>
          <c:dPt>
            <c:idx val="12"/>
            <c:bubble3D val="0"/>
            <c:spPr>
              <a:solidFill>
                <a:srgbClr val="4472C4"/>
              </a:solidFill>
              <a:ln>
                <a:solidFill>
                  <a:srgbClr val="4472C4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9-BB11-9140-BF27-10A0CB431413}"/>
              </c:ext>
            </c:extLst>
          </c:dPt>
          <c:dPt>
            <c:idx val="13"/>
            <c:bubble3D val="0"/>
            <c: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B-BB11-9140-BF27-10A0CB431413}"/>
              </c:ext>
            </c:extLst>
          </c:dPt>
          <c:dPt>
            <c:idx val="14"/>
            <c:bubble3D val="0"/>
            <c:spPr>
              <a:solidFill>
                <a:srgbClr val="70AD47"/>
              </a:solidFill>
              <a:ln>
                <a:solidFill>
                  <a:srgbClr val="70AD47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D-BB11-9140-BF27-10A0CB431413}"/>
              </c:ext>
            </c:extLst>
          </c:dPt>
          <c:dPt>
            <c:idx val="15"/>
            <c:bubble3D val="0"/>
            <c:spPr>
              <a:solidFill>
                <a:srgbClr val="A5A5A5"/>
              </a:solidFill>
              <a:ln>
                <a:solidFill>
                  <a:srgbClr val="A5A5A5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F-BB11-9140-BF27-10A0CB431413}"/>
              </c:ext>
            </c:extLst>
          </c:dPt>
          <c:dPt>
            <c:idx val="16"/>
            <c:bubble3D val="0"/>
            <c:spPr>
              <a:solidFill>
                <a:srgbClr val="FFC000"/>
              </a:solidFill>
              <a:ln>
                <a:solidFill>
                  <a:srgbClr val="FFC000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21-BB11-9140-BF27-10A0CB431413}"/>
              </c:ext>
            </c:extLst>
          </c:dPt>
          <c:dPt>
            <c:idx val="17"/>
            <c:bubble3D val="0"/>
            <c:spPr>
              <a:solidFill>
                <a:srgbClr val="5B9BD5"/>
              </a:solidFill>
              <a:ln>
                <a:solidFill>
                  <a:srgbClr val="5B9BD5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23-BB11-9140-BF27-10A0CB431413}"/>
              </c:ext>
            </c:extLst>
          </c:dPt>
          <c:dPt>
            <c:idx val="18"/>
            <c:bubble3D val="0"/>
            <c:spPr>
              <a:solidFill>
                <a:srgbClr val="C55A11"/>
              </a:solidFill>
              <a:ln>
                <a:solidFill>
                  <a:srgbClr val="C55A1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25-BB11-9140-BF27-10A0CB431413}"/>
              </c:ext>
            </c:extLst>
          </c:dPt>
          <c:dPt>
            <c:idx val="19"/>
            <c:bubble3D val="0"/>
            <c:spPr>
              <a:solidFill>
                <a:srgbClr val="548235"/>
              </a:solidFill>
              <a:ln>
                <a:solidFill>
                  <a:srgbClr val="548235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27-BB11-9140-BF27-10A0CB431413}"/>
              </c:ext>
            </c:extLst>
          </c:dPt>
          <c:dPt>
            <c:idx val="20"/>
            <c:bubble3D val="0"/>
            <c:spPr>
              <a:solidFill>
                <a:srgbClr val="8064A2"/>
              </a:solidFill>
              <a:ln>
                <a:solidFill>
                  <a:srgbClr val="8064A2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29-BB11-9140-BF27-10A0CB431413}"/>
              </c:ext>
            </c:extLst>
          </c:dPt>
          <c:dPt>
            <c:idx val="21"/>
            <c:bubble3D val="0"/>
            <c:spPr>
              <a:solidFill>
                <a:srgbClr val="264478"/>
              </a:solidFill>
              <a:ln>
                <a:solidFill>
                  <a:srgbClr val="264478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2B-BB11-9140-BF27-10A0CB431413}"/>
              </c:ext>
            </c:extLst>
          </c:dPt>
          <c:dPt>
            <c:idx val="22"/>
            <c:bubble3D val="0"/>
            <c:spPr>
              <a:solidFill>
                <a:srgbClr val="9E480E"/>
              </a:solidFill>
              <a:ln>
                <a:solidFill>
                  <a:srgbClr val="9E480E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2D-BB11-9140-BF27-10A0CB431413}"/>
              </c:ext>
            </c:extLst>
          </c:dPt>
          <c:dPt>
            <c:idx val="23"/>
            <c:bubble3D val="0"/>
            <c:spPr>
              <a:solidFill>
                <a:srgbClr val="636363"/>
              </a:solidFill>
              <a:ln>
                <a:solidFill>
                  <a:srgbClr val="636363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2F-BB11-9140-BF27-10A0CB431413}"/>
              </c:ext>
            </c:extLst>
          </c:dPt>
          <c:dPt>
            <c:idx val="24"/>
            <c:bubble3D val="0"/>
            <c:spPr>
              <a:solidFill>
                <a:srgbClr val="4472C4"/>
              </a:solidFill>
              <a:ln>
                <a:solidFill>
                  <a:srgbClr val="4472C4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31-BB11-9140-BF27-10A0CB431413}"/>
              </c:ext>
            </c:extLst>
          </c:dPt>
          <c:dPt>
            <c:idx val="25"/>
            <c:bubble3D val="0"/>
            <c: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33-BB11-9140-BF27-10A0CB431413}"/>
              </c:ext>
            </c:extLst>
          </c:dPt>
          <c:dPt>
            <c:idx val="26"/>
            <c:bubble3D val="0"/>
            <c:spPr>
              <a:solidFill>
                <a:srgbClr val="70AD47"/>
              </a:solidFill>
              <a:ln>
                <a:solidFill>
                  <a:srgbClr val="70AD47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35-BB11-9140-BF27-10A0CB431413}"/>
              </c:ext>
            </c:extLst>
          </c:dPt>
          <c:dPt>
            <c:idx val="27"/>
            <c:bubble3D val="0"/>
            <c:spPr>
              <a:solidFill>
                <a:srgbClr val="A5A5A5"/>
              </a:solidFill>
              <a:ln>
                <a:solidFill>
                  <a:srgbClr val="A5A5A5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37-BB11-9140-BF27-10A0CB431413}"/>
              </c:ext>
            </c:extLst>
          </c:dPt>
          <c:dPt>
            <c:idx val="28"/>
            <c:bubble3D val="0"/>
            <c:spPr>
              <a:solidFill>
                <a:srgbClr val="FFC000"/>
              </a:solidFill>
              <a:ln>
                <a:solidFill>
                  <a:srgbClr val="FFC000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39-BB11-9140-BF27-10A0CB431413}"/>
              </c:ext>
            </c:extLst>
          </c:dPt>
          <c:dPt>
            <c:idx val="29"/>
            <c:bubble3D val="0"/>
            <c:spPr>
              <a:solidFill>
                <a:srgbClr val="5B9BD5"/>
              </a:solidFill>
              <a:ln>
                <a:solidFill>
                  <a:srgbClr val="5B9BD5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3B-BB11-9140-BF27-10A0CB431413}"/>
              </c:ext>
            </c:extLst>
          </c:dPt>
          <c:dPt>
            <c:idx val="30"/>
            <c:bubble3D val="0"/>
            <c:spPr>
              <a:solidFill>
                <a:srgbClr val="C55A11"/>
              </a:solidFill>
              <a:ln>
                <a:solidFill>
                  <a:srgbClr val="C55A1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3D-BB11-9140-BF27-10A0CB431413}"/>
              </c:ext>
            </c:extLst>
          </c:dPt>
          <c:dPt>
            <c:idx val="31"/>
            <c:bubble3D val="0"/>
            <c:spPr>
              <a:solidFill>
                <a:srgbClr val="548235"/>
              </a:solidFill>
              <a:ln>
                <a:solidFill>
                  <a:srgbClr val="548235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3F-BB11-9140-BF27-10A0CB431413}"/>
              </c:ext>
            </c:extLst>
          </c:dPt>
          <c:dPt>
            <c:idx val="32"/>
            <c:bubble3D val="0"/>
            <c:spPr>
              <a:solidFill>
                <a:srgbClr val="8064A2"/>
              </a:solidFill>
              <a:ln>
                <a:solidFill>
                  <a:srgbClr val="8064A2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41-BB11-9140-BF27-10A0CB431413}"/>
              </c:ext>
            </c:extLst>
          </c:dPt>
          <c:dPt>
            <c:idx val="33"/>
            <c:bubble3D val="0"/>
            <c:spPr>
              <a:solidFill>
                <a:srgbClr val="264478"/>
              </a:solidFill>
              <a:ln>
                <a:solidFill>
                  <a:srgbClr val="264478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43-BB11-9140-BF27-10A0CB431413}"/>
              </c:ext>
            </c:extLst>
          </c:dPt>
          <c:dPt>
            <c:idx val="34"/>
            <c:bubble3D val="0"/>
            <c:spPr>
              <a:solidFill>
                <a:srgbClr val="9E480E"/>
              </a:solidFill>
              <a:ln>
                <a:solidFill>
                  <a:srgbClr val="9E480E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45-BB11-9140-BF27-10A0CB431413}"/>
              </c:ext>
            </c:extLst>
          </c:dPt>
          <c:dPt>
            <c:idx val="35"/>
            <c:bubble3D val="0"/>
            <c:spPr>
              <a:solidFill>
                <a:srgbClr val="636363"/>
              </a:solidFill>
              <a:ln>
                <a:solidFill>
                  <a:srgbClr val="636363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47-BB11-9140-BF27-10A0CB431413}"/>
              </c:ext>
            </c:extLst>
          </c:dPt>
          <c:dPt>
            <c:idx val="36"/>
            <c:bubble3D val="0"/>
            <c:spPr>
              <a:solidFill>
                <a:srgbClr val="4472C4"/>
              </a:solidFill>
              <a:ln>
                <a:solidFill>
                  <a:srgbClr val="4472C4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49-BB11-9140-BF27-10A0CB431413}"/>
              </c:ext>
            </c:extLst>
          </c:dPt>
          <c:dPt>
            <c:idx val="37"/>
            <c:bubble3D val="0"/>
            <c: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4B-BB11-9140-BF27-10A0CB431413}"/>
              </c:ext>
            </c:extLst>
          </c:dPt>
          <c:dPt>
            <c:idx val="38"/>
            <c:bubble3D val="0"/>
            <c:spPr>
              <a:solidFill>
                <a:srgbClr val="70AD47"/>
              </a:solidFill>
              <a:ln>
                <a:solidFill>
                  <a:srgbClr val="70AD47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4D-BB11-9140-BF27-10A0CB431413}"/>
              </c:ext>
            </c:extLst>
          </c:dPt>
          <c:dPt>
            <c:idx val="39"/>
            <c:bubble3D val="0"/>
            <c:spPr>
              <a:solidFill>
                <a:srgbClr val="A5A5A5"/>
              </a:solidFill>
              <a:ln>
                <a:solidFill>
                  <a:srgbClr val="A5A5A5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4F-BB11-9140-BF27-10A0CB431413}"/>
              </c:ext>
            </c:extLst>
          </c:dPt>
          <c:dPt>
            <c:idx val="40"/>
            <c:bubble3D val="0"/>
            <c:spPr>
              <a:solidFill>
                <a:srgbClr val="FFC000"/>
              </a:solidFill>
              <a:ln>
                <a:solidFill>
                  <a:srgbClr val="FFC000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51-BB11-9140-BF27-10A0CB431413}"/>
              </c:ext>
            </c:extLst>
          </c:dPt>
          <c:dPt>
            <c:idx val="41"/>
            <c:bubble3D val="0"/>
            <c:spPr>
              <a:solidFill>
                <a:srgbClr val="5B9BD5"/>
              </a:solidFill>
              <a:ln>
                <a:solidFill>
                  <a:srgbClr val="5B9BD5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53-BB11-9140-BF27-10A0CB431413}"/>
              </c:ext>
            </c:extLst>
          </c:dPt>
          <c:dPt>
            <c:idx val="42"/>
            <c:bubble3D val="0"/>
            <c:spPr>
              <a:solidFill>
                <a:srgbClr val="C55A11"/>
              </a:solidFill>
              <a:ln>
                <a:solidFill>
                  <a:srgbClr val="C55A1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55-BB11-9140-BF27-10A0CB431413}"/>
              </c:ext>
            </c:extLst>
          </c:dPt>
          <c:dPt>
            <c:idx val="43"/>
            <c:bubble3D val="0"/>
            <c:spPr>
              <a:solidFill>
                <a:srgbClr val="548235"/>
              </a:solidFill>
              <a:ln>
                <a:solidFill>
                  <a:srgbClr val="548235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57-BB11-9140-BF27-10A0CB431413}"/>
              </c:ext>
            </c:extLst>
          </c:dPt>
          <c:dPt>
            <c:idx val="44"/>
            <c:bubble3D val="0"/>
            <c:spPr>
              <a:solidFill>
                <a:srgbClr val="8064A2"/>
              </a:solidFill>
              <a:ln>
                <a:solidFill>
                  <a:srgbClr val="8064A2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59-BB11-9140-BF27-10A0CB431413}"/>
              </c:ext>
            </c:extLst>
          </c:dPt>
          <c:dPt>
            <c:idx val="45"/>
            <c:bubble3D val="0"/>
            <c:spPr>
              <a:solidFill>
                <a:srgbClr val="264478"/>
              </a:solidFill>
              <a:ln>
                <a:solidFill>
                  <a:srgbClr val="264478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5B-BB11-9140-BF27-10A0CB431413}"/>
              </c:ext>
            </c:extLst>
          </c:dPt>
          <c:dPt>
            <c:idx val="46"/>
            <c:bubble3D val="0"/>
            <c:spPr>
              <a:solidFill>
                <a:srgbClr val="9E480E"/>
              </a:solidFill>
              <a:ln>
                <a:solidFill>
                  <a:srgbClr val="9E480E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5D-BB11-9140-BF27-10A0CB431413}"/>
              </c:ext>
            </c:extLst>
          </c:dPt>
          <c:dPt>
            <c:idx val="47"/>
            <c:bubble3D val="0"/>
            <c:spPr>
              <a:solidFill>
                <a:srgbClr val="636363"/>
              </a:solidFill>
              <a:ln>
                <a:solidFill>
                  <a:srgbClr val="636363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5F-BB11-9140-BF27-10A0CB431413}"/>
              </c:ext>
            </c:extLst>
          </c:dPt>
          <c:dPt>
            <c:idx val="48"/>
            <c:bubble3D val="0"/>
            <c:spPr>
              <a:solidFill>
                <a:srgbClr val="4472C4"/>
              </a:solidFill>
              <a:ln>
                <a:solidFill>
                  <a:srgbClr val="4472C4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61-BB11-9140-BF27-10A0CB431413}"/>
              </c:ext>
            </c:extLst>
          </c:dPt>
          <c:dPt>
            <c:idx val="49"/>
            <c:bubble3D val="0"/>
            <c: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63-BB11-9140-BF27-10A0CB431413}"/>
              </c:ext>
            </c:extLst>
          </c:dPt>
          <c:dPt>
            <c:idx val="50"/>
            <c:bubble3D val="0"/>
            <c:spPr>
              <a:solidFill>
                <a:srgbClr val="70AD47"/>
              </a:solidFill>
              <a:ln>
                <a:solidFill>
                  <a:srgbClr val="70AD47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65-BB11-9140-BF27-10A0CB431413}"/>
              </c:ext>
            </c:extLst>
          </c:dPt>
          <c:dPt>
            <c:idx val="51"/>
            <c:bubble3D val="0"/>
            <c:spPr>
              <a:solidFill>
                <a:srgbClr val="A5A5A5"/>
              </a:solidFill>
              <a:ln>
                <a:solidFill>
                  <a:srgbClr val="A5A5A5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67-BB11-9140-BF27-10A0CB431413}"/>
              </c:ext>
            </c:extLst>
          </c:dPt>
          <c:dPt>
            <c:idx val="52"/>
            <c:bubble3D val="0"/>
            <c:spPr>
              <a:solidFill>
                <a:srgbClr val="FFC000"/>
              </a:solidFill>
              <a:ln>
                <a:solidFill>
                  <a:srgbClr val="FFC000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69-BB11-9140-BF27-10A0CB431413}"/>
              </c:ext>
            </c:extLst>
          </c:dPt>
          <c:dPt>
            <c:idx val="53"/>
            <c:bubble3D val="0"/>
            <c:spPr>
              <a:solidFill>
                <a:srgbClr val="5B9BD5"/>
              </a:solidFill>
              <a:ln>
                <a:solidFill>
                  <a:srgbClr val="5B9BD5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6B-BB11-9140-BF27-10A0CB431413}"/>
              </c:ext>
            </c:extLst>
          </c:dPt>
          <c:dPt>
            <c:idx val="54"/>
            <c:bubble3D val="0"/>
            <c:spPr>
              <a:solidFill>
                <a:srgbClr val="C55A11"/>
              </a:solidFill>
              <a:ln>
                <a:solidFill>
                  <a:srgbClr val="C55A1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6D-BB11-9140-BF27-10A0CB431413}"/>
              </c:ext>
            </c:extLst>
          </c:dPt>
          <c:dPt>
            <c:idx val="55"/>
            <c:bubble3D val="0"/>
            <c:spPr>
              <a:solidFill>
                <a:srgbClr val="548235"/>
              </a:solidFill>
              <a:ln>
                <a:solidFill>
                  <a:srgbClr val="548235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6F-BB11-9140-BF27-10A0CB431413}"/>
              </c:ext>
            </c:extLst>
          </c:dPt>
          <c:dPt>
            <c:idx val="56"/>
            <c:bubble3D val="0"/>
            <c:spPr>
              <a:solidFill>
                <a:srgbClr val="8064A2"/>
              </a:solidFill>
              <a:ln>
                <a:solidFill>
                  <a:srgbClr val="8064A2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71-BB11-9140-BF27-10A0CB431413}"/>
              </c:ext>
            </c:extLst>
          </c:dPt>
          <c:dLbls>
            <c:spPr>
              <a:noFill/>
              <a:ln>
                <a:noFill/>
                <a:prstDash val="solid"/>
              </a:ln>
            </c:spPr>
            <c:showLegendKey val="1"/>
            <c:showVal val="0"/>
            <c:showCatName val="1"/>
            <c:showSerName val="1"/>
            <c:showPercent val="0"/>
            <c:showBubbleSize val="1"/>
            <c:showLeaderLines val="1"/>
            <c:extLst>
              <c:ext xmlns:c15="http://schemas.microsoft.com/office/drawing/2012/chart" uri="{CE6537A1-D6FC-4f65-9D91-7224C49458BB}"/>
            </c:extLst>
          </c:dLbls>
          <c:cat>
            <c:numRef>
              <c:f>_AnalyticsData!$M$3:$M$59</c:f>
              <c:numCache>
                <c:formatCode>General</c:formatCode>
                <c:ptCount val="57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</c:numCache>
            </c:numRef>
          </c:cat>
          <c:val>
            <c:numRef>
              <c:f>_AnalyticsData!$O$3:$O$59</c:f>
              <c:numCache>
                <c:formatCode>\$#,##0.00</c:formatCode>
                <c:ptCount val="57"/>
                <c:pt idx="0">
                  <c:v>136.04</c:v>
                </c:pt>
                <c:pt idx="1">
                  <c:v>87.39</c:v>
                </c:pt>
                <c:pt idx="2">
                  <c:v>57.04999999999999</c:v>
                </c:pt>
                <c:pt idx="3">
                  <c:v>47.88</c:v>
                </c:pt>
                <c:pt idx="4">
                  <c:v>45.360000000000007</c:v>
                </c:pt>
                <c:pt idx="5">
                  <c:v>39.150000000000013</c:v>
                </c:pt>
                <c:pt idx="6">
                  <c:v>31.2</c:v>
                </c:pt>
                <c:pt idx="7">
                  <c:v>28.54</c:v>
                </c:pt>
                <c:pt idx="8">
                  <c:v>26.91</c:v>
                </c:pt>
                <c:pt idx="9">
                  <c:v>26.66</c:v>
                </c:pt>
                <c:pt idx="10">
                  <c:v>19.88</c:v>
                </c:pt>
                <c:pt idx="11">
                  <c:v>18.88</c:v>
                </c:pt>
                <c:pt idx="12">
                  <c:v>18.489999999999998</c:v>
                </c:pt>
                <c:pt idx="13">
                  <c:v>18.190000000000001</c:v>
                </c:pt>
                <c:pt idx="14">
                  <c:v>16.14</c:v>
                </c:pt>
                <c:pt idx="15">
                  <c:v>14.46</c:v>
                </c:pt>
                <c:pt idx="16">
                  <c:v>14.29</c:v>
                </c:pt>
                <c:pt idx="17">
                  <c:v>13.98</c:v>
                </c:pt>
                <c:pt idx="18">
                  <c:v>13.92</c:v>
                </c:pt>
                <c:pt idx="19">
                  <c:v>11.93</c:v>
                </c:pt>
                <c:pt idx="20">
                  <c:v>11.76</c:v>
                </c:pt>
                <c:pt idx="21">
                  <c:v>11</c:v>
                </c:pt>
                <c:pt idx="22">
                  <c:v>10.64</c:v>
                </c:pt>
                <c:pt idx="23">
                  <c:v>10</c:v>
                </c:pt>
                <c:pt idx="24">
                  <c:v>9.98</c:v>
                </c:pt>
                <c:pt idx="25">
                  <c:v>9.9499999999999993</c:v>
                </c:pt>
                <c:pt idx="26">
                  <c:v>9.76</c:v>
                </c:pt>
                <c:pt idx="27">
                  <c:v>8.2899999999999991</c:v>
                </c:pt>
                <c:pt idx="28">
                  <c:v>7.78</c:v>
                </c:pt>
                <c:pt idx="29">
                  <c:v>7.19</c:v>
                </c:pt>
                <c:pt idx="30">
                  <c:v>6.99</c:v>
                </c:pt>
                <c:pt idx="31">
                  <c:v>6.88</c:v>
                </c:pt>
                <c:pt idx="32">
                  <c:v>6.48</c:v>
                </c:pt>
                <c:pt idx="33">
                  <c:v>6.24</c:v>
                </c:pt>
                <c:pt idx="34">
                  <c:v>5.99</c:v>
                </c:pt>
                <c:pt idx="35">
                  <c:v>5.99</c:v>
                </c:pt>
                <c:pt idx="36">
                  <c:v>5.99</c:v>
                </c:pt>
                <c:pt idx="37">
                  <c:v>5.89</c:v>
                </c:pt>
                <c:pt idx="38">
                  <c:v>5.74</c:v>
                </c:pt>
                <c:pt idx="39">
                  <c:v>5.65</c:v>
                </c:pt>
                <c:pt idx="40">
                  <c:v>5.25</c:v>
                </c:pt>
                <c:pt idx="41">
                  <c:v>4.88</c:v>
                </c:pt>
                <c:pt idx="42">
                  <c:v>4.46</c:v>
                </c:pt>
                <c:pt idx="43">
                  <c:v>3.89</c:v>
                </c:pt>
                <c:pt idx="44">
                  <c:v>3.69</c:v>
                </c:pt>
                <c:pt idx="45">
                  <c:v>3.68</c:v>
                </c:pt>
                <c:pt idx="46">
                  <c:v>3.45</c:v>
                </c:pt>
                <c:pt idx="47">
                  <c:v>3.29</c:v>
                </c:pt>
                <c:pt idx="48">
                  <c:v>3.19</c:v>
                </c:pt>
                <c:pt idx="49">
                  <c:v>3.16</c:v>
                </c:pt>
                <c:pt idx="50">
                  <c:v>2.99</c:v>
                </c:pt>
                <c:pt idx="51">
                  <c:v>2.99</c:v>
                </c:pt>
                <c:pt idx="52">
                  <c:v>2.79</c:v>
                </c:pt>
                <c:pt idx="53">
                  <c:v>2.39</c:v>
                </c:pt>
                <c:pt idx="54">
                  <c:v>1.99</c:v>
                </c:pt>
                <c:pt idx="55">
                  <c:v>1.84</c:v>
                </c:pt>
                <c:pt idx="56">
                  <c:v>1.27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72-BB11-9140-BF27-10A0CB431413}"/>
            </c:ext>
          </c:extLst>
        </c:ser>
        <c:dLbls>
          <c:showLegendKey val="1"/>
          <c:showVal val="0"/>
          <c:showCatName val="1"/>
          <c:showSerName val="1"/>
          <c:showPercent val="0"/>
          <c:showBubbleSize val="1"/>
          <c:showLeaderLines val="1"/>
        </c:dLbls>
        <c:firstSliceAng val="0"/>
        <c:holeSize val="58"/>
      </c:doughnutChart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>
              <a:defRPr/>
            </a:pPr>
            <a:r>
              <a:rPr lang="en-US"/>
              <a:t>Top 10 Products by Spending</a:t>
            </a:r>
          </a:p>
        </c:rich>
      </c:tx>
      <c:overlay val="1"/>
    </c:title>
    <c:autoTitleDeleted val="0"/>
    <c:plotArea>
      <c:layout/>
      <c:barChart>
        <c:barDir val="bar"/>
        <c:grouping val="clustered"/>
        <c:varyColors val="1"/>
        <c:ser>
          <c:idx val="0"/>
          <c:order val="0"/>
          <c:tx>
            <c:strRef>
              <c:f>_AnalyticsData!$S$2</c:f>
              <c:strCache>
                <c:ptCount val="1"/>
                <c:pt idx="0">
                  <c:v>Spending</c:v>
                </c:pt>
              </c:strCache>
            </c:strRef>
          </c:tx>
          <c:spPr>
            <a:ln>
              <a:prstDash val="solid"/>
            </a:ln>
          </c:spPr>
          <c:invertIfNegative val="1"/>
          <c:dPt>
            <c:idx val="0"/>
            <c:invertIfNegative val="1"/>
            <c:bubble3D val="0"/>
            <c:spPr>
              <a:solidFill>
                <a:srgbClr val="4472C4"/>
              </a:solidFill>
              <a:ln>
                <a:solidFill>
                  <a:srgbClr val="4472C4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1-C668-2144-A07E-AFBAD30B7520}"/>
              </c:ext>
            </c:extLst>
          </c:dPt>
          <c:dPt>
            <c:idx val="1"/>
            <c:invertIfNegative val="1"/>
            <c:bubble3D val="0"/>
            <c: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3-C668-2144-A07E-AFBAD30B7520}"/>
              </c:ext>
            </c:extLst>
          </c:dPt>
          <c:dPt>
            <c:idx val="2"/>
            <c:invertIfNegative val="1"/>
            <c:bubble3D val="0"/>
            <c:spPr>
              <a:solidFill>
                <a:srgbClr val="70AD47"/>
              </a:solidFill>
              <a:ln>
                <a:solidFill>
                  <a:srgbClr val="70AD47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5-C668-2144-A07E-AFBAD30B7520}"/>
              </c:ext>
            </c:extLst>
          </c:dPt>
          <c:dPt>
            <c:idx val="3"/>
            <c:invertIfNegative val="1"/>
            <c:bubble3D val="0"/>
            <c:spPr>
              <a:solidFill>
                <a:srgbClr val="A5A5A5"/>
              </a:solidFill>
              <a:ln>
                <a:solidFill>
                  <a:srgbClr val="A5A5A5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7-C668-2144-A07E-AFBAD30B7520}"/>
              </c:ext>
            </c:extLst>
          </c:dPt>
          <c:dPt>
            <c:idx val="4"/>
            <c:invertIfNegative val="1"/>
            <c:bubble3D val="0"/>
            <c:spPr>
              <a:solidFill>
                <a:srgbClr val="FFC000"/>
              </a:solidFill>
              <a:ln>
                <a:solidFill>
                  <a:srgbClr val="FFC000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9-C668-2144-A07E-AFBAD30B7520}"/>
              </c:ext>
            </c:extLst>
          </c:dPt>
          <c:dPt>
            <c:idx val="5"/>
            <c:invertIfNegative val="1"/>
            <c:bubble3D val="0"/>
            <c:spPr>
              <a:solidFill>
                <a:srgbClr val="5B9BD5"/>
              </a:solidFill>
              <a:ln>
                <a:solidFill>
                  <a:srgbClr val="5B9BD5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B-C668-2144-A07E-AFBAD30B7520}"/>
              </c:ext>
            </c:extLst>
          </c:dPt>
          <c:dPt>
            <c:idx val="6"/>
            <c:invertIfNegative val="1"/>
            <c:bubble3D val="0"/>
            <c:spPr>
              <a:solidFill>
                <a:srgbClr val="C55A11"/>
              </a:solidFill>
              <a:ln>
                <a:solidFill>
                  <a:srgbClr val="C55A1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D-C668-2144-A07E-AFBAD30B7520}"/>
              </c:ext>
            </c:extLst>
          </c:dPt>
          <c:dPt>
            <c:idx val="7"/>
            <c:invertIfNegative val="1"/>
            <c:bubble3D val="0"/>
            <c:spPr>
              <a:solidFill>
                <a:srgbClr val="548235"/>
              </a:solidFill>
              <a:ln>
                <a:solidFill>
                  <a:srgbClr val="548235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F-C668-2144-A07E-AFBAD30B7520}"/>
              </c:ext>
            </c:extLst>
          </c:dPt>
          <c:dPt>
            <c:idx val="8"/>
            <c:invertIfNegative val="1"/>
            <c:bubble3D val="0"/>
            <c:spPr>
              <a:solidFill>
                <a:srgbClr val="8064A2"/>
              </a:solidFill>
              <a:ln>
                <a:solidFill>
                  <a:srgbClr val="8064A2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1-C668-2144-A07E-AFBAD30B7520}"/>
              </c:ext>
            </c:extLst>
          </c:dPt>
          <c:dPt>
            <c:idx val="9"/>
            <c:invertIfNegative val="1"/>
            <c:bubble3D val="0"/>
            <c:spPr>
              <a:solidFill>
                <a:srgbClr val="264478"/>
              </a:solidFill>
              <a:ln>
                <a:solidFill>
                  <a:srgbClr val="264478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3-C668-2144-A07E-AFBAD30B7520}"/>
              </c:ext>
            </c:extLst>
          </c:dPt>
          <c:dLbls>
            <c:spPr>
              <a:noFill/>
              <a:ln>
                <a:noFill/>
                <a:prstDash val="solid"/>
              </a:ln>
            </c:spPr>
            <c:showLegendKey val="1"/>
            <c:showVal val="1"/>
            <c:showCatName val="1"/>
            <c:showSerName val="1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_AnalyticsData!$Q$3:$Q$12</c:f>
              <c:numCache>
                <c:formatCode>General</c:formatCode>
                <c:ptCount val="1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</c:numCache>
            </c:numRef>
          </c:cat>
          <c:val>
            <c:numRef>
              <c:f>_AnalyticsData!$S$3:$S$12</c:f>
              <c:numCache>
                <c:formatCode>\$#,##0.00</c:formatCode>
                <c:ptCount val="10"/>
                <c:pt idx="0">
                  <c:v>79.540000000000006</c:v>
                </c:pt>
                <c:pt idx="1">
                  <c:v>47.88</c:v>
                </c:pt>
                <c:pt idx="2">
                  <c:v>46.78</c:v>
                </c:pt>
                <c:pt idx="3">
                  <c:v>28.54</c:v>
                </c:pt>
                <c:pt idx="4">
                  <c:v>24.88</c:v>
                </c:pt>
                <c:pt idx="5">
                  <c:v>19.96</c:v>
                </c:pt>
                <c:pt idx="6">
                  <c:v>19.88</c:v>
                </c:pt>
                <c:pt idx="7">
                  <c:v>19.34</c:v>
                </c:pt>
                <c:pt idx="8">
                  <c:v>18.57</c:v>
                </c:pt>
                <c:pt idx="9">
                  <c:v>16.739999999999998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4-C668-2144-A07E-AFBAD30B7520}"/>
            </c:ext>
          </c:extLst>
        </c:ser>
        <c:dLbls>
          <c:showLegendKey val="1"/>
          <c:showVal val="1"/>
          <c:showCatName val="1"/>
          <c:showSerName val="1"/>
          <c:showPercent val="1"/>
          <c:showBubbleSize val="1"/>
        </c:dLbls>
        <c:gapWidth val="45"/>
        <c:axId val="10"/>
        <c:axId val="100"/>
      </c:barChart>
      <c:catAx>
        <c:axId val="10"/>
        <c:scaling>
          <c:orientation val="minMax"/>
        </c:scaling>
        <c:delete val="1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Spending ($)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b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Number</a:t>
                </a:r>
              </a:p>
            </c:rich>
          </c:tx>
          <c:overlay val="1"/>
        </c:title>
        <c:numFmt formatCode="\$#,##0.00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>
              <a:defRPr/>
            </a:pPr>
            <a:r>
              <a:rPr lang="en-US"/>
              <a:t>Monthly Spending by Store</a:t>
            </a:r>
          </a:p>
        </c:rich>
      </c:tx>
      <c:overlay val="1"/>
    </c:title>
    <c:autoTitleDeleted val="0"/>
    <c:plotArea>
      <c:layout/>
      <c:barChart>
        <c:barDir val="col"/>
        <c:grouping val="stacked"/>
        <c:varyColors val="1"/>
        <c:ser>
          <c:idx val="0"/>
          <c:order val="0"/>
          <c:tx>
            <c:strRef>
              <c:f>_AnalyticsData!$Z$2</c:f>
              <c:strCache>
                <c:ptCount val="1"/>
                <c:pt idx="0">
                  <c:v>1</c:v>
                </c:pt>
              </c:strCache>
            </c:strRef>
          </c:tx>
          <c:spPr>
            <a:solidFill>
              <a:srgbClr val="4472C4"/>
            </a:solidFill>
            <a:ln>
              <a:solidFill>
                <a:srgbClr val="4472C4"/>
              </a:solidFill>
              <a:prstDash val="solid"/>
            </a:ln>
          </c:spPr>
          <c:invertIfNegative val="1"/>
          <c:cat>
            <c:numRef>
              <c:f>_AnalyticsData!$Y$3</c:f>
              <c:numCache>
                <c:formatCode>General</c:formatCode>
                <c:ptCount val="1"/>
                <c:pt idx="0">
                  <c:v>1</c:v>
                </c:pt>
              </c:numCache>
            </c:numRef>
          </c:cat>
          <c:val>
            <c:numRef>
              <c:f>_AnalyticsData!$Z$3</c:f>
              <c:numCache>
                <c:formatCode>\$#,##0.00</c:formatCode>
                <c:ptCount val="1"/>
                <c:pt idx="0">
                  <c:v>574.97000000000037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solidFill>
                      <a:srgbClr val="4472C4"/>
                    </a:solidFill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317C-A848-9A5C-DC51E795028C}"/>
            </c:ext>
          </c:extLst>
        </c:ser>
        <c:ser>
          <c:idx val="1"/>
          <c:order val="1"/>
          <c:tx>
            <c:strRef>
              <c:f>_AnalyticsData!$AA$2</c:f>
              <c:strCache>
                <c:ptCount val="1"/>
                <c:pt idx="0">
                  <c:v>2</c:v>
                </c:pt>
              </c:strCache>
            </c:strRef>
          </c:tx>
          <c:spPr>
            <a:solidFill>
              <a:srgbClr val="ED7D31"/>
            </a:solidFill>
            <a:ln>
              <a:solidFill>
                <a:srgbClr val="ED7D31"/>
              </a:solidFill>
              <a:prstDash val="solid"/>
            </a:ln>
          </c:spPr>
          <c:invertIfNegative val="1"/>
          <c:cat>
            <c:numRef>
              <c:f>_AnalyticsData!$Y$3</c:f>
              <c:numCache>
                <c:formatCode>General</c:formatCode>
                <c:ptCount val="1"/>
                <c:pt idx="0">
                  <c:v>1</c:v>
                </c:pt>
              </c:numCache>
            </c:numRef>
          </c:cat>
          <c:val>
            <c:numRef>
              <c:f>_AnalyticsData!$AA$3</c:f>
              <c:numCache>
                <c:formatCode>\$#,##0.00</c:formatCode>
                <c:ptCount val="1"/>
                <c:pt idx="0">
                  <c:v>145.58000000000001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solidFill>
                      <a:srgbClr val="ED7D31"/>
                    </a:solidFill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1-317C-A848-9A5C-DC51E795028C}"/>
            </c:ext>
          </c:extLst>
        </c:ser>
        <c:ser>
          <c:idx val="2"/>
          <c:order val="2"/>
          <c:tx>
            <c:strRef>
              <c:f>_AnalyticsData!$AB$2</c:f>
              <c:strCache>
                <c:ptCount val="1"/>
                <c:pt idx="0">
                  <c:v>3</c:v>
                </c:pt>
              </c:strCache>
            </c:strRef>
          </c:tx>
          <c:spPr>
            <a:solidFill>
              <a:srgbClr val="70AD47"/>
            </a:solidFill>
            <a:ln>
              <a:solidFill>
                <a:srgbClr val="70AD47"/>
              </a:solidFill>
              <a:prstDash val="solid"/>
            </a:ln>
          </c:spPr>
          <c:invertIfNegative val="1"/>
          <c:cat>
            <c:numRef>
              <c:f>_AnalyticsData!$Y$3</c:f>
              <c:numCache>
                <c:formatCode>General</c:formatCode>
                <c:ptCount val="1"/>
                <c:pt idx="0">
                  <c:v>1</c:v>
                </c:pt>
              </c:numCache>
            </c:numRef>
          </c:cat>
          <c:val>
            <c:numRef>
              <c:f>_AnalyticsData!$AB$3</c:f>
              <c:numCache>
                <c:formatCode>\$#,##0.00</c:formatCode>
                <c:ptCount val="1"/>
                <c:pt idx="0">
                  <c:v>100.82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solidFill>
                      <a:srgbClr val="70AD47"/>
                    </a:solidFill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2-317C-A848-9A5C-DC51E795028C}"/>
            </c:ext>
          </c:extLst>
        </c:ser>
        <c:ser>
          <c:idx val="3"/>
          <c:order val="3"/>
          <c:tx>
            <c:strRef>
              <c:f>_AnalyticsData!$AC$2</c:f>
              <c:strCache>
                <c:ptCount val="1"/>
                <c:pt idx="0">
                  <c:v>4</c:v>
                </c:pt>
              </c:strCache>
            </c:strRef>
          </c:tx>
          <c:spPr>
            <a:solidFill>
              <a:srgbClr val="A5A5A5"/>
            </a:solidFill>
            <a:ln>
              <a:solidFill>
                <a:srgbClr val="A5A5A5"/>
              </a:solidFill>
              <a:prstDash val="solid"/>
            </a:ln>
          </c:spPr>
          <c:invertIfNegative val="1"/>
          <c:cat>
            <c:numRef>
              <c:f>_AnalyticsData!$Y$3</c:f>
              <c:numCache>
                <c:formatCode>General</c:formatCode>
                <c:ptCount val="1"/>
                <c:pt idx="0">
                  <c:v>1</c:v>
                </c:pt>
              </c:numCache>
            </c:numRef>
          </c:cat>
          <c:val>
            <c:numRef>
              <c:f>_AnalyticsData!$AC$3</c:f>
              <c:numCache>
                <c:formatCode>\$#,##0.00</c:formatCode>
                <c:ptCount val="1"/>
                <c:pt idx="0">
                  <c:v>48.12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solidFill>
                      <a:srgbClr val="A5A5A5"/>
                    </a:solidFill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3-317C-A848-9A5C-DC51E795028C}"/>
            </c:ext>
          </c:extLst>
        </c:ser>
        <c:ser>
          <c:idx val="4"/>
          <c:order val="4"/>
          <c:tx>
            <c:strRef>
              <c:f>_AnalyticsData!$AD$2</c:f>
              <c:strCache>
                <c:ptCount val="1"/>
                <c:pt idx="0">
                  <c:v>5</c:v>
                </c:pt>
              </c:strCache>
            </c:strRef>
          </c:tx>
          <c:spPr>
            <a:solidFill>
              <a:srgbClr val="FFC000"/>
            </a:solidFill>
            <a:ln>
              <a:solidFill>
                <a:srgbClr val="FFC000"/>
              </a:solidFill>
              <a:prstDash val="solid"/>
            </a:ln>
          </c:spPr>
          <c:invertIfNegative val="1"/>
          <c:cat>
            <c:numRef>
              <c:f>_AnalyticsData!$Y$3</c:f>
              <c:numCache>
                <c:formatCode>General</c:formatCode>
                <c:ptCount val="1"/>
                <c:pt idx="0">
                  <c:v>1</c:v>
                </c:pt>
              </c:numCache>
            </c:numRef>
          </c:cat>
          <c:val>
            <c:numRef>
              <c:f>_AnalyticsData!$AD$3</c:f>
              <c:numCache>
                <c:formatCode>\$#,##0.00</c:formatCode>
                <c:ptCount val="1"/>
                <c:pt idx="0">
                  <c:v>30.24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solidFill>
                      <a:srgbClr val="FFC000"/>
                    </a:solidFill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4-317C-A848-9A5C-DC51E795028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0"/>
        <c:axId val="100"/>
      </c:barChart>
      <c:cat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Month Number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Spending ($)</a:t>
                </a:r>
              </a:p>
            </c:rich>
          </c:tx>
          <c:overlay val="1"/>
        </c:title>
        <c:numFmt formatCode="\$#,##0.00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1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>
              <a:defRPr/>
            </a:pPr>
            <a:r>
              <a:rPr lang="en-US"/>
              <a:t>Purchase Frequency by Category</a:t>
            </a:r>
          </a:p>
        </c:rich>
      </c:tx>
      <c:overlay val="1"/>
    </c:title>
    <c:autoTitleDeleted val="0"/>
    <c:plotArea>
      <c:layout/>
      <c:barChart>
        <c:barDir val="bar"/>
        <c:grouping val="clustered"/>
        <c:varyColors val="1"/>
        <c:ser>
          <c:idx val="0"/>
          <c:order val="0"/>
          <c:tx>
            <c:strRef>
              <c:f>_AnalyticsData!$W$2</c:f>
              <c:strCache>
                <c:ptCount val="1"/>
                <c:pt idx="0">
                  <c:v>Purchases</c:v>
                </c:pt>
              </c:strCache>
            </c:strRef>
          </c:tx>
          <c:spPr>
            <a:ln>
              <a:prstDash val="solid"/>
            </a:ln>
          </c:spPr>
          <c:invertIfNegative val="1"/>
          <c:dPt>
            <c:idx val="0"/>
            <c:invertIfNegative val="1"/>
            <c:bubble3D val="0"/>
            <c:spPr>
              <a:solidFill>
                <a:srgbClr val="4472C4"/>
              </a:solidFill>
              <a:ln>
                <a:solidFill>
                  <a:srgbClr val="4472C4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1-1C72-5D40-9531-6DDA954FA948}"/>
              </c:ext>
            </c:extLst>
          </c:dPt>
          <c:dPt>
            <c:idx val="1"/>
            <c:invertIfNegative val="1"/>
            <c:bubble3D val="0"/>
            <c: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3-1C72-5D40-9531-6DDA954FA948}"/>
              </c:ext>
            </c:extLst>
          </c:dPt>
          <c:dPt>
            <c:idx val="2"/>
            <c:invertIfNegative val="1"/>
            <c:bubble3D val="0"/>
            <c:spPr>
              <a:solidFill>
                <a:srgbClr val="70AD47"/>
              </a:solidFill>
              <a:ln>
                <a:solidFill>
                  <a:srgbClr val="70AD47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5-1C72-5D40-9531-6DDA954FA948}"/>
              </c:ext>
            </c:extLst>
          </c:dPt>
          <c:dPt>
            <c:idx val="3"/>
            <c:invertIfNegative val="1"/>
            <c:bubble3D val="0"/>
            <c:spPr>
              <a:solidFill>
                <a:srgbClr val="A5A5A5"/>
              </a:solidFill>
              <a:ln>
                <a:solidFill>
                  <a:srgbClr val="A5A5A5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7-1C72-5D40-9531-6DDA954FA948}"/>
              </c:ext>
            </c:extLst>
          </c:dPt>
          <c:dPt>
            <c:idx val="4"/>
            <c:invertIfNegative val="1"/>
            <c:bubble3D val="0"/>
            <c:spPr>
              <a:solidFill>
                <a:srgbClr val="FFC000"/>
              </a:solidFill>
              <a:ln>
                <a:solidFill>
                  <a:srgbClr val="FFC000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9-1C72-5D40-9531-6DDA954FA948}"/>
              </c:ext>
            </c:extLst>
          </c:dPt>
          <c:dPt>
            <c:idx val="5"/>
            <c:invertIfNegative val="1"/>
            <c:bubble3D val="0"/>
            <c:spPr>
              <a:solidFill>
                <a:srgbClr val="5B9BD5"/>
              </a:solidFill>
              <a:ln>
                <a:solidFill>
                  <a:srgbClr val="5B9BD5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B-1C72-5D40-9531-6DDA954FA948}"/>
              </c:ext>
            </c:extLst>
          </c:dPt>
          <c:dPt>
            <c:idx val="6"/>
            <c:invertIfNegative val="1"/>
            <c:bubble3D val="0"/>
            <c:spPr>
              <a:solidFill>
                <a:srgbClr val="C55A11"/>
              </a:solidFill>
              <a:ln>
                <a:solidFill>
                  <a:srgbClr val="C55A1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D-1C72-5D40-9531-6DDA954FA948}"/>
              </c:ext>
            </c:extLst>
          </c:dPt>
          <c:dPt>
            <c:idx val="7"/>
            <c:invertIfNegative val="1"/>
            <c:bubble3D val="0"/>
            <c:spPr>
              <a:solidFill>
                <a:srgbClr val="548235"/>
              </a:solidFill>
              <a:ln>
                <a:solidFill>
                  <a:srgbClr val="548235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F-1C72-5D40-9531-6DDA954FA948}"/>
              </c:ext>
            </c:extLst>
          </c:dPt>
          <c:dPt>
            <c:idx val="8"/>
            <c:invertIfNegative val="1"/>
            <c:bubble3D val="0"/>
            <c:spPr>
              <a:solidFill>
                <a:srgbClr val="8064A2"/>
              </a:solidFill>
              <a:ln>
                <a:solidFill>
                  <a:srgbClr val="8064A2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1-1C72-5D40-9531-6DDA954FA948}"/>
              </c:ext>
            </c:extLst>
          </c:dPt>
          <c:dPt>
            <c:idx val="9"/>
            <c:invertIfNegative val="1"/>
            <c:bubble3D val="0"/>
            <c:spPr>
              <a:solidFill>
                <a:srgbClr val="264478"/>
              </a:solidFill>
              <a:ln>
                <a:solidFill>
                  <a:srgbClr val="264478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3-1C72-5D40-9531-6DDA954FA948}"/>
              </c:ext>
            </c:extLst>
          </c:dPt>
          <c:dPt>
            <c:idx val="10"/>
            <c:invertIfNegative val="1"/>
            <c:bubble3D val="0"/>
            <c:spPr>
              <a:solidFill>
                <a:srgbClr val="9E480E"/>
              </a:solidFill>
              <a:ln>
                <a:solidFill>
                  <a:srgbClr val="9E480E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5-1C72-5D40-9531-6DDA954FA948}"/>
              </c:ext>
            </c:extLst>
          </c:dPt>
          <c:dPt>
            <c:idx val="11"/>
            <c:invertIfNegative val="1"/>
            <c:bubble3D val="0"/>
            <c:spPr>
              <a:solidFill>
                <a:srgbClr val="636363"/>
              </a:solidFill>
              <a:ln>
                <a:solidFill>
                  <a:srgbClr val="636363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7-1C72-5D40-9531-6DDA954FA948}"/>
              </c:ext>
            </c:extLst>
          </c:dPt>
          <c:dPt>
            <c:idx val="12"/>
            <c:invertIfNegative val="1"/>
            <c:bubble3D val="0"/>
            <c:spPr>
              <a:solidFill>
                <a:srgbClr val="4472C4"/>
              </a:solidFill>
              <a:ln>
                <a:solidFill>
                  <a:srgbClr val="4472C4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9-1C72-5D40-9531-6DDA954FA948}"/>
              </c:ext>
            </c:extLst>
          </c:dPt>
          <c:dPt>
            <c:idx val="13"/>
            <c:invertIfNegative val="1"/>
            <c:bubble3D val="0"/>
            <c: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B-1C72-5D40-9531-6DDA954FA948}"/>
              </c:ext>
            </c:extLst>
          </c:dPt>
          <c:dPt>
            <c:idx val="14"/>
            <c:invertIfNegative val="1"/>
            <c:bubble3D val="0"/>
            <c:spPr>
              <a:solidFill>
                <a:srgbClr val="70AD47"/>
              </a:solidFill>
              <a:ln>
                <a:solidFill>
                  <a:srgbClr val="70AD47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D-1C72-5D40-9531-6DDA954FA948}"/>
              </c:ext>
            </c:extLst>
          </c:dPt>
          <c:dPt>
            <c:idx val="15"/>
            <c:invertIfNegative val="1"/>
            <c:bubble3D val="0"/>
            <c:spPr>
              <a:solidFill>
                <a:srgbClr val="A5A5A5"/>
              </a:solidFill>
              <a:ln>
                <a:solidFill>
                  <a:srgbClr val="A5A5A5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F-1C72-5D40-9531-6DDA954FA948}"/>
              </c:ext>
            </c:extLst>
          </c:dPt>
          <c:dPt>
            <c:idx val="16"/>
            <c:invertIfNegative val="1"/>
            <c:bubble3D val="0"/>
            <c:spPr>
              <a:solidFill>
                <a:srgbClr val="FFC000"/>
              </a:solidFill>
              <a:ln>
                <a:solidFill>
                  <a:srgbClr val="FFC000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21-1C72-5D40-9531-6DDA954FA948}"/>
              </c:ext>
            </c:extLst>
          </c:dPt>
          <c:dPt>
            <c:idx val="17"/>
            <c:invertIfNegative val="1"/>
            <c:bubble3D val="0"/>
            <c:spPr>
              <a:solidFill>
                <a:srgbClr val="5B9BD5"/>
              </a:solidFill>
              <a:ln>
                <a:solidFill>
                  <a:srgbClr val="5B9BD5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23-1C72-5D40-9531-6DDA954FA948}"/>
              </c:ext>
            </c:extLst>
          </c:dPt>
          <c:dPt>
            <c:idx val="18"/>
            <c:invertIfNegative val="1"/>
            <c:bubble3D val="0"/>
            <c:spPr>
              <a:solidFill>
                <a:srgbClr val="C55A11"/>
              </a:solidFill>
              <a:ln>
                <a:solidFill>
                  <a:srgbClr val="C55A1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25-1C72-5D40-9531-6DDA954FA948}"/>
              </c:ext>
            </c:extLst>
          </c:dPt>
          <c:dPt>
            <c:idx val="19"/>
            <c:invertIfNegative val="1"/>
            <c:bubble3D val="0"/>
            <c:spPr>
              <a:solidFill>
                <a:srgbClr val="548235"/>
              </a:solidFill>
              <a:ln>
                <a:solidFill>
                  <a:srgbClr val="548235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27-1C72-5D40-9531-6DDA954FA948}"/>
              </c:ext>
            </c:extLst>
          </c:dPt>
          <c:dPt>
            <c:idx val="20"/>
            <c:invertIfNegative val="1"/>
            <c:bubble3D val="0"/>
            <c:spPr>
              <a:solidFill>
                <a:srgbClr val="8064A2"/>
              </a:solidFill>
              <a:ln>
                <a:solidFill>
                  <a:srgbClr val="8064A2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29-1C72-5D40-9531-6DDA954FA948}"/>
              </c:ext>
            </c:extLst>
          </c:dPt>
          <c:dPt>
            <c:idx val="21"/>
            <c:invertIfNegative val="1"/>
            <c:bubble3D val="0"/>
            <c:spPr>
              <a:solidFill>
                <a:srgbClr val="264478"/>
              </a:solidFill>
              <a:ln>
                <a:solidFill>
                  <a:srgbClr val="264478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2B-1C72-5D40-9531-6DDA954FA948}"/>
              </c:ext>
            </c:extLst>
          </c:dPt>
          <c:dPt>
            <c:idx val="22"/>
            <c:invertIfNegative val="1"/>
            <c:bubble3D val="0"/>
            <c:spPr>
              <a:solidFill>
                <a:srgbClr val="9E480E"/>
              </a:solidFill>
              <a:ln>
                <a:solidFill>
                  <a:srgbClr val="9E480E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2D-1C72-5D40-9531-6DDA954FA948}"/>
              </c:ext>
            </c:extLst>
          </c:dPt>
          <c:dPt>
            <c:idx val="23"/>
            <c:invertIfNegative val="1"/>
            <c:bubble3D val="0"/>
            <c:spPr>
              <a:solidFill>
                <a:srgbClr val="636363"/>
              </a:solidFill>
              <a:ln>
                <a:solidFill>
                  <a:srgbClr val="636363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2F-1C72-5D40-9531-6DDA954FA948}"/>
              </c:ext>
            </c:extLst>
          </c:dPt>
          <c:dPt>
            <c:idx val="24"/>
            <c:invertIfNegative val="1"/>
            <c:bubble3D val="0"/>
            <c:spPr>
              <a:solidFill>
                <a:srgbClr val="4472C4"/>
              </a:solidFill>
              <a:ln>
                <a:solidFill>
                  <a:srgbClr val="4472C4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31-1C72-5D40-9531-6DDA954FA948}"/>
              </c:ext>
            </c:extLst>
          </c:dPt>
          <c:dPt>
            <c:idx val="25"/>
            <c:invertIfNegative val="1"/>
            <c:bubble3D val="0"/>
            <c: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33-1C72-5D40-9531-6DDA954FA948}"/>
              </c:ext>
            </c:extLst>
          </c:dPt>
          <c:dPt>
            <c:idx val="26"/>
            <c:invertIfNegative val="1"/>
            <c:bubble3D val="0"/>
            <c:spPr>
              <a:solidFill>
                <a:srgbClr val="70AD47"/>
              </a:solidFill>
              <a:ln>
                <a:solidFill>
                  <a:srgbClr val="70AD47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35-1C72-5D40-9531-6DDA954FA948}"/>
              </c:ext>
            </c:extLst>
          </c:dPt>
          <c:dPt>
            <c:idx val="27"/>
            <c:invertIfNegative val="1"/>
            <c:bubble3D val="0"/>
            <c:spPr>
              <a:solidFill>
                <a:srgbClr val="A5A5A5"/>
              </a:solidFill>
              <a:ln>
                <a:solidFill>
                  <a:srgbClr val="A5A5A5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37-1C72-5D40-9531-6DDA954FA948}"/>
              </c:ext>
            </c:extLst>
          </c:dPt>
          <c:dPt>
            <c:idx val="28"/>
            <c:invertIfNegative val="1"/>
            <c:bubble3D val="0"/>
            <c:spPr>
              <a:solidFill>
                <a:srgbClr val="FFC000"/>
              </a:solidFill>
              <a:ln>
                <a:solidFill>
                  <a:srgbClr val="FFC000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39-1C72-5D40-9531-6DDA954FA948}"/>
              </c:ext>
            </c:extLst>
          </c:dPt>
          <c:dPt>
            <c:idx val="29"/>
            <c:invertIfNegative val="1"/>
            <c:bubble3D val="0"/>
            <c:spPr>
              <a:solidFill>
                <a:srgbClr val="5B9BD5"/>
              </a:solidFill>
              <a:ln>
                <a:solidFill>
                  <a:srgbClr val="5B9BD5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3B-1C72-5D40-9531-6DDA954FA948}"/>
              </c:ext>
            </c:extLst>
          </c:dPt>
          <c:dPt>
            <c:idx val="30"/>
            <c:invertIfNegative val="1"/>
            <c:bubble3D val="0"/>
            <c:spPr>
              <a:solidFill>
                <a:srgbClr val="C55A11"/>
              </a:solidFill>
              <a:ln>
                <a:solidFill>
                  <a:srgbClr val="C55A1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3D-1C72-5D40-9531-6DDA954FA948}"/>
              </c:ext>
            </c:extLst>
          </c:dPt>
          <c:dPt>
            <c:idx val="31"/>
            <c:invertIfNegative val="1"/>
            <c:bubble3D val="0"/>
            <c:spPr>
              <a:solidFill>
                <a:srgbClr val="548235"/>
              </a:solidFill>
              <a:ln>
                <a:solidFill>
                  <a:srgbClr val="548235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3F-1C72-5D40-9531-6DDA954FA948}"/>
              </c:ext>
            </c:extLst>
          </c:dPt>
          <c:dPt>
            <c:idx val="32"/>
            <c:invertIfNegative val="1"/>
            <c:bubble3D val="0"/>
            <c:spPr>
              <a:solidFill>
                <a:srgbClr val="8064A2"/>
              </a:solidFill>
              <a:ln>
                <a:solidFill>
                  <a:srgbClr val="8064A2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41-1C72-5D40-9531-6DDA954FA948}"/>
              </c:ext>
            </c:extLst>
          </c:dPt>
          <c:dPt>
            <c:idx val="33"/>
            <c:invertIfNegative val="1"/>
            <c:bubble3D val="0"/>
            <c:spPr>
              <a:solidFill>
                <a:srgbClr val="264478"/>
              </a:solidFill>
              <a:ln>
                <a:solidFill>
                  <a:srgbClr val="264478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43-1C72-5D40-9531-6DDA954FA948}"/>
              </c:ext>
            </c:extLst>
          </c:dPt>
          <c:dPt>
            <c:idx val="34"/>
            <c:invertIfNegative val="1"/>
            <c:bubble3D val="0"/>
            <c:spPr>
              <a:solidFill>
                <a:srgbClr val="9E480E"/>
              </a:solidFill>
              <a:ln>
                <a:solidFill>
                  <a:srgbClr val="9E480E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45-1C72-5D40-9531-6DDA954FA948}"/>
              </c:ext>
            </c:extLst>
          </c:dPt>
          <c:dPt>
            <c:idx val="35"/>
            <c:invertIfNegative val="1"/>
            <c:bubble3D val="0"/>
            <c:spPr>
              <a:solidFill>
                <a:srgbClr val="636363"/>
              </a:solidFill>
              <a:ln>
                <a:solidFill>
                  <a:srgbClr val="636363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47-1C72-5D40-9531-6DDA954FA948}"/>
              </c:ext>
            </c:extLst>
          </c:dPt>
          <c:dPt>
            <c:idx val="36"/>
            <c:invertIfNegative val="1"/>
            <c:bubble3D val="0"/>
            <c:spPr>
              <a:solidFill>
                <a:srgbClr val="4472C4"/>
              </a:solidFill>
              <a:ln>
                <a:solidFill>
                  <a:srgbClr val="4472C4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49-1C72-5D40-9531-6DDA954FA948}"/>
              </c:ext>
            </c:extLst>
          </c:dPt>
          <c:dPt>
            <c:idx val="37"/>
            <c:invertIfNegative val="1"/>
            <c:bubble3D val="0"/>
            <c: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4B-1C72-5D40-9531-6DDA954FA948}"/>
              </c:ext>
            </c:extLst>
          </c:dPt>
          <c:dPt>
            <c:idx val="38"/>
            <c:invertIfNegative val="1"/>
            <c:bubble3D val="0"/>
            <c:spPr>
              <a:solidFill>
                <a:srgbClr val="70AD47"/>
              </a:solidFill>
              <a:ln>
                <a:solidFill>
                  <a:srgbClr val="70AD47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4D-1C72-5D40-9531-6DDA954FA948}"/>
              </c:ext>
            </c:extLst>
          </c:dPt>
          <c:dPt>
            <c:idx val="39"/>
            <c:invertIfNegative val="1"/>
            <c:bubble3D val="0"/>
            <c:spPr>
              <a:solidFill>
                <a:srgbClr val="A5A5A5"/>
              </a:solidFill>
              <a:ln>
                <a:solidFill>
                  <a:srgbClr val="A5A5A5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4F-1C72-5D40-9531-6DDA954FA948}"/>
              </c:ext>
            </c:extLst>
          </c:dPt>
          <c:dPt>
            <c:idx val="40"/>
            <c:invertIfNegative val="1"/>
            <c:bubble3D val="0"/>
            <c:spPr>
              <a:solidFill>
                <a:srgbClr val="FFC000"/>
              </a:solidFill>
              <a:ln>
                <a:solidFill>
                  <a:srgbClr val="FFC000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51-1C72-5D40-9531-6DDA954FA948}"/>
              </c:ext>
            </c:extLst>
          </c:dPt>
          <c:dPt>
            <c:idx val="41"/>
            <c:invertIfNegative val="1"/>
            <c:bubble3D val="0"/>
            <c:spPr>
              <a:solidFill>
                <a:srgbClr val="5B9BD5"/>
              </a:solidFill>
              <a:ln>
                <a:solidFill>
                  <a:srgbClr val="5B9BD5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53-1C72-5D40-9531-6DDA954FA948}"/>
              </c:ext>
            </c:extLst>
          </c:dPt>
          <c:dPt>
            <c:idx val="42"/>
            <c:invertIfNegative val="1"/>
            <c:bubble3D val="0"/>
            <c:spPr>
              <a:solidFill>
                <a:srgbClr val="C55A11"/>
              </a:solidFill>
              <a:ln>
                <a:solidFill>
                  <a:srgbClr val="C55A1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55-1C72-5D40-9531-6DDA954FA948}"/>
              </c:ext>
            </c:extLst>
          </c:dPt>
          <c:dPt>
            <c:idx val="43"/>
            <c:invertIfNegative val="1"/>
            <c:bubble3D val="0"/>
            <c:spPr>
              <a:solidFill>
                <a:srgbClr val="548235"/>
              </a:solidFill>
              <a:ln>
                <a:solidFill>
                  <a:srgbClr val="548235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57-1C72-5D40-9531-6DDA954FA948}"/>
              </c:ext>
            </c:extLst>
          </c:dPt>
          <c:dPt>
            <c:idx val="44"/>
            <c:invertIfNegative val="1"/>
            <c:bubble3D val="0"/>
            <c:spPr>
              <a:solidFill>
                <a:srgbClr val="8064A2"/>
              </a:solidFill>
              <a:ln>
                <a:solidFill>
                  <a:srgbClr val="8064A2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59-1C72-5D40-9531-6DDA954FA948}"/>
              </c:ext>
            </c:extLst>
          </c:dPt>
          <c:dPt>
            <c:idx val="45"/>
            <c:invertIfNegative val="1"/>
            <c:bubble3D val="0"/>
            <c:spPr>
              <a:solidFill>
                <a:srgbClr val="264478"/>
              </a:solidFill>
              <a:ln>
                <a:solidFill>
                  <a:srgbClr val="264478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5B-1C72-5D40-9531-6DDA954FA948}"/>
              </c:ext>
            </c:extLst>
          </c:dPt>
          <c:dPt>
            <c:idx val="46"/>
            <c:invertIfNegative val="1"/>
            <c:bubble3D val="0"/>
            <c:spPr>
              <a:solidFill>
                <a:srgbClr val="9E480E"/>
              </a:solidFill>
              <a:ln>
                <a:solidFill>
                  <a:srgbClr val="9E480E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5D-1C72-5D40-9531-6DDA954FA948}"/>
              </c:ext>
            </c:extLst>
          </c:dPt>
          <c:dPt>
            <c:idx val="47"/>
            <c:invertIfNegative val="1"/>
            <c:bubble3D val="0"/>
            <c:spPr>
              <a:solidFill>
                <a:srgbClr val="636363"/>
              </a:solidFill>
              <a:ln>
                <a:solidFill>
                  <a:srgbClr val="636363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5F-1C72-5D40-9531-6DDA954FA948}"/>
              </c:ext>
            </c:extLst>
          </c:dPt>
          <c:dPt>
            <c:idx val="48"/>
            <c:invertIfNegative val="1"/>
            <c:bubble3D val="0"/>
            <c:spPr>
              <a:solidFill>
                <a:srgbClr val="4472C4"/>
              </a:solidFill>
              <a:ln>
                <a:solidFill>
                  <a:srgbClr val="4472C4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61-1C72-5D40-9531-6DDA954FA948}"/>
              </c:ext>
            </c:extLst>
          </c:dPt>
          <c:dPt>
            <c:idx val="49"/>
            <c:invertIfNegative val="1"/>
            <c:bubble3D val="0"/>
            <c: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63-1C72-5D40-9531-6DDA954FA948}"/>
              </c:ext>
            </c:extLst>
          </c:dPt>
          <c:dPt>
            <c:idx val="50"/>
            <c:invertIfNegative val="1"/>
            <c:bubble3D val="0"/>
            <c:spPr>
              <a:solidFill>
                <a:srgbClr val="70AD47"/>
              </a:solidFill>
              <a:ln>
                <a:solidFill>
                  <a:srgbClr val="70AD47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65-1C72-5D40-9531-6DDA954FA948}"/>
              </c:ext>
            </c:extLst>
          </c:dPt>
          <c:dPt>
            <c:idx val="51"/>
            <c:invertIfNegative val="1"/>
            <c:bubble3D val="0"/>
            <c:spPr>
              <a:solidFill>
                <a:srgbClr val="A5A5A5"/>
              </a:solidFill>
              <a:ln>
                <a:solidFill>
                  <a:srgbClr val="A5A5A5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67-1C72-5D40-9531-6DDA954FA948}"/>
              </c:ext>
            </c:extLst>
          </c:dPt>
          <c:dPt>
            <c:idx val="52"/>
            <c:invertIfNegative val="1"/>
            <c:bubble3D val="0"/>
            <c:spPr>
              <a:solidFill>
                <a:srgbClr val="FFC000"/>
              </a:solidFill>
              <a:ln>
                <a:solidFill>
                  <a:srgbClr val="FFC000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69-1C72-5D40-9531-6DDA954FA948}"/>
              </c:ext>
            </c:extLst>
          </c:dPt>
          <c:dPt>
            <c:idx val="53"/>
            <c:invertIfNegative val="1"/>
            <c:bubble3D val="0"/>
            <c:spPr>
              <a:solidFill>
                <a:srgbClr val="5B9BD5"/>
              </a:solidFill>
              <a:ln>
                <a:solidFill>
                  <a:srgbClr val="5B9BD5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6B-1C72-5D40-9531-6DDA954FA948}"/>
              </c:ext>
            </c:extLst>
          </c:dPt>
          <c:dPt>
            <c:idx val="54"/>
            <c:invertIfNegative val="1"/>
            <c:bubble3D val="0"/>
            <c:spPr>
              <a:solidFill>
                <a:srgbClr val="C55A11"/>
              </a:solidFill>
              <a:ln>
                <a:solidFill>
                  <a:srgbClr val="C55A1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6D-1C72-5D40-9531-6DDA954FA948}"/>
              </c:ext>
            </c:extLst>
          </c:dPt>
          <c:dPt>
            <c:idx val="55"/>
            <c:invertIfNegative val="1"/>
            <c:bubble3D val="0"/>
            <c:spPr>
              <a:solidFill>
                <a:srgbClr val="548235"/>
              </a:solidFill>
              <a:ln>
                <a:solidFill>
                  <a:srgbClr val="548235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6F-1C72-5D40-9531-6DDA954FA948}"/>
              </c:ext>
            </c:extLst>
          </c:dPt>
          <c:dPt>
            <c:idx val="56"/>
            <c:invertIfNegative val="1"/>
            <c:bubble3D val="0"/>
            <c:spPr>
              <a:solidFill>
                <a:srgbClr val="8064A2"/>
              </a:solidFill>
              <a:ln>
                <a:solidFill>
                  <a:srgbClr val="8064A2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71-1C72-5D40-9531-6DDA954FA948}"/>
              </c:ext>
            </c:extLst>
          </c:dPt>
          <c:dLbls>
            <c:spPr>
              <a:noFill/>
              <a:ln>
                <a:noFill/>
                <a:prstDash val="solid"/>
              </a:ln>
            </c:spPr>
            <c:showLegendKey val="1"/>
            <c:showVal val="1"/>
            <c:showCatName val="1"/>
            <c:showSerName val="1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_AnalyticsData!$U$3:$U$59</c:f>
              <c:numCache>
                <c:formatCode>General</c:formatCode>
                <c:ptCount val="57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</c:numCache>
            </c:numRef>
          </c:cat>
          <c:val>
            <c:numRef>
              <c:f>_AnalyticsData!$W$3:$W$59</c:f>
              <c:numCache>
                <c:formatCode>General</c:formatCode>
                <c:ptCount val="57"/>
                <c:pt idx="0">
                  <c:v>18</c:v>
                </c:pt>
                <c:pt idx="1">
                  <c:v>18</c:v>
                </c:pt>
                <c:pt idx="2">
                  <c:v>14</c:v>
                </c:pt>
                <c:pt idx="3">
                  <c:v>10</c:v>
                </c:pt>
                <c:pt idx="4">
                  <c:v>6</c:v>
                </c:pt>
                <c:pt idx="5">
                  <c:v>5</c:v>
                </c:pt>
                <c:pt idx="6">
                  <c:v>5</c:v>
                </c:pt>
                <c:pt idx="7">
                  <c:v>4</c:v>
                </c:pt>
                <c:pt idx="8">
                  <c:v>4</c:v>
                </c:pt>
                <c:pt idx="9">
                  <c:v>4</c:v>
                </c:pt>
                <c:pt idx="10">
                  <c:v>4</c:v>
                </c:pt>
                <c:pt idx="11">
                  <c:v>3</c:v>
                </c:pt>
                <c:pt idx="12">
                  <c:v>3</c:v>
                </c:pt>
                <c:pt idx="13">
                  <c:v>3</c:v>
                </c:pt>
                <c:pt idx="14">
                  <c:v>3</c:v>
                </c:pt>
                <c:pt idx="15">
                  <c:v>2</c:v>
                </c:pt>
                <c:pt idx="16">
                  <c:v>2</c:v>
                </c:pt>
                <c:pt idx="17">
                  <c:v>2</c:v>
                </c:pt>
                <c:pt idx="18">
                  <c:v>2</c:v>
                </c:pt>
                <c:pt idx="19">
                  <c:v>2</c:v>
                </c:pt>
                <c:pt idx="20">
                  <c:v>2</c:v>
                </c:pt>
                <c:pt idx="21">
                  <c:v>2</c:v>
                </c:pt>
                <c:pt idx="22">
                  <c:v>2</c:v>
                </c:pt>
                <c:pt idx="23">
                  <c:v>2</c:v>
                </c:pt>
                <c:pt idx="24">
                  <c:v>2</c:v>
                </c:pt>
                <c:pt idx="25">
                  <c:v>2</c:v>
                </c:pt>
                <c:pt idx="26">
                  <c:v>2</c:v>
                </c:pt>
                <c:pt idx="27">
                  <c:v>1</c:v>
                </c:pt>
                <c:pt idx="28">
                  <c:v>1</c:v>
                </c:pt>
                <c:pt idx="29">
                  <c:v>1</c:v>
                </c:pt>
                <c:pt idx="30">
                  <c:v>1</c:v>
                </c:pt>
                <c:pt idx="31">
                  <c:v>1</c:v>
                </c:pt>
                <c:pt idx="32">
                  <c:v>1</c:v>
                </c:pt>
                <c:pt idx="33">
                  <c:v>1</c:v>
                </c:pt>
                <c:pt idx="34">
                  <c:v>1</c:v>
                </c:pt>
                <c:pt idx="35">
                  <c:v>1</c:v>
                </c:pt>
                <c:pt idx="36">
                  <c:v>1</c:v>
                </c:pt>
                <c:pt idx="37">
                  <c:v>1</c:v>
                </c:pt>
                <c:pt idx="38">
                  <c:v>1</c:v>
                </c:pt>
                <c:pt idx="39">
                  <c:v>1</c:v>
                </c:pt>
                <c:pt idx="40">
                  <c:v>1</c:v>
                </c:pt>
                <c:pt idx="41">
                  <c:v>1</c:v>
                </c:pt>
                <c:pt idx="42">
                  <c:v>1</c:v>
                </c:pt>
                <c:pt idx="43">
                  <c:v>1</c:v>
                </c:pt>
                <c:pt idx="44">
                  <c:v>1</c:v>
                </c:pt>
                <c:pt idx="45">
                  <c:v>1</c:v>
                </c:pt>
                <c:pt idx="46">
                  <c:v>1</c:v>
                </c:pt>
                <c:pt idx="47">
                  <c:v>1</c:v>
                </c:pt>
                <c:pt idx="48">
                  <c:v>1</c:v>
                </c:pt>
                <c:pt idx="49">
                  <c:v>1</c:v>
                </c:pt>
                <c:pt idx="50">
                  <c:v>1</c:v>
                </c:pt>
                <c:pt idx="51">
                  <c:v>1</c:v>
                </c:pt>
                <c:pt idx="52">
                  <c:v>1</c:v>
                </c:pt>
                <c:pt idx="53">
                  <c:v>1</c:v>
                </c:pt>
                <c:pt idx="54">
                  <c:v>1</c:v>
                </c:pt>
                <c:pt idx="55">
                  <c:v>1</c:v>
                </c:pt>
                <c:pt idx="56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72-1C72-5D40-9531-6DDA954FA948}"/>
            </c:ext>
          </c:extLst>
        </c:ser>
        <c:dLbls>
          <c:showLegendKey val="1"/>
          <c:showVal val="1"/>
          <c:showCatName val="1"/>
          <c:showSerName val="1"/>
          <c:showPercent val="1"/>
          <c:showBubbleSize val="1"/>
        </c:dLbls>
        <c:gapWidth val="45"/>
        <c:axId val="10"/>
        <c:axId val="100"/>
      </c:barChart>
      <c:catAx>
        <c:axId val="10"/>
        <c:scaling>
          <c:orientation val="minMax"/>
        </c:scaling>
        <c:delete val="1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Purchases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b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Number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7</xdr:row>
      <xdr:rowOff>0</xdr:rowOff>
    </xdr:from>
    <xdr:ext cx="9180000" cy="522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  <xdr:oneCellAnchor>
    <xdr:from>
      <xdr:col>0</xdr:col>
      <xdr:colOff>0</xdr:colOff>
      <xdr:row>43</xdr:row>
      <xdr:rowOff>0</xdr:rowOff>
    </xdr:from>
    <xdr:ext cx="9180000" cy="5220000"/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2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oneCellAnchor>
  <xdr:oneCellAnchor>
    <xdr:from>
      <xdr:col>0</xdr:col>
      <xdr:colOff>0</xdr:colOff>
      <xdr:row>105</xdr:row>
      <xdr:rowOff>0</xdr:rowOff>
    </xdr:from>
    <xdr:ext cx="9180000" cy="5220000"/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0000000-0008-0000-02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oneCellAnchor>
  <xdr:oneCellAnchor>
    <xdr:from>
      <xdr:col>0</xdr:col>
      <xdr:colOff>0</xdr:colOff>
      <xdr:row>141</xdr:row>
      <xdr:rowOff>0</xdr:rowOff>
    </xdr:from>
    <xdr:ext cx="9180000" cy="5940000"/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00000000-0008-0000-0200-00000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oneCellAnchor>
  <xdr:oneCellAnchor>
    <xdr:from>
      <xdr:col>0</xdr:col>
      <xdr:colOff>0</xdr:colOff>
      <xdr:row>203</xdr:row>
      <xdr:rowOff>0</xdr:rowOff>
    </xdr:from>
    <xdr:ext cx="9180000" cy="5220000"/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00000000-0008-0000-0200-000006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oneCellAnchor>
  <xdr:oneCellAnchor>
    <xdr:from>
      <xdr:col>0</xdr:col>
      <xdr:colOff>0</xdr:colOff>
      <xdr:row>239</xdr:row>
      <xdr:rowOff>0</xdr:rowOff>
    </xdr:from>
    <xdr:ext cx="9180000" cy="5940000"/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00000000-0008-0000-0200-000007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oneCellAnchor>
  <xdr:oneCellAnchor>
    <xdr:from>
      <xdr:col>0</xdr:col>
      <xdr:colOff>0</xdr:colOff>
      <xdr:row>275</xdr:row>
      <xdr:rowOff>0</xdr:rowOff>
    </xdr:from>
    <xdr:ext cx="9180000" cy="5220000"/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00000000-0008-0000-0200-000008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S131"/>
  <sheetViews>
    <sheetView workbookViewId="0">
      <pane ySplit="1" topLeftCell="A2" activePane="bottomLeft" state="frozen"/>
      <selection pane="bottomLeft" activeCell="H130" sqref="H130"/>
    </sheetView>
  </sheetViews>
  <sheetFormatPr baseColWidth="10" defaultColWidth="8.83203125" defaultRowHeight="15" x14ac:dyDescent="0.2"/>
  <cols>
    <col min="1" max="1" width="14" customWidth="1"/>
    <col min="2" max="2" width="3" customWidth="1"/>
    <col min="3" max="4" width="18" customWidth="1"/>
    <col min="5" max="5" width="34" customWidth="1"/>
    <col min="6" max="6" width="14" customWidth="1"/>
    <col min="7" max="7" width="16" customWidth="1"/>
    <col min="8" max="8" width="46.83203125" bestFit="1" customWidth="1"/>
    <col min="9" max="9" width="22" customWidth="1"/>
    <col min="10" max="19" width="14" customWidth="1"/>
  </cols>
  <sheetData>
    <row r="1" spans="1:19" x14ac:dyDescent="0.2">
      <c r="A1" s="7" t="s">
        <v>0</v>
      </c>
      <c r="B1" s="7"/>
      <c r="C1" s="7" t="s">
        <v>1</v>
      </c>
      <c r="D1" s="7" t="s">
        <v>2</v>
      </c>
      <c r="E1" s="7" t="s">
        <v>3</v>
      </c>
      <c r="F1" s="7" t="s">
        <v>4</v>
      </c>
      <c r="G1" s="7" t="s">
        <v>5</v>
      </c>
      <c r="H1" s="7" t="s">
        <v>6</v>
      </c>
      <c r="I1" s="7" t="s">
        <v>7</v>
      </c>
      <c r="J1" s="7" t="s">
        <v>8</v>
      </c>
      <c r="K1" s="7" t="s">
        <v>9</v>
      </c>
      <c r="L1" s="7" t="s">
        <v>10</v>
      </c>
      <c r="M1" s="7" t="s">
        <v>11</v>
      </c>
      <c r="N1" s="7" t="s">
        <v>12</v>
      </c>
      <c r="O1" s="7" t="s">
        <v>13</v>
      </c>
      <c r="P1" s="7" t="s">
        <v>14</v>
      </c>
      <c r="Q1" s="7" t="s">
        <v>15</v>
      </c>
      <c r="R1" s="7" t="s">
        <v>16</v>
      </c>
      <c r="S1" s="7" t="s">
        <v>17</v>
      </c>
    </row>
    <row r="2" spans="1:19" x14ac:dyDescent="0.2">
      <c r="A2" s="1">
        <f t="shared" ref="A2:A33" si="0">SUM(K2,M2,O2,Q2,S2)</f>
        <v>7.85</v>
      </c>
      <c r="C2" t="s">
        <v>18</v>
      </c>
      <c r="D2" t="s">
        <v>19</v>
      </c>
      <c r="E2" t="s">
        <v>20</v>
      </c>
      <c r="F2" t="s">
        <v>21</v>
      </c>
      <c r="G2" t="s">
        <v>22</v>
      </c>
      <c r="H2" t="s">
        <v>23</v>
      </c>
      <c r="I2" t="s">
        <v>24</v>
      </c>
      <c r="J2" s="2">
        <v>46259</v>
      </c>
      <c r="K2" s="1">
        <v>7.85</v>
      </c>
    </row>
    <row r="3" spans="1:19" x14ac:dyDescent="0.2">
      <c r="A3" s="1">
        <f t="shared" si="0"/>
        <v>7.85</v>
      </c>
      <c r="C3" t="s">
        <v>18</v>
      </c>
      <c r="D3" t="s">
        <v>19</v>
      </c>
      <c r="E3" t="s">
        <v>25</v>
      </c>
      <c r="F3" t="s">
        <v>21</v>
      </c>
      <c r="G3" t="s">
        <v>22</v>
      </c>
      <c r="H3" t="s">
        <v>26</v>
      </c>
      <c r="I3" t="s">
        <v>24</v>
      </c>
      <c r="J3" s="2">
        <v>46259</v>
      </c>
      <c r="K3" s="1">
        <v>7.85</v>
      </c>
    </row>
    <row r="4" spans="1:19" x14ac:dyDescent="0.2">
      <c r="A4" s="1">
        <f t="shared" si="0"/>
        <v>6.99</v>
      </c>
      <c r="C4" t="s">
        <v>18</v>
      </c>
      <c r="D4" t="s">
        <v>19</v>
      </c>
      <c r="E4" t="s">
        <v>27</v>
      </c>
      <c r="F4" t="s">
        <v>21</v>
      </c>
      <c r="G4" t="s">
        <v>22</v>
      </c>
      <c r="H4" t="s">
        <v>28</v>
      </c>
      <c r="I4" t="s">
        <v>29</v>
      </c>
      <c r="J4" s="2">
        <v>46259</v>
      </c>
      <c r="K4" s="1">
        <v>6.99</v>
      </c>
    </row>
    <row r="5" spans="1:19" x14ac:dyDescent="0.2">
      <c r="A5" s="1">
        <f t="shared" si="0"/>
        <v>7.78</v>
      </c>
      <c r="C5" t="s">
        <v>18</v>
      </c>
      <c r="D5" t="s">
        <v>19</v>
      </c>
      <c r="E5" t="s">
        <v>30</v>
      </c>
      <c r="F5" t="s">
        <v>21</v>
      </c>
      <c r="G5" t="s">
        <v>22</v>
      </c>
      <c r="H5" t="s">
        <v>31</v>
      </c>
      <c r="I5" t="s">
        <v>32</v>
      </c>
      <c r="J5" s="2">
        <v>46259</v>
      </c>
      <c r="K5" s="1">
        <v>3.89</v>
      </c>
      <c r="L5" s="2">
        <v>46259</v>
      </c>
      <c r="M5" s="1">
        <v>3.89</v>
      </c>
    </row>
    <row r="6" spans="1:19" x14ac:dyDescent="0.2">
      <c r="A6" s="1">
        <f t="shared" si="0"/>
        <v>5.65</v>
      </c>
      <c r="C6" t="s">
        <v>18</v>
      </c>
      <c r="D6" t="s">
        <v>19</v>
      </c>
      <c r="E6" t="s">
        <v>33</v>
      </c>
      <c r="F6" t="s">
        <v>21</v>
      </c>
      <c r="G6" t="s">
        <v>22</v>
      </c>
      <c r="H6" t="s">
        <v>34</v>
      </c>
      <c r="I6" t="s">
        <v>24</v>
      </c>
      <c r="J6" s="2">
        <v>46259</v>
      </c>
      <c r="K6" s="1">
        <v>5.65</v>
      </c>
    </row>
    <row r="7" spans="1:19" x14ac:dyDescent="0.2">
      <c r="A7" s="1">
        <f t="shared" si="0"/>
        <v>18.57</v>
      </c>
      <c r="C7" t="s">
        <v>18</v>
      </c>
      <c r="D7" t="s">
        <v>19</v>
      </c>
      <c r="E7" t="s">
        <v>35</v>
      </c>
      <c r="F7" t="s">
        <v>21</v>
      </c>
      <c r="G7" t="s">
        <v>22</v>
      </c>
      <c r="H7" t="s">
        <v>36</v>
      </c>
      <c r="I7" t="s">
        <v>37</v>
      </c>
      <c r="J7" s="2">
        <v>46259</v>
      </c>
      <c r="K7" s="1">
        <v>6.19</v>
      </c>
      <c r="L7" s="2">
        <v>46259</v>
      </c>
      <c r="M7" s="1">
        <v>6.19</v>
      </c>
      <c r="N7" s="2">
        <v>46259</v>
      </c>
      <c r="O7" s="1">
        <v>6.19</v>
      </c>
    </row>
    <row r="8" spans="1:19" x14ac:dyDescent="0.2">
      <c r="A8" s="1">
        <f t="shared" si="0"/>
        <v>5.89</v>
      </c>
      <c r="C8" t="s">
        <v>18</v>
      </c>
      <c r="D8" t="s">
        <v>19</v>
      </c>
      <c r="E8" t="s">
        <v>38</v>
      </c>
      <c r="F8" t="s">
        <v>21</v>
      </c>
      <c r="G8" t="s">
        <v>22</v>
      </c>
      <c r="H8" t="s">
        <v>39</v>
      </c>
      <c r="I8" t="s">
        <v>40</v>
      </c>
      <c r="J8" s="2">
        <v>46259</v>
      </c>
      <c r="K8" s="1">
        <v>5.89</v>
      </c>
    </row>
    <row r="9" spans="1:19" x14ac:dyDescent="0.2">
      <c r="A9" s="1">
        <f t="shared" si="0"/>
        <v>6.79</v>
      </c>
      <c r="C9" t="s">
        <v>41</v>
      </c>
      <c r="D9" t="s">
        <v>42</v>
      </c>
      <c r="E9" t="s">
        <v>43</v>
      </c>
      <c r="F9" t="s">
        <v>19</v>
      </c>
      <c r="G9" t="s">
        <v>44</v>
      </c>
      <c r="H9" t="s">
        <v>45</v>
      </c>
      <c r="I9" t="s">
        <v>46</v>
      </c>
      <c r="J9" s="2">
        <v>46257</v>
      </c>
      <c r="K9" s="1">
        <v>6.79</v>
      </c>
    </row>
    <row r="10" spans="1:19" x14ac:dyDescent="0.2">
      <c r="A10" s="1">
        <f t="shared" si="0"/>
        <v>2.52</v>
      </c>
      <c r="C10" t="s">
        <v>41</v>
      </c>
      <c r="D10" t="s">
        <v>47</v>
      </c>
      <c r="E10" t="s">
        <v>48</v>
      </c>
      <c r="F10" t="s">
        <v>19</v>
      </c>
      <c r="G10" t="s">
        <v>44</v>
      </c>
      <c r="H10" t="s">
        <v>48</v>
      </c>
      <c r="I10" t="s">
        <v>49</v>
      </c>
      <c r="J10" s="2">
        <v>46257</v>
      </c>
      <c r="K10" s="1">
        <v>2.52</v>
      </c>
    </row>
    <row r="11" spans="1:19" x14ac:dyDescent="0.2">
      <c r="A11" s="1">
        <f t="shared" si="0"/>
        <v>2.6</v>
      </c>
      <c r="C11" t="s">
        <v>41</v>
      </c>
      <c r="D11" t="s">
        <v>50</v>
      </c>
      <c r="E11" t="s">
        <v>51</v>
      </c>
      <c r="F11" t="s">
        <v>19</v>
      </c>
      <c r="G11" t="s">
        <v>44</v>
      </c>
      <c r="H11" t="s">
        <v>51</v>
      </c>
      <c r="I11" t="s">
        <v>49</v>
      </c>
      <c r="J11" s="2">
        <v>46257</v>
      </c>
      <c r="K11" s="1">
        <v>2.6</v>
      </c>
    </row>
    <row r="12" spans="1:19" x14ac:dyDescent="0.2">
      <c r="A12" s="1">
        <f t="shared" si="0"/>
        <v>3.29</v>
      </c>
      <c r="C12" t="s">
        <v>41</v>
      </c>
      <c r="D12" t="s">
        <v>52</v>
      </c>
      <c r="E12" t="s">
        <v>53</v>
      </c>
      <c r="F12" t="s">
        <v>19</v>
      </c>
      <c r="G12" t="s">
        <v>44</v>
      </c>
      <c r="H12" t="s">
        <v>53</v>
      </c>
      <c r="I12" t="s">
        <v>49</v>
      </c>
      <c r="J12" s="2">
        <v>46257</v>
      </c>
      <c r="K12" s="1">
        <v>3.29</v>
      </c>
    </row>
    <row r="13" spans="1:19" x14ac:dyDescent="0.2">
      <c r="A13" s="1">
        <f t="shared" si="0"/>
        <v>0.89</v>
      </c>
      <c r="C13" t="s">
        <v>41</v>
      </c>
      <c r="D13" t="s">
        <v>54</v>
      </c>
      <c r="E13" t="s">
        <v>55</v>
      </c>
      <c r="F13" t="s">
        <v>19</v>
      </c>
      <c r="G13" t="s">
        <v>44</v>
      </c>
      <c r="H13" t="s">
        <v>55</v>
      </c>
      <c r="I13" t="s">
        <v>56</v>
      </c>
      <c r="J13" s="2">
        <v>46257</v>
      </c>
      <c r="K13" s="1">
        <v>0.89</v>
      </c>
    </row>
    <row r="14" spans="1:19" x14ac:dyDescent="0.2">
      <c r="A14" s="1">
        <f t="shared" si="0"/>
        <v>3.41</v>
      </c>
      <c r="C14" t="s">
        <v>41</v>
      </c>
      <c r="D14" t="s">
        <v>57</v>
      </c>
      <c r="E14" t="s">
        <v>58</v>
      </c>
      <c r="F14" t="s">
        <v>19</v>
      </c>
      <c r="G14" t="s">
        <v>44</v>
      </c>
      <c r="H14" t="s">
        <v>58</v>
      </c>
      <c r="I14" t="s">
        <v>49</v>
      </c>
      <c r="J14" s="2">
        <v>46257</v>
      </c>
      <c r="K14" s="1">
        <v>3.41</v>
      </c>
    </row>
    <row r="15" spans="1:19" x14ac:dyDescent="0.2">
      <c r="A15" s="1">
        <f t="shared" si="0"/>
        <v>2.99</v>
      </c>
      <c r="C15" t="s">
        <v>41</v>
      </c>
      <c r="D15" t="s">
        <v>59</v>
      </c>
      <c r="E15" t="s">
        <v>60</v>
      </c>
      <c r="F15" t="s">
        <v>19</v>
      </c>
      <c r="G15" t="s">
        <v>44</v>
      </c>
      <c r="H15" t="s">
        <v>60</v>
      </c>
      <c r="I15" t="s">
        <v>49</v>
      </c>
      <c r="J15" s="2">
        <v>46257</v>
      </c>
      <c r="K15" s="1">
        <v>2.99</v>
      </c>
    </row>
    <row r="16" spans="1:19" x14ac:dyDescent="0.2">
      <c r="A16" s="1">
        <f t="shared" si="0"/>
        <v>8.2899999999999991</v>
      </c>
      <c r="C16" t="s">
        <v>41</v>
      </c>
      <c r="D16" t="s">
        <v>61</v>
      </c>
      <c r="E16" t="s">
        <v>62</v>
      </c>
      <c r="F16" t="s">
        <v>19</v>
      </c>
      <c r="G16" t="s">
        <v>44</v>
      </c>
      <c r="H16" t="s">
        <v>63</v>
      </c>
      <c r="I16" t="s">
        <v>64</v>
      </c>
      <c r="J16" s="2">
        <v>46257</v>
      </c>
      <c r="K16" s="1">
        <v>8.2899999999999991</v>
      </c>
    </row>
    <row r="17" spans="1:13" x14ac:dyDescent="0.2">
      <c r="A17" s="1">
        <f t="shared" si="0"/>
        <v>2.69</v>
      </c>
      <c r="C17" t="s">
        <v>41</v>
      </c>
      <c r="D17" t="s">
        <v>65</v>
      </c>
      <c r="E17" t="s">
        <v>66</v>
      </c>
      <c r="F17" t="s">
        <v>19</v>
      </c>
      <c r="G17" t="s">
        <v>44</v>
      </c>
      <c r="H17" t="s">
        <v>67</v>
      </c>
      <c r="I17" t="s">
        <v>49</v>
      </c>
      <c r="J17" s="2">
        <v>46257</v>
      </c>
      <c r="K17" s="1">
        <v>2.69</v>
      </c>
    </row>
    <row r="18" spans="1:13" x14ac:dyDescent="0.2">
      <c r="A18" s="1">
        <f t="shared" si="0"/>
        <v>3.69</v>
      </c>
      <c r="C18" t="s">
        <v>41</v>
      </c>
      <c r="D18" t="s">
        <v>68</v>
      </c>
      <c r="E18" t="s">
        <v>69</v>
      </c>
      <c r="F18" t="s">
        <v>19</v>
      </c>
      <c r="G18" t="s">
        <v>44</v>
      </c>
      <c r="H18" t="s">
        <v>70</v>
      </c>
      <c r="I18" t="s">
        <v>71</v>
      </c>
      <c r="J18" s="2">
        <v>46257</v>
      </c>
      <c r="K18" s="1">
        <v>3.69</v>
      </c>
    </row>
    <row r="19" spans="1:13" x14ac:dyDescent="0.2">
      <c r="A19" s="1">
        <f t="shared" si="0"/>
        <v>1.29</v>
      </c>
      <c r="C19" t="s">
        <v>41</v>
      </c>
      <c r="D19" t="s">
        <v>72</v>
      </c>
      <c r="E19" t="s">
        <v>73</v>
      </c>
      <c r="F19" t="s">
        <v>19</v>
      </c>
      <c r="G19" t="s">
        <v>44</v>
      </c>
      <c r="H19" t="s">
        <v>73</v>
      </c>
      <c r="I19" t="s">
        <v>49</v>
      </c>
      <c r="J19" s="2">
        <v>46257</v>
      </c>
      <c r="K19" s="1">
        <v>1.29</v>
      </c>
    </row>
    <row r="20" spans="1:13" x14ac:dyDescent="0.2">
      <c r="A20" s="1">
        <f t="shared" si="0"/>
        <v>3.89</v>
      </c>
      <c r="C20" t="s">
        <v>41</v>
      </c>
      <c r="D20" t="s">
        <v>74</v>
      </c>
      <c r="E20" t="s">
        <v>75</v>
      </c>
      <c r="F20" t="s">
        <v>19</v>
      </c>
      <c r="G20" t="s">
        <v>44</v>
      </c>
      <c r="H20" t="s">
        <v>76</v>
      </c>
      <c r="I20" t="s">
        <v>77</v>
      </c>
      <c r="J20" s="2">
        <v>46257</v>
      </c>
      <c r="K20" s="1">
        <v>3.89</v>
      </c>
    </row>
    <row r="21" spans="1:13" x14ac:dyDescent="0.2">
      <c r="A21" s="1">
        <f t="shared" si="0"/>
        <v>2.59</v>
      </c>
      <c r="C21" t="s">
        <v>41</v>
      </c>
      <c r="D21" t="s">
        <v>78</v>
      </c>
      <c r="E21" t="s">
        <v>79</v>
      </c>
      <c r="F21" t="s">
        <v>19</v>
      </c>
      <c r="G21" t="s">
        <v>44</v>
      </c>
      <c r="H21" t="s">
        <v>79</v>
      </c>
      <c r="I21" t="s">
        <v>71</v>
      </c>
      <c r="J21" s="2">
        <v>46257</v>
      </c>
      <c r="K21" s="1">
        <v>2.59</v>
      </c>
    </row>
    <row r="22" spans="1:13" x14ac:dyDescent="0.2">
      <c r="A22" s="1">
        <f t="shared" si="0"/>
        <v>4.3899999999999997</v>
      </c>
      <c r="C22" t="s">
        <v>41</v>
      </c>
      <c r="D22" t="s">
        <v>80</v>
      </c>
      <c r="E22" t="s">
        <v>81</v>
      </c>
      <c r="F22" t="s">
        <v>19</v>
      </c>
      <c r="G22" t="s">
        <v>44</v>
      </c>
      <c r="H22" t="s">
        <v>81</v>
      </c>
      <c r="I22" t="s">
        <v>71</v>
      </c>
      <c r="J22" s="2">
        <v>46257</v>
      </c>
      <c r="K22" s="1">
        <v>4.3899999999999997</v>
      </c>
    </row>
    <row r="23" spans="1:13" x14ac:dyDescent="0.2">
      <c r="A23" s="1">
        <f t="shared" si="0"/>
        <v>3.45</v>
      </c>
      <c r="C23" t="s">
        <v>41</v>
      </c>
      <c r="D23" t="s">
        <v>82</v>
      </c>
      <c r="E23" t="s">
        <v>83</v>
      </c>
      <c r="F23" t="s">
        <v>19</v>
      </c>
      <c r="G23" t="s">
        <v>44</v>
      </c>
      <c r="H23" t="s">
        <v>84</v>
      </c>
      <c r="I23" t="s">
        <v>85</v>
      </c>
      <c r="J23" s="2">
        <v>46257</v>
      </c>
      <c r="K23" s="1">
        <v>3.45</v>
      </c>
    </row>
    <row r="24" spans="1:13" x14ac:dyDescent="0.2">
      <c r="A24" s="1">
        <f t="shared" si="0"/>
        <v>2.39</v>
      </c>
      <c r="C24" t="s">
        <v>41</v>
      </c>
      <c r="D24" t="s">
        <v>19</v>
      </c>
      <c r="E24" t="s">
        <v>86</v>
      </c>
      <c r="F24" t="s">
        <v>19</v>
      </c>
      <c r="G24" t="s">
        <v>44</v>
      </c>
      <c r="H24" t="s">
        <v>86</v>
      </c>
      <c r="I24" t="s">
        <v>87</v>
      </c>
      <c r="J24" s="2">
        <v>46257</v>
      </c>
      <c r="K24" s="1">
        <v>2.39</v>
      </c>
    </row>
    <row r="25" spans="1:13" x14ac:dyDescent="0.2">
      <c r="A25" s="1">
        <f t="shared" si="0"/>
        <v>1.31</v>
      </c>
      <c r="C25" t="s">
        <v>41</v>
      </c>
      <c r="D25" t="s">
        <v>88</v>
      </c>
      <c r="E25" t="s">
        <v>89</v>
      </c>
      <c r="F25" t="s">
        <v>19</v>
      </c>
      <c r="G25" t="s">
        <v>44</v>
      </c>
      <c r="H25" t="s">
        <v>90</v>
      </c>
      <c r="I25" t="s">
        <v>71</v>
      </c>
      <c r="J25" s="2">
        <v>46257</v>
      </c>
      <c r="K25" s="1">
        <v>1.31</v>
      </c>
    </row>
    <row r="26" spans="1:13" x14ac:dyDescent="0.2">
      <c r="A26" s="1">
        <f t="shared" si="0"/>
        <v>3.98</v>
      </c>
      <c r="C26" t="s">
        <v>41</v>
      </c>
      <c r="D26" t="s">
        <v>91</v>
      </c>
      <c r="E26" t="s">
        <v>92</v>
      </c>
      <c r="F26" t="s">
        <v>19</v>
      </c>
      <c r="G26" t="s">
        <v>44</v>
      </c>
      <c r="H26" t="s">
        <v>92</v>
      </c>
      <c r="I26" t="s">
        <v>93</v>
      </c>
      <c r="J26" s="2">
        <v>46257</v>
      </c>
      <c r="K26" s="1">
        <v>1.99</v>
      </c>
      <c r="L26" s="2">
        <v>46257</v>
      </c>
      <c r="M26" s="1">
        <v>1.99</v>
      </c>
    </row>
    <row r="27" spans="1:13" x14ac:dyDescent="0.2">
      <c r="A27" s="1">
        <f t="shared" si="0"/>
        <v>2.4900000000000002</v>
      </c>
      <c r="C27" t="s">
        <v>41</v>
      </c>
      <c r="D27" t="s">
        <v>94</v>
      </c>
      <c r="E27" t="s">
        <v>95</v>
      </c>
      <c r="F27" t="s">
        <v>19</v>
      </c>
      <c r="G27" t="s">
        <v>44</v>
      </c>
      <c r="H27" t="s">
        <v>95</v>
      </c>
      <c r="I27" t="s">
        <v>49</v>
      </c>
      <c r="J27" s="2">
        <v>46257</v>
      </c>
      <c r="K27" s="1">
        <v>2.4900000000000002</v>
      </c>
    </row>
    <row r="28" spans="1:13" x14ac:dyDescent="0.2">
      <c r="A28" s="1">
        <f t="shared" si="0"/>
        <v>1.98</v>
      </c>
      <c r="C28" t="s">
        <v>41</v>
      </c>
      <c r="D28" t="s">
        <v>96</v>
      </c>
      <c r="E28" t="s">
        <v>97</v>
      </c>
      <c r="F28" t="s">
        <v>19</v>
      </c>
      <c r="G28" t="s">
        <v>44</v>
      </c>
      <c r="H28" t="s">
        <v>97</v>
      </c>
      <c r="I28" t="s">
        <v>98</v>
      </c>
      <c r="J28" s="2">
        <v>46257</v>
      </c>
      <c r="K28" s="1">
        <v>0.99</v>
      </c>
      <c r="L28" s="2">
        <v>46257</v>
      </c>
      <c r="M28" s="1">
        <v>0.99</v>
      </c>
    </row>
    <row r="29" spans="1:13" x14ac:dyDescent="0.2">
      <c r="A29" s="1">
        <f t="shared" si="0"/>
        <v>1.7</v>
      </c>
      <c r="C29" t="s">
        <v>41</v>
      </c>
      <c r="D29" t="s">
        <v>99</v>
      </c>
      <c r="E29" t="s">
        <v>100</v>
      </c>
      <c r="F29" t="s">
        <v>19</v>
      </c>
      <c r="G29" t="s">
        <v>44</v>
      </c>
      <c r="H29" t="s">
        <v>101</v>
      </c>
      <c r="I29" t="s">
        <v>98</v>
      </c>
      <c r="J29" s="2">
        <v>46257</v>
      </c>
      <c r="K29" s="1">
        <v>0.85</v>
      </c>
      <c r="L29" s="2">
        <v>46257</v>
      </c>
      <c r="M29" s="1">
        <v>0.85</v>
      </c>
    </row>
    <row r="30" spans="1:13" x14ac:dyDescent="0.2">
      <c r="A30" s="1">
        <f t="shared" si="0"/>
        <v>2.99</v>
      </c>
      <c r="C30" t="s">
        <v>41</v>
      </c>
      <c r="D30" t="s">
        <v>102</v>
      </c>
      <c r="E30" t="s">
        <v>103</v>
      </c>
      <c r="F30" t="s">
        <v>19</v>
      </c>
      <c r="G30" t="s">
        <v>44</v>
      </c>
      <c r="H30" t="s">
        <v>104</v>
      </c>
      <c r="I30" t="s">
        <v>105</v>
      </c>
      <c r="J30" s="2">
        <v>46257</v>
      </c>
      <c r="K30" s="1">
        <v>2.99</v>
      </c>
    </row>
    <row r="31" spans="1:13" x14ac:dyDescent="0.2">
      <c r="A31" s="1">
        <f t="shared" si="0"/>
        <v>0.95</v>
      </c>
      <c r="C31" t="s">
        <v>41</v>
      </c>
      <c r="D31" t="s">
        <v>106</v>
      </c>
      <c r="E31" t="s">
        <v>107</v>
      </c>
      <c r="F31" t="s">
        <v>19</v>
      </c>
      <c r="G31" t="s">
        <v>44</v>
      </c>
      <c r="H31" t="s">
        <v>108</v>
      </c>
      <c r="I31" t="s">
        <v>56</v>
      </c>
      <c r="J31" s="2">
        <v>46257</v>
      </c>
      <c r="K31" s="1">
        <v>0.95</v>
      </c>
    </row>
    <row r="32" spans="1:13" x14ac:dyDescent="0.2">
      <c r="A32" s="1">
        <f t="shared" si="0"/>
        <v>1.99</v>
      </c>
      <c r="C32" t="s">
        <v>41</v>
      </c>
      <c r="D32" t="s">
        <v>109</v>
      </c>
      <c r="E32" t="s">
        <v>110</v>
      </c>
      <c r="F32" t="s">
        <v>19</v>
      </c>
      <c r="G32" t="s">
        <v>44</v>
      </c>
      <c r="H32" t="s">
        <v>111</v>
      </c>
      <c r="I32" t="s">
        <v>112</v>
      </c>
      <c r="J32" s="2">
        <v>46257</v>
      </c>
      <c r="K32" s="1">
        <v>1.99</v>
      </c>
    </row>
    <row r="33" spans="1:13" x14ac:dyDescent="0.2">
      <c r="A33" s="1">
        <f t="shared" si="0"/>
        <v>5.25</v>
      </c>
      <c r="C33" t="s">
        <v>41</v>
      </c>
      <c r="D33" t="s">
        <v>113</v>
      </c>
      <c r="E33" t="s">
        <v>114</v>
      </c>
      <c r="F33" t="s">
        <v>19</v>
      </c>
      <c r="G33" t="s">
        <v>44</v>
      </c>
      <c r="H33" t="s">
        <v>115</v>
      </c>
      <c r="I33" t="s">
        <v>116</v>
      </c>
      <c r="J33" s="2">
        <v>46257</v>
      </c>
      <c r="K33" s="1">
        <v>5.25</v>
      </c>
    </row>
    <row r="34" spans="1:13" x14ac:dyDescent="0.2">
      <c r="A34" s="1">
        <f t="shared" ref="A34:A65" si="1">SUM(K34,M34,O34,Q34,S34)</f>
        <v>3.37</v>
      </c>
      <c r="C34" t="s">
        <v>41</v>
      </c>
      <c r="D34" t="s">
        <v>117</v>
      </c>
      <c r="E34" t="s">
        <v>118</v>
      </c>
      <c r="F34" t="s">
        <v>19</v>
      </c>
      <c r="G34" t="s">
        <v>44</v>
      </c>
      <c r="H34" t="s">
        <v>119</v>
      </c>
      <c r="I34" t="s">
        <v>46</v>
      </c>
      <c r="J34" s="2">
        <v>46257</v>
      </c>
      <c r="K34" s="1">
        <v>3.37</v>
      </c>
    </row>
    <row r="35" spans="1:13" x14ac:dyDescent="0.2">
      <c r="A35" s="1">
        <f t="shared" si="1"/>
        <v>5.99</v>
      </c>
      <c r="C35" t="s">
        <v>41</v>
      </c>
      <c r="D35" t="s">
        <v>120</v>
      </c>
      <c r="E35" t="s">
        <v>121</v>
      </c>
      <c r="F35" t="s">
        <v>19</v>
      </c>
      <c r="G35" t="s">
        <v>44</v>
      </c>
      <c r="H35" t="s">
        <v>122</v>
      </c>
      <c r="I35" t="s">
        <v>123</v>
      </c>
      <c r="J35" s="2">
        <v>46257</v>
      </c>
      <c r="K35" s="1">
        <v>5.99</v>
      </c>
    </row>
    <row r="36" spans="1:13" x14ac:dyDescent="0.2">
      <c r="A36" s="1">
        <f t="shared" si="1"/>
        <v>2.79</v>
      </c>
      <c r="C36" t="s">
        <v>41</v>
      </c>
      <c r="D36" t="s">
        <v>124</v>
      </c>
      <c r="E36" t="s">
        <v>125</v>
      </c>
      <c r="F36" t="s">
        <v>19</v>
      </c>
      <c r="G36" t="s">
        <v>44</v>
      </c>
      <c r="H36" t="s">
        <v>126</v>
      </c>
      <c r="I36" t="s">
        <v>127</v>
      </c>
      <c r="J36" s="2">
        <v>46257</v>
      </c>
      <c r="K36" s="1">
        <v>2.79</v>
      </c>
    </row>
    <row r="37" spans="1:13" x14ac:dyDescent="0.2">
      <c r="A37" s="1">
        <f t="shared" si="1"/>
        <v>1.99</v>
      </c>
      <c r="C37" t="s">
        <v>41</v>
      </c>
      <c r="D37" t="s">
        <v>128</v>
      </c>
      <c r="E37" t="s">
        <v>129</v>
      </c>
      <c r="F37" t="s">
        <v>19</v>
      </c>
      <c r="G37" t="s">
        <v>44</v>
      </c>
      <c r="H37" t="s">
        <v>129</v>
      </c>
      <c r="I37" t="s">
        <v>130</v>
      </c>
      <c r="J37" s="2">
        <v>46257</v>
      </c>
      <c r="K37" s="1">
        <v>1.99</v>
      </c>
    </row>
    <row r="38" spans="1:13" x14ac:dyDescent="0.2">
      <c r="A38" s="1">
        <f t="shared" si="1"/>
        <v>2.89</v>
      </c>
      <c r="C38" t="s">
        <v>41</v>
      </c>
      <c r="D38" t="s">
        <v>131</v>
      </c>
      <c r="E38" t="s">
        <v>132</v>
      </c>
      <c r="F38" t="s">
        <v>19</v>
      </c>
      <c r="G38" t="s">
        <v>44</v>
      </c>
      <c r="H38" t="s">
        <v>133</v>
      </c>
      <c r="I38" t="s">
        <v>130</v>
      </c>
      <c r="J38" s="2">
        <v>46257</v>
      </c>
      <c r="K38" s="1">
        <v>2.89</v>
      </c>
    </row>
    <row r="39" spans="1:13" x14ac:dyDescent="0.2">
      <c r="A39" s="1">
        <f t="shared" si="1"/>
        <v>5.99</v>
      </c>
      <c r="C39" t="s">
        <v>41</v>
      </c>
      <c r="D39" t="s">
        <v>19</v>
      </c>
      <c r="E39" t="s">
        <v>134</v>
      </c>
      <c r="F39" t="s">
        <v>19</v>
      </c>
      <c r="G39" t="s">
        <v>44</v>
      </c>
      <c r="H39" t="s">
        <v>135</v>
      </c>
      <c r="I39" t="s">
        <v>136</v>
      </c>
      <c r="J39" s="2">
        <v>46257</v>
      </c>
      <c r="K39" s="1">
        <v>5.99</v>
      </c>
    </row>
    <row r="40" spans="1:13" x14ac:dyDescent="0.2">
      <c r="A40" s="1">
        <f t="shared" si="1"/>
        <v>13.98</v>
      </c>
      <c r="C40" t="s">
        <v>137</v>
      </c>
      <c r="D40" t="s">
        <v>19</v>
      </c>
      <c r="E40" t="s">
        <v>138</v>
      </c>
      <c r="F40" t="s">
        <v>19</v>
      </c>
      <c r="G40" t="s">
        <v>139</v>
      </c>
      <c r="H40" t="s">
        <v>140</v>
      </c>
      <c r="I40" t="s">
        <v>141</v>
      </c>
      <c r="J40" s="2">
        <v>46258</v>
      </c>
      <c r="K40" s="1">
        <v>6.99</v>
      </c>
      <c r="L40" s="2">
        <v>46258</v>
      </c>
      <c r="M40" s="1">
        <v>6.99</v>
      </c>
    </row>
    <row r="41" spans="1:13" x14ac:dyDescent="0.2">
      <c r="A41" s="1">
        <f t="shared" si="1"/>
        <v>3.99</v>
      </c>
      <c r="C41" t="s">
        <v>137</v>
      </c>
      <c r="D41" t="s">
        <v>19</v>
      </c>
      <c r="E41" t="s">
        <v>142</v>
      </c>
      <c r="F41" t="s">
        <v>19</v>
      </c>
      <c r="G41" t="s">
        <v>139</v>
      </c>
      <c r="H41" t="s">
        <v>143</v>
      </c>
      <c r="I41" t="s">
        <v>71</v>
      </c>
      <c r="J41" s="2">
        <v>46258</v>
      </c>
      <c r="K41" s="1">
        <v>3.99</v>
      </c>
    </row>
    <row r="42" spans="1:13" x14ac:dyDescent="0.2">
      <c r="A42" s="1">
        <f t="shared" si="1"/>
        <v>3.29</v>
      </c>
      <c r="C42" t="s">
        <v>137</v>
      </c>
      <c r="D42" t="s">
        <v>19</v>
      </c>
      <c r="E42" t="s">
        <v>144</v>
      </c>
      <c r="F42" t="s">
        <v>19</v>
      </c>
      <c r="G42" t="s">
        <v>139</v>
      </c>
      <c r="H42" t="s">
        <v>145</v>
      </c>
      <c r="I42" t="s">
        <v>146</v>
      </c>
      <c r="J42" s="2">
        <v>46258</v>
      </c>
      <c r="K42" s="1">
        <v>3.29</v>
      </c>
    </row>
    <row r="43" spans="1:13" x14ac:dyDescent="0.2">
      <c r="A43" s="1">
        <f t="shared" si="1"/>
        <v>2.99</v>
      </c>
      <c r="C43" t="s">
        <v>137</v>
      </c>
      <c r="D43" t="s">
        <v>19</v>
      </c>
      <c r="E43" t="s">
        <v>147</v>
      </c>
      <c r="F43" t="s">
        <v>19</v>
      </c>
      <c r="G43" t="s">
        <v>139</v>
      </c>
      <c r="H43" t="s">
        <v>148</v>
      </c>
      <c r="I43" t="s">
        <v>149</v>
      </c>
      <c r="J43" s="2">
        <v>46258</v>
      </c>
      <c r="K43" s="1">
        <v>2.99</v>
      </c>
    </row>
    <row r="44" spans="1:13" x14ac:dyDescent="0.2">
      <c r="A44" s="1">
        <f t="shared" si="1"/>
        <v>5.99</v>
      </c>
      <c r="C44" t="s">
        <v>137</v>
      </c>
      <c r="D44" t="s">
        <v>19</v>
      </c>
      <c r="E44" t="s">
        <v>150</v>
      </c>
      <c r="F44" t="s">
        <v>19</v>
      </c>
      <c r="G44" t="s">
        <v>139</v>
      </c>
      <c r="H44" t="s">
        <v>151</v>
      </c>
      <c r="I44" t="s">
        <v>152</v>
      </c>
      <c r="J44" s="2">
        <v>46258</v>
      </c>
      <c r="K44" s="1">
        <v>5.99</v>
      </c>
    </row>
    <row r="45" spans="1:13" x14ac:dyDescent="0.2">
      <c r="A45" s="1">
        <f t="shared" si="1"/>
        <v>5.5</v>
      </c>
      <c r="C45" t="s">
        <v>153</v>
      </c>
      <c r="D45" t="s">
        <v>19</v>
      </c>
      <c r="E45" t="s">
        <v>154</v>
      </c>
      <c r="F45" t="s">
        <v>19</v>
      </c>
      <c r="G45" t="s">
        <v>19</v>
      </c>
      <c r="H45" t="s">
        <v>154</v>
      </c>
      <c r="I45" t="s">
        <v>155</v>
      </c>
      <c r="J45" s="2">
        <v>46261</v>
      </c>
      <c r="K45" s="1">
        <v>5.5</v>
      </c>
    </row>
    <row r="46" spans="1:13" x14ac:dyDescent="0.2">
      <c r="A46" s="1">
        <f t="shared" si="1"/>
        <v>5.5</v>
      </c>
      <c r="C46" t="s">
        <v>153</v>
      </c>
      <c r="D46" t="s">
        <v>19</v>
      </c>
      <c r="E46" t="s">
        <v>156</v>
      </c>
      <c r="F46" t="s">
        <v>19</v>
      </c>
      <c r="G46" t="s">
        <v>19</v>
      </c>
      <c r="H46" t="s">
        <v>156</v>
      </c>
      <c r="I46" t="s">
        <v>155</v>
      </c>
      <c r="J46" s="2">
        <v>46261</v>
      </c>
      <c r="K46" s="1">
        <v>5.5</v>
      </c>
    </row>
    <row r="47" spans="1:13" x14ac:dyDescent="0.2">
      <c r="A47" s="1">
        <f t="shared" si="1"/>
        <v>14.9</v>
      </c>
      <c r="C47" t="s">
        <v>153</v>
      </c>
      <c r="D47" t="s">
        <v>19</v>
      </c>
      <c r="E47" t="s">
        <v>157</v>
      </c>
      <c r="F47" t="s">
        <v>158</v>
      </c>
      <c r="G47" t="s">
        <v>19</v>
      </c>
      <c r="H47" t="s">
        <v>157</v>
      </c>
      <c r="I47" t="s">
        <v>159</v>
      </c>
      <c r="J47" s="2">
        <v>46261</v>
      </c>
      <c r="K47" s="1">
        <v>14.9</v>
      </c>
    </row>
    <row r="48" spans="1:13" x14ac:dyDescent="0.2">
      <c r="A48" s="1">
        <f t="shared" si="1"/>
        <v>16.3</v>
      </c>
      <c r="C48" t="s">
        <v>153</v>
      </c>
      <c r="D48" t="s">
        <v>19</v>
      </c>
      <c r="E48" t="s">
        <v>160</v>
      </c>
      <c r="F48" t="s">
        <v>161</v>
      </c>
      <c r="G48" t="s">
        <v>19</v>
      </c>
      <c r="H48" t="s">
        <v>160</v>
      </c>
      <c r="I48" t="s">
        <v>159</v>
      </c>
      <c r="J48" s="2">
        <v>46261</v>
      </c>
      <c r="K48" s="1">
        <v>16.3</v>
      </c>
    </row>
    <row r="49" spans="1:13" x14ac:dyDescent="0.2">
      <c r="A49" s="1">
        <f t="shared" si="1"/>
        <v>2.96</v>
      </c>
      <c r="C49" t="s">
        <v>153</v>
      </c>
      <c r="D49" t="s">
        <v>19</v>
      </c>
      <c r="E49" t="s">
        <v>162</v>
      </c>
      <c r="F49" t="s">
        <v>19</v>
      </c>
      <c r="G49" t="s">
        <v>19</v>
      </c>
      <c r="H49" t="s">
        <v>162</v>
      </c>
      <c r="I49" t="s">
        <v>163</v>
      </c>
      <c r="J49" s="2">
        <v>46261</v>
      </c>
      <c r="K49" s="1">
        <v>2.96</v>
      </c>
    </row>
    <row r="50" spans="1:13" x14ac:dyDescent="0.2">
      <c r="A50" s="1">
        <f t="shared" si="1"/>
        <v>2.96</v>
      </c>
      <c r="C50" t="s">
        <v>153</v>
      </c>
      <c r="D50" t="s">
        <v>19</v>
      </c>
      <c r="E50" t="s">
        <v>164</v>
      </c>
      <c r="F50" t="s">
        <v>19</v>
      </c>
      <c r="G50" t="s">
        <v>19</v>
      </c>
      <c r="H50" t="s">
        <v>164</v>
      </c>
      <c r="I50" t="s">
        <v>163</v>
      </c>
      <c r="J50" s="2">
        <v>46261</v>
      </c>
      <c r="K50" s="1">
        <v>2.96</v>
      </c>
    </row>
    <row r="51" spans="1:13" x14ac:dyDescent="0.2">
      <c r="A51" s="1">
        <f t="shared" si="1"/>
        <v>8.9600000000000009</v>
      </c>
      <c r="C51" t="s">
        <v>165</v>
      </c>
      <c r="D51" t="s">
        <v>19</v>
      </c>
      <c r="E51" t="s">
        <v>166</v>
      </c>
      <c r="F51" t="s">
        <v>19</v>
      </c>
      <c r="G51" t="s">
        <v>167</v>
      </c>
      <c r="H51" t="s">
        <v>168</v>
      </c>
      <c r="I51" t="s">
        <v>169</v>
      </c>
      <c r="J51" s="2">
        <v>46240</v>
      </c>
      <c r="K51" s="1">
        <v>4.4800000000000004</v>
      </c>
      <c r="L51" s="2">
        <v>46241</v>
      </c>
      <c r="M51" s="1">
        <v>4.4800000000000004</v>
      </c>
    </row>
    <row r="52" spans="1:13" x14ac:dyDescent="0.2">
      <c r="A52" s="1">
        <f t="shared" si="1"/>
        <v>13.92</v>
      </c>
      <c r="C52" t="s">
        <v>165</v>
      </c>
      <c r="D52" t="s">
        <v>19</v>
      </c>
      <c r="E52" t="s">
        <v>170</v>
      </c>
      <c r="F52" t="s">
        <v>19</v>
      </c>
      <c r="G52" t="s">
        <v>167</v>
      </c>
      <c r="H52" t="s">
        <v>171</v>
      </c>
      <c r="I52" t="s">
        <v>172</v>
      </c>
      <c r="J52" s="2">
        <v>46240</v>
      </c>
      <c r="K52" s="1">
        <v>6.96</v>
      </c>
      <c r="L52" s="2">
        <v>46241</v>
      </c>
      <c r="M52" s="1">
        <v>6.96</v>
      </c>
    </row>
    <row r="53" spans="1:13" x14ac:dyDescent="0.2">
      <c r="A53" s="1">
        <f t="shared" si="1"/>
        <v>16.739999999999998</v>
      </c>
      <c r="C53" t="s">
        <v>165</v>
      </c>
      <c r="D53" t="s">
        <v>19</v>
      </c>
      <c r="E53" t="s">
        <v>173</v>
      </c>
      <c r="F53" t="s">
        <v>19</v>
      </c>
      <c r="G53" t="s">
        <v>167</v>
      </c>
      <c r="H53" t="s">
        <v>174</v>
      </c>
      <c r="I53" t="s">
        <v>175</v>
      </c>
      <c r="J53" s="2">
        <v>46240</v>
      </c>
      <c r="K53" s="1">
        <v>8.3699999999999992</v>
      </c>
      <c r="L53" s="2">
        <v>46241</v>
      </c>
      <c r="M53" s="1">
        <v>8.3699999999999992</v>
      </c>
    </row>
    <row r="54" spans="1:13" x14ac:dyDescent="0.2">
      <c r="A54" s="1">
        <f t="shared" si="1"/>
        <v>6.67</v>
      </c>
      <c r="C54" t="s">
        <v>165</v>
      </c>
      <c r="D54" t="s">
        <v>19</v>
      </c>
      <c r="E54" t="s">
        <v>176</v>
      </c>
      <c r="F54" t="s">
        <v>19</v>
      </c>
      <c r="G54" t="s">
        <v>167</v>
      </c>
      <c r="H54" t="s">
        <v>177</v>
      </c>
      <c r="I54" t="s">
        <v>178</v>
      </c>
      <c r="J54" s="2">
        <v>46240</v>
      </c>
      <c r="K54" s="1">
        <v>6.67</v>
      </c>
    </row>
    <row r="55" spans="1:13" x14ac:dyDescent="0.2">
      <c r="A55" s="1">
        <f t="shared" si="1"/>
        <v>47.88</v>
      </c>
      <c r="C55" t="s">
        <v>165</v>
      </c>
      <c r="D55" t="s">
        <v>19</v>
      </c>
      <c r="E55" t="s">
        <v>179</v>
      </c>
      <c r="F55" t="s">
        <v>19</v>
      </c>
      <c r="G55" t="s">
        <v>167</v>
      </c>
      <c r="H55" t="s">
        <v>180</v>
      </c>
      <c r="I55" t="s">
        <v>181</v>
      </c>
      <c r="J55" s="2">
        <v>46240</v>
      </c>
      <c r="K55" s="1">
        <v>23.94</v>
      </c>
      <c r="L55" s="2">
        <v>46241</v>
      </c>
      <c r="M55" s="1">
        <v>23.94</v>
      </c>
    </row>
    <row r="56" spans="1:13" x14ac:dyDescent="0.2">
      <c r="A56" s="1">
        <f t="shared" si="1"/>
        <v>6.32</v>
      </c>
      <c r="C56" t="s">
        <v>165</v>
      </c>
      <c r="D56" t="s">
        <v>19</v>
      </c>
      <c r="E56" t="s">
        <v>182</v>
      </c>
      <c r="F56" t="s">
        <v>19</v>
      </c>
      <c r="G56" t="s">
        <v>167</v>
      </c>
      <c r="H56" t="s">
        <v>183</v>
      </c>
      <c r="I56" t="s">
        <v>184</v>
      </c>
      <c r="J56" s="2">
        <v>46240</v>
      </c>
      <c r="K56" s="1">
        <v>3.16</v>
      </c>
      <c r="L56" s="2">
        <v>46241</v>
      </c>
      <c r="M56" s="1">
        <v>3.16</v>
      </c>
    </row>
    <row r="57" spans="1:13" x14ac:dyDescent="0.2">
      <c r="A57" s="1">
        <f t="shared" si="1"/>
        <v>11.64</v>
      </c>
      <c r="C57" t="s">
        <v>165</v>
      </c>
      <c r="D57" t="s">
        <v>19</v>
      </c>
      <c r="E57" t="s">
        <v>185</v>
      </c>
      <c r="F57" t="s">
        <v>19</v>
      </c>
      <c r="G57" t="s">
        <v>167</v>
      </c>
      <c r="H57" t="s">
        <v>186</v>
      </c>
      <c r="I57" t="s">
        <v>169</v>
      </c>
      <c r="J57" s="2">
        <v>46240</v>
      </c>
      <c r="K57" s="1">
        <v>5.82</v>
      </c>
      <c r="L57" s="2">
        <v>46241</v>
      </c>
      <c r="M57" s="1">
        <v>5.82</v>
      </c>
    </row>
    <row r="58" spans="1:13" x14ac:dyDescent="0.2">
      <c r="A58" s="1">
        <f t="shared" si="1"/>
        <v>39.770000000000003</v>
      </c>
      <c r="C58" t="s">
        <v>165</v>
      </c>
      <c r="D58" t="s">
        <v>19</v>
      </c>
      <c r="E58" t="s">
        <v>187</v>
      </c>
      <c r="F58" t="s">
        <v>19</v>
      </c>
      <c r="G58" t="s">
        <v>167</v>
      </c>
      <c r="H58" t="s">
        <v>188</v>
      </c>
      <c r="I58" t="s">
        <v>169</v>
      </c>
      <c r="J58" s="2">
        <v>46240</v>
      </c>
      <c r="K58" s="1">
        <v>39.770000000000003</v>
      </c>
    </row>
    <row r="59" spans="1:13" x14ac:dyDescent="0.2">
      <c r="A59" s="1">
        <f t="shared" si="1"/>
        <v>4.17</v>
      </c>
      <c r="C59" t="s">
        <v>165</v>
      </c>
      <c r="D59" t="s">
        <v>19</v>
      </c>
      <c r="E59" t="s">
        <v>189</v>
      </c>
      <c r="F59" t="s">
        <v>19</v>
      </c>
      <c r="G59" t="s">
        <v>167</v>
      </c>
      <c r="H59" t="s">
        <v>190</v>
      </c>
      <c r="I59" t="s">
        <v>37</v>
      </c>
      <c r="J59" s="2">
        <v>46240</v>
      </c>
      <c r="K59" s="1">
        <v>4.17</v>
      </c>
    </row>
    <row r="60" spans="1:13" x14ac:dyDescent="0.2">
      <c r="A60" s="1">
        <f t="shared" si="1"/>
        <v>15.94</v>
      </c>
      <c r="C60" t="s">
        <v>165</v>
      </c>
      <c r="D60" t="s">
        <v>19</v>
      </c>
      <c r="E60" t="s">
        <v>191</v>
      </c>
      <c r="F60" t="s">
        <v>19</v>
      </c>
      <c r="G60" t="s">
        <v>167</v>
      </c>
      <c r="H60" t="s">
        <v>192</v>
      </c>
      <c r="I60" t="s">
        <v>169</v>
      </c>
      <c r="J60" s="2">
        <v>46240</v>
      </c>
      <c r="K60" s="1">
        <v>7.97</v>
      </c>
      <c r="L60" s="2">
        <v>46241</v>
      </c>
      <c r="M60" s="1">
        <v>7.97</v>
      </c>
    </row>
    <row r="61" spans="1:13" x14ac:dyDescent="0.2">
      <c r="A61" s="1">
        <f t="shared" si="1"/>
        <v>10.64</v>
      </c>
      <c r="C61" t="s">
        <v>165</v>
      </c>
      <c r="D61" t="s">
        <v>19</v>
      </c>
      <c r="E61" t="s">
        <v>193</v>
      </c>
      <c r="F61" t="s">
        <v>19</v>
      </c>
      <c r="G61" t="s">
        <v>167</v>
      </c>
      <c r="H61" t="s">
        <v>194</v>
      </c>
      <c r="I61" t="s">
        <v>195</v>
      </c>
      <c r="J61" s="2">
        <v>46240</v>
      </c>
      <c r="K61" s="1">
        <v>5.32</v>
      </c>
      <c r="L61" s="2">
        <v>46241</v>
      </c>
      <c r="M61" s="1">
        <v>5.32</v>
      </c>
    </row>
    <row r="62" spans="1:13" x14ac:dyDescent="0.2">
      <c r="A62" s="1">
        <f t="shared" si="1"/>
        <v>4.96</v>
      </c>
      <c r="C62" t="s">
        <v>165</v>
      </c>
      <c r="D62" t="s">
        <v>19</v>
      </c>
      <c r="E62" t="s">
        <v>196</v>
      </c>
      <c r="F62" t="s">
        <v>19</v>
      </c>
      <c r="G62" t="s">
        <v>167</v>
      </c>
      <c r="H62" t="s">
        <v>197</v>
      </c>
      <c r="I62" t="s">
        <v>175</v>
      </c>
      <c r="J62" s="2">
        <v>46240</v>
      </c>
      <c r="K62" s="1">
        <v>4.96</v>
      </c>
    </row>
    <row r="63" spans="1:13" x14ac:dyDescent="0.2">
      <c r="A63" s="1">
        <f t="shared" si="1"/>
        <v>9.94</v>
      </c>
      <c r="C63" t="s">
        <v>165</v>
      </c>
      <c r="D63" t="s">
        <v>19</v>
      </c>
      <c r="E63" t="s">
        <v>198</v>
      </c>
      <c r="F63" t="s">
        <v>19</v>
      </c>
      <c r="G63" t="s">
        <v>167</v>
      </c>
      <c r="H63" t="s">
        <v>199</v>
      </c>
      <c r="I63" t="s">
        <v>200</v>
      </c>
      <c r="J63" s="2">
        <v>46240</v>
      </c>
      <c r="K63">
        <v>4.97</v>
      </c>
      <c r="L63" s="2">
        <v>46241</v>
      </c>
      <c r="M63" s="1">
        <v>4.97</v>
      </c>
    </row>
    <row r="64" spans="1:13" x14ac:dyDescent="0.2">
      <c r="A64" s="1">
        <f t="shared" si="1"/>
        <v>9.94</v>
      </c>
      <c r="C64" t="s">
        <v>165</v>
      </c>
      <c r="D64" t="s">
        <v>19</v>
      </c>
      <c r="E64" t="s">
        <v>201</v>
      </c>
      <c r="F64" t="s">
        <v>19</v>
      </c>
      <c r="G64" t="s">
        <v>167</v>
      </c>
      <c r="H64" t="s">
        <v>199</v>
      </c>
      <c r="I64" t="s">
        <v>200</v>
      </c>
      <c r="J64" s="2">
        <v>46240</v>
      </c>
      <c r="K64" s="1">
        <v>4.97</v>
      </c>
      <c r="L64" s="2">
        <v>46241</v>
      </c>
      <c r="M64" s="1">
        <v>4.97</v>
      </c>
    </row>
    <row r="65" spans="1:19" x14ac:dyDescent="0.2">
      <c r="A65" s="1">
        <f t="shared" si="1"/>
        <v>9.76</v>
      </c>
      <c r="C65" t="s">
        <v>165</v>
      </c>
      <c r="D65" t="s">
        <v>19</v>
      </c>
      <c r="E65" t="s">
        <v>202</v>
      </c>
      <c r="F65" t="s">
        <v>19</v>
      </c>
      <c r="G65" t="s">
        <v>167</v>
      </c>
      <c r="H65" t="s">
        <v>203</v>
      </c>
      <c r="I65" t="s">
        <v>204</v>
      </c>
      <c r="J65" s="2">
        <v>46240</v>
      </c>
      <c r="K65" s="1">
        <v>4.88</v>
      </c>
      <c r="L65" s="2">
        <v>46241</v>
      </c>
      <c r="M65" s="1">
        <v>4.88</v>
      </c>
    </row>
    <row r="66" spans="1:19" x14ac:dyDescent="0.2">
      <c r="A66" s="1">
        <f t="shared" ref="A66:A97" si="2">SUM(K66,M66,O66,Q66,S66)</f>
        <v>19.34</v>
      </c>
      <c r="C66" t="s">
        <v>165</v>
      </c>
      <c r="D66" t="s">
        <v>19</v>
      </c>
      <c r="E66" t="s">
        <v>205</v>
      </c>
      <c r="F66" t="s">
        <v>19</v>
      </c>
      <c r="G66" t="s">
        <v>167</v>
      </c>
      <c r="H66" t="s">
        <v>206</v>
      </c>
      <c r="I66" t="s">
        <v>24</v>
      </c>
      <c r="J66" s="2">
        <v>46240</v>
      </c>
      <c r="K66" s="1">
        <v>9.67</v>
      </c>
      <c r="L66" s="2">
        <v>46241</v>
      </c>
      <c r="M66" s="1">
        <v>9.67</v>
      </c>
    </row>
    <row r="67" spans="1:19" x14ac:dyDescent="0.2">
      <c r="A67" s="1">
        <f t="shared" si="2"/>
        <v>2.54</v>
      </c>
      <c r="C67" t="s">
        <v>165</v>
      </c>
      <c r="D67" t="s">
        <v>19</v>
      </c>
      <c r="E67" t="s">
        <v>207</v>
      </c>
      <c r="F67" t="s">
        <v>19</v>
      </c>
      <c r="G67" t="s">
        <v>167</v>
      </c>
      <c r="H67" t="s">
        <v>208</v>
      </c>
      <c r="I67" t="s">
        <v>184</v>
      </c>
      <c r="J67" s="2">
        <v>46240</v>
      </c>
      <c r="K67" s="1">
        <v>2.54</v>
      </c>
    </row>
    <row r="68" spans="1:19" x14ac:dyDescent="0.2">
      <c r="A68" s="1">
        <f t="shared" si="2"/>
        <v>15.92</v>
      </c>
      <c r="C68" t="s">
        <v>165</v>
      </c>
      <c r="D68" t="s">
        <v>19</v>
      </c>
      <c r="E68" t="s">
        <v>209</v>
      </c>
      <c r="F68" t="s">
        <v>19</v>
      </c>
      <c r="G68" t="s">
        <v>167</v>
      </c>
      <c r="H68" t="s">
        <v>210</v>
      </c>
      <c r="I68" t="s">
        <v>71</v>
      </c>
      <c r="J68" s="2">
        <v>46240</v>
      </c>
      <c r="K68" s="1">
        <v>7.96</v>
      </c>
      <c r="L68" s="2">
        <v>46241</v>
      </c>
      <c r="M68" s="1">
        <v>7.96</v>
      </c>
    </row>
    <row r="69" spans="1:19" x14ac:dyDescent="0.2">
      <c r="A69" s="1">
        <f t="shared" si="2"/>
        <v>9.94</v>
      </c>
      <c r="C69" t="s">
        <v>165</v>
      </c>
      <c r="D69" t="s">
        <v>19</v>
      </c>
      <c r="E69" t="s">
        <v>211</v>
      </c>
      <c r="F69" t="s">
        <v>19</v>
      </c>
      <c r="G69" t="s">
        <v>167</v>
      </c>
      <c r="H69" t="s">
        <v>70</v>
      </c>
      <c r="I69" t="s">
        <v>71</v>
      </c>
      <c r="J69" s="2">
        <v>46240</v>
      </c>
      <c r="K69" s="1">
        <v>4.97</v>
      </c>
      <c r="L69" s="2">
        <v>46241</v>
      </c>
      <c r="M69" s="1">
        <v>4.97</v>
      </c>
    </row>
    <row r="70" spans="1:19" x14ac:dyDescent="0.2">
      <c r="A70" s="1">
        <f t="shared" si="2"/>
        <v>5.49</v>
      </c>
      <c r="C70" t="s">
        <v>165</v>
      </c>
      <c r="D70" t="s">
        <v>19</v>
      </c>
      <c r="E70" t="s">
        <v>212</v>
      </c>
      <c r="F70" t="s">
        <v>19</v>
      </c>
      <c r="G70" t="s">
        <v>167</v>
      </c>
      <c r="H70" t="s">
        <v>90</v>
      </c>
      <c r="I70" t="s">
        <v>71</v>
      </c>
      <c r="J70" s="2">
        <v>46240</v>
      </c>
      <c r="K70" s="1">
        <v>1.83</v>
      </c>
      <c r="L70" s="2">
        <v>46241</v>
      </c>
      <c r="M70" s="1">
        <v>1.83</v>
      </c>
      <c r="N70" s="2">
        <v>46241</v>
      </c>
      <c r="O70" s="1">
        <v>1.83</v>
      </c>
    </row>
    <row r="71" spans="1:19" x14ac:dyDescent="0.2">
      <c r="A71" s="1">
        <f t="shared" si="2"/>
        <v>19.96</v>
      </c>
      <c r="C71" t="s">
        <v>165</v>
      </c>
      <c r="D71" t="s">
        <v>19</v>
      </c>
      <c r="E71" t="s">
        <v>213</v>
      </c>
      <c r="F71" t="s">
        <v>19</v>
      </c>
      <c r="G71" t="s">
        <v>167</v>
      </c>
      <c r="H71" t="s">
        <v>214</v>
      </c>
      <c r="I71" t="s">
        <v>169</v>
      </c>
      <c r="J71" s="2">
        <v>46240</v>
      </c>
      <c r="K71" s="1">
        <v>9.98</v>
      </c>
      <c r="L71" s="2">
        <v>46241</v>
      </c>
      <c r="M71" s="1">
        <v>9.98</v>
      </c>
    </row>
    <row r="72" spans="1:19" x14ac:dyDescent="0.2">
      <c r="A72" s="1">
        <f t="shared" si="2"/>
        <v>3.48</v>
      </c>
      <c r="C72" t="s">
        <v>165</v>
      </c>
      <c r="D72" t="s">
        <v>19</v>
      </c>
      <c r="E72" t="s">
        <v>212</v>
      </c>
      <c r="F72" t="s">
        <v>19</v>
      </c>
      <c r="G72" t="s">
        <v>167</v>
      </c>
      <c r="H72" t="s">
        <v>90</v>
      </c>
      <c r="I72" t="s">
        <v>71</v>
      </c>
      <c r="J72" s="2">
        <v>46240</v>
      </c>
      <c r="K72" s="1">
        <v>3.48</v>
      </c>
    </row>
    <row r="73" spans="1:19" x14ac:dyDescent="0.2">
      <c r="A73" s="1">
        <f t="shared" si="2"/>
        <v>21.42</v>
      </c>
      <c r="C73" t="s">
        <v>165</v>
      </c>
      <c r="D73" t="s">
        <v>19</v>
      </c>
      <c r="E73" t="s">
        <v>162</v>
      </c>
      <c r="F73" t="s">
        <v>19</v>
      </c>
      <c r="G73" t="s">
        <v>167</v>
      </c>
      <c r="H73" t="s">
        <v>162</v>
      </c>
      <c r="I73" t="s">
        <v>163</v>
      </c>
      <c r="J73" s="2">
        <v>46240</v>
      </c>
      <c r="K73" s="1">
        <v>3.48</v>
      </c>
      <c r="L73" s="2">
        <v>46241</v>
      </c>
      <c r="M73" s="1">
        <v>3.48</v>
      </c>
      <c r="N73" s="2">
        <v>46247</v>
      </c>
      <c r="O73" s="1">
        <v>1.76</v>
      </c>
      <c r="P73" s="2">
        <v>46260</v>
      </c>
      <c r="Q73" s="1">
        <v>6.35</v>
      </c>
      <c r="R73" s="2">
        <v>46260</v>
      </c>
      <c r="S73" s="1">
        <v>6.35</v>
      </c>
    </row>
    <row r="74" spans="1:19" x14ac:dyDescent="0.2">
      <c r="A74" s="1">
        <f t="shared" si="2"/>
        <v>46.78</v>
      </c>
      <c r="C74" t="s">
        <v>165</v>
      </c>
      <c r="D74" t="s">
        <v>19</v>
      </c>
      <c r="E74" t="s">
        <v>215</v>
      </c>
      <c r="F74" t="s">
        <v>19</v>
      </c>
      <c r="G74" t="s">
        <v>167</v>
      </c>
      <c r="H74" t="s">
        <v>216</v>
      </c>
      <c r="I74" t="s">
        <v>163</v>
      </c>
      <c r="J74" s="2">
        <v>46240</v>
      </c>
      <c r="K74" s="1">
        <v>16.920000000000002</v>
      </c>
      <c r="L74" s="2">
        <v>46247</v>
      </c>
      <c r="M74" s="1">
        <v>17.72</v>
      </c>
      <c r="N74" s="2">
        <v>46260</v>
      </c>
      <c r="O74" s="1">
        <v>12.14</v>
      </c>
    </row>
    <row r="75" spans="1:19" x14ac:dyDescent="0.2">
      <c r="A75" s="1">
        <f t="shared" si="2"/>
        <v>5</v>
      </c>
      <c r="C75" t="s">
        <v>165</v>
      </c>
      <c r="D75" t="s">
        <v>19</v>
      </c>
      <c r="E75" t="s">
        <v>217</v>
      </c>
      <c r="F75" t="s">
        <v>19</v>
      </c>
      <c r="G75" t="s">
        <v>167</v>
      </c>
      <c r="H75" t="s">
        <v>218</v>
      </c>
      <c r="I75" t="s">
        <v>163</v>
      </c>
      <c r="J75" s="2">
        <v>46240</v>
      </c>
      <c r="K75" s="1">
        <v>5</v>
      </c>
    </row>
    <row r="76" spans="1:19" x14ac:dyDescent="0.2">
      <c r="A76" s="1">
        <f t="shared" si="2"/>
        <v>2.77</v>
      </c>
      <c r="C76" t="s">
        <v>165</v>
      </c>
      <c r="D76" t="s">
        <v>19</v>
      </c>
      <c r="E76" t="s">
        <v>219</v>
      </c>
      <c r="F76" t="s">
        <v>19</v>
      </c>
      <c r="G76" t="s">
        <v>167</v>
      </c>
      <c r="H76" t="s">
        <v>220</v>
      </c>
      <c r="I76" t="s">
        <v>163</v>
      </c>
      <c r="J76" s="2">
        <v>46240</v>
      </c>
      <c r="K76" s="1">
        <v>2.77</v>
      </c>
    </row>
    <row r="77" spans="1:19" x14ac:dyDescent="0.2">
      <c r="A77" s="1">
        <f t="shared" si="2"/>
        <v>6.67</v>
      </c>
      <c r="C77" t="s">
        <v>165</v>
      </c>
      <c r="D77" t="s">
        <v>19</v>
      </c>
      <c r="E77" t="s">
        <v>221</v>
      </c>
      <c r="F77" t="s">
        <v>19</v>
      </c>
      <c r="G77" t="s">
        <v>167</v>
      </c>
      <c r="H77" t="s">
        <v>177</v>
      </c>
      <c r="I77" t="s">
        <v>178</v>
      </c>
      <c r="J77" s="2">
        <v>46241</v>
      </c>
      <c r="K77" s="1">
        <v>6.67</v>
      </c>
    </row>
    <row r="78" spans="1:19" x14ac:dyDescent="0.2">
      <c r="A78" s="1">
        <f t="shared" si="2"/>
        <v>39.770000000000003</v>
      </c>
      <c r="C78" t="s">
        <v>165</v>
      </c>
      <c r="D78" t="s">
        <v>19</v>
      </c>
      <c r="E78" t="s">
        <v>222</v>
      </c>
      <c r="F78" t="s">
        <v>19</v>
      </c>
      <c r="G78" t="s">
        <v>167</v>
      </c>
      <c r="H78" t="s">
        <v>188</v>
      </c>
      <c r="I78" t="s">
        <v>169</v>
      </c>
      <c r="J78" s="2">
        <v>46241</v>
      </c>
      <c r="K78" s="1">
        <v>39.770000000000003</v>
      </c>
    </row>
    <row r="79" spans="1:19" x14ac:dyDescent="0.2">
      <c r="A79" s="1">
        <f t="shared" si="2"/>
        <v>4.17</v>
      </c>
      <c r="C79" t="s">
        <v>165</v>
      </c>
      <c r="D79" t="s">
        <v>19</v>
      </c>
      <c r="E79" t="s">
        <v>223</v>
      </c>
      <c r="F79" t="s">
        <v>19</v>
      </c>
      <c r="G79" t="s">
        <v>167</v>
      </c>
      <c r="H79" t="s">
        <v>190</v>
      </c>
      <c r="I79" t="s">
        <v>37</v>
      </c>
      <c r="J79" s="2">
        <v>46241</v>
      </c>
      <c r="K79" s="1">
        <v>4.17</v>
      </c>
    </row>
    <row r="80" spans="1:19" x14ac:dyDescent="0.2">
      <c r="A80" s="1">
        <f t="shared" si="2"/>
        <v>4.96</v>
      </c>
      <c r="C80" t="s">
        <v>165</v>
      </c>
      <c r="D80" t="s">
        <v>19</v>
      </c>
      <c r="E80" t="s">
        <v>224</v>
      </c>
      <c r="F80" t="s">
        <v>19</v>
      </c>
      <c r="G80" t="s">
        <v>167</v>
      </c>
      <c r="H80" t="s">
        <v>197</v>
      </c>
      <c r="I80" t="s">
        <v>175</v>
      </c>
      <c r="J80" s="2">
        <v>46241</v>
      </c>
      <c r="K80" s="1">
        <v>4.96</v>
      </c>
    </row>
    <row r="81" spans="1:13" x14ac:dyDescent="0.2">
      <c r="A81" s="1">
        <f t="shared" si="2"/>
        <v>11.76</v>
      </c>
      <c r="C81" t="s">
        <v>165</v>
      </c>
      <c r="D81" t="s">
        <v>19</v>
      </c>
      <c r="E81" t="s">
        <v>225</v>
      </c>
      <c r="F81" t="s">
        <v>19</v>
      </c>
      <c r="G81" t="s">
        <v>167</v>
      </c>
      <c r="H81" t="s">
        <v>226</v>
      </c>
      <c r="I81" t="s">
        <v>227</v>
      </c>
      <c r="J81" s="2">
        <v>46241</v>
      </c>
      <c r="K81" s="1">
        <v>11.76</v>
      </c>
    </row>
    <row r="82" spans="1:13" x14ac:dyDescent="0.2">
      <c r="A82" s="1">
        <f t="shared" si="2"/>
        <v>2.54</v>
      </c>
      <c r="C82" t="s">
        <v>165</v>
      </c>
      <c r="D82" t="s">
        <v>19</v>
      </c>
      <c r="E82" t="s">
        <v>228</v>
      </c>
      <c r="F82" t="s">
        <v>19</v>
      </c>
      <c r="G82" t="s">
        <v>167</v>
      </c>
      <c r="H82" t="s">
        <v>208</v>
      </c>
      <c r="I82" t="s">
        <v>184</v>
      </c>
      <c r="J82" s="2">
        <v>46241</v>
      </c>
      <c r="K82" s="1">
        <v>2.54</v>
      </c>
    </row>
    <row r="83" spans="1:13" x14ac:dyDescent="0.2">
      <c r="A83" s="1">
        <f t="shared" si="2"/>
        <v>5</v>
      </c>
      <c r="C83" t="s">
        <v>165</v>
      </c>
      <c r="D83" t="s">
        <v>19</v>
      </c>
      <c r="E83" t="s">
        <v>229</v>
      </c>
      <c r="F83" t="s">
        <v>19</v>
      </c>
      <c r="G83" t="s">
        <v>167</v>
      </c>
      <c r="H83" t="s">
        <v>218</v>
      </c>
      <c r="I83" t="s">
        <v>163</v>
      </c>
      <c r="J83" s="2">
        <v>46241</v>
      </c>
      <c r="K83" s="1">
        <v>5</v>
      </c>
    </row>
    <row r="84" spans="1:13" x14ac:dyDescent="0.2">
      <c r="A84" s="1">
        <f t="shared" si="2"/>
        <v>5.97</v>
      </c>
      <c r="C84" t="s">
        <v>165</v>
      </c>
      <c r="D84" t="s">
        <v>19</v>
      </c>
      <c r="E84" t="s">
        <v>230</v>
      </c>
      <c r="F84" t="s">
        <v>19</v>
      </c>
      <c r="G84" t="s">
        <v>167</v>
      </c>
      <c r="H84" t="s">
        <v>231</v>
      </c>
      <c r="I84" t="s">
        <v>93</v>
      </c>
      <c r="J84" s="2">
        <v>46247</v>
      </c>
      <c r="K84" s="1">
        <v>5.97</v>
      </c>
    </row>
    <row r="85" spans="1:13" x14ac:dyDescent="0.2">
      <c r="A85" s="1">
        <f t="shared" si="2"/>
        <v>6.88</v>
      </c>
      <c r="C85" t="s">
        <v>165</v>
      </c>
      <c r="D85" t="s">
        <v>19</v>
      </c>
      <c r="E85" t="s">
        <v>232</v>
      </c>
      <c r="F85" t="s">
        <v>19</v>
      </c>
      <c r="G85" t="s">
        <v>167</v>
      </c>
      <c r="H85" t="s">
        <v>233</v>
      </c>
      <c r="I85" t="s">
        <v>234</v>
      </c>
      <c r="J85" s="2">
        <v>46247</v>
      </c>
      <c r="K85" s="1">
        <v>6.88</v>
      </c>
    </row>
    <row r="86" spans="1:13" x14ac:dyDescent="0.2">
      <c r="A86" s="1">
        <f t="shared" si="2"/>
        <v>6.48</v>
      </c>
      <c r="C86" t="s">
        <v>165</v>
      </c>
      <c r="D86" t="s">
        <v>19</v>
      </c>
      <c r="E86" t="s">
        <v>235</v>
      </c>
      <c r="F86" t="s">
        <v>19</v>
      </c>
      <c r="G86" t="s">
        <v>167</v>
      </c>
      <c r="H86" t="s">
        <v>236</v>
      </c>
      <c r="I86" t="s">
        <v>237</v>
      </c>
      <c r="J86" s="2">
        <v>46247</v>
      </c>
      <c r="K86" s="1">
        <v>6.48</v>
      </c>
    </row>
    <row r="87" spans="1:13" x14ac:dyDescent="0.2">
      <c r="A87" s="1">
        <f t="shared" si="2"/>
        <v>5.74</v>
      </c>
      <c r="C87" t="s">
        <v>165</v>
      </c>
      <c r="D87" t="s">
        <v>19</v>
      </c>
      <c r="E87" t="s">
        <v>238</v>
      </c>
      <c r="F87" t="s">
        <v>19</v>
      </c>
      <c r="G87" t="s">
        <v>167</v>
      </c>
      <c r="H87" t="s">
        <v>239</v>
      </c>
      <c r="I87" t="s">
        <v>240</v>
      </c>
      <c r="J87" s="2">
        <v>46247</v>
      </c>
      <c r="K87" s="1">
        <v>5.74</v>
      </c>
    </row>
    <row r="88" spans="1:13" x14ac:dyDescent="0.2">
      <c r="A88" s="1">
        <f t="shared" si="2"/>
        <v>5.98</v>
      </c>
      <c r="C88" t="s">
        <v>165</v>
      </c>
      <c r="D88" t="s">
        <v>19</v>
      </c>
      <c r="E88" t="s">
        <v>241</v>
      </c>
      <c r="F88" t="s">
        <v>19</v>
      </c>
      <c r="G88" t="s">
        <v>167</v>
      </c>
      <c r="H88" t="s">
        <v>242</v>
      </c>
      <c r="I88" t="s">
        <v>46</v>
      </c>
      <c r="J88" s="2">
        <v>46247</v>
      </c>
      <c r="K88" s="1">
        <v>5.98</v>
      </c>
    </row>
    <row r="89" spans="1:13" x14ac:dyDescent="0.2">
      <c r="A89" s="1">
        <f t="shared" si="2"/>
        <v>1.27</v>
      </c>
      <c r="C89" t="s">
        <v>165</v>
      </c>
      <c r="D89" t="s">
        <v>19</v>
      </c>
      <c r="E89" t="s">
        <v>243</v>
      </c>
      <c r="F89" t="s">
        <v>19</v>
      </c>
      <c r="G89" t="s">
        <v>167</v>
      </c>
      <c r="H89" t="s">
        <v>244</v>
      </c>
      <c r="I89" t="s">
        <v>245</v>
      </c>
      <c r="J89" s="2">
        <v>46247</v>
      </c>
      <c r="K89" s="1">
        <v>1.27</v>
      </c>
    </row>
    <row r="90" spans="1:13" x14ac:dyDescent="0.2">
      <c r="A90" s="1">
        <f t="shared" si="2"/>
        <v>11.93</v>
      </c>
      <c r="C90" t="s">
        <v>165</v>
      </c>
      <c r="D90" t="s">
        <v>19</v>
      </c>
      <c r="E90" t="s">
        <v>246</v>
      </c>
      <c r="F90" t="s">
        <v>19</v>
      </c>
      <c r="G90" t="s">
        <v>167</v>
      </c>
      <c r="H90" t="s">
        <v>247</v>
      </c>
      <c r="I90" t="s">
        <v>248</v>
      </c>
      <c r="J90" s="2">
        <v>46247</v>
      </c>
      <c r="K90" s="1">
        <v>11.93</v>
      </c>
    </row>
    <row r="91" spans="1:13" x14ac:dyDescent="0.2">
      <c r="A91" s="1">
        <f t="shared" si="2"/>
        <v>7.98</v>
      </c>
      <c r="C91" t="s">
        <v>165</v>
      </c>
      <c r="D91" t="s">
        <v>19</v>
      </c>
      <c r="E91" t="s">
        <v>249</v>
      </c>
      <c r="F91" t="s">
        <v>19</v>
      </c>
      <c r="G91" t="s">
        <v>167</v>
      </c>
      <c r="H91" t="s">
        <v>250</v>
      </c>
      <c r="I91" t="s">
        <v>251</v>
      </c>
      <c r="J91" s="2">
        <v>46247</v>
      </c>
      <c r="K91" s="1">
        <v>7.98</v>
      </c>
    </row>
    <row r="92" spans="1:13" x14ac:dyDescent="0.2">
      <c r="A92" s="1">
        <f t="shared" si="2"/>
        <v>6.48</v>
      </c>
      <c r="C92" t="s">
        <v>165</v>
      </c>
      <c r="D92" t="s">
        <v>19</v>
      </c>
      <c r="E92" t="s">
        <v>252</v>
      </c>
      <c r="F92" t="s">
        <v>19</v>
      </c>
      <c r="G92" t="s">
        <v>167</v>
      </c>
      <c r="H92" t="s">
        <v>253</v>
      </c>
      <c r="I92" t="s">
        <v>251</v>
      </c>
      <c r="J92" s="2">
        <v>46247</v>
      </c>
      <c r="K92" s="1">
        <v>6.48</v>
      </c>
    </row>
    <row r="93" spans="1:13" x14ac:dyDescent="0.2">
      <c r="A93" s="1">
        <f t="shared" si="2"/>
        <v>2.08</v>
      </c>
      <c r="C93" t="s">
        <v>165</v>
      </c>
      <c r="D93" t="s">
        <v>19</v>
      </c>
      <c r="E93" t="s">
        <v>254</v>
      </c>
      <c r="F93" t="s">
        <v>19</v>
      </c>
      <c r="G93" t="s">
        <v>167</v>
      </c>
      <c r="H93" t="s">
        <v>255</v>
      </c>
      <c r="I93" t="s">
        <v>49</v>
      </c>
      <c r="J93" s="2">
        <v>46247</v>
      </c>
      <c r="K93" s="1">
        <v>2.08</v>
      </c>
    </row>
    <row r="94" spans="1:13" x14ac:dyDescent="0.2">
      <c r="A94" s="1">
        <f t="shared" si="2"/>
        <v>3.16</v>
      </c>
      <c r="C94" t="s">
        <v>165</v>
      </c>
      <c r="D94" t="s">
        <v>19</v>
      </c>
      <c r="E94" t="s">
        <v>256</v>
      </c>
      <c r="F94" t="s">
        <v>161</v>
      </c>
      <c r="G94" t="s">
        <v>167</v>
      </c>
      <c r="H94" t="s">
        <v>257</v>
      </c>
      <c r="I94" t="s">
        <v>258</v>
      </c>
      <c r="J94" s="2">
        <v>46247</v>
      </c>
      <c r="K94" s="1">
        <v>3.16</v>
      </c>
    </row>
    <row r="95" spans="1:13" x14ac:dyDescent="0.2">
      <c r="A95" s="1">
        <f t="shared" si="2"/>
        <v>0.84</v>
      </c>
      <c r="C95" t="s">
        <v>165</v>
      </c>
      <c r="D95" t="s">
        <v>19</v>
      </c>
      <c r="E95" t="s">
        <v>259</v>
      </c>
      <c r="F95" t="s">
        <v>19</v>
      </c>
      <c r="G95" t="s">
        <v>167</v>
      </c>
      <c r="H95" t="s">
        <v>51</v>
      </c>
      <c r="I95" t="s">
        <v>49</v>
      </c>
      <c r="J95" s="2">
        <v>46247</v>
      </c>
      <c r="K95" s="1">
        <v>0.42</v>
      </c>
      <c r="L95" s="2">
        <v>46247</v>
      </c>
      <c r="M95" s="1">
        <v>0.42</v>
      </c>
    </row>
    <row r="96" spans="1:13" x14ac:dyDescent="0.2">
      <c r="A96" s="1">
        <f t="shared" si="2"/>
        <v>1.2</v>
      </c>
      <c r="C96" t="s">
        <v>165</v>
      </c>
      <c r="D96" t="s">
        <v>19</v>
      </c>
      <c r="E96" t="s">
        <v>260</v>
      </c>
      <c r="F96" t="s">
        <v>19</v>
      </c>
      <c r="G96" t="s">
        <v>167</v>
      </c>
      <c r="H96" t="s">
        <v>48</v>
      </c>
      <c r="I96" t="s">
        <v>49</v>
      </c>
      <c r="J96" s="2">
        <v>46247</v>
      </c>
      <c r="K96" s="1">
        <v>0.6</v>
      </c>
      <c r="L96" s="2">
        <v>46247</v>
      </c>
      <c r="M96" s="1">
        <v>0.6</v>
      </c>
    </row>
    <row r="97" spans="1:13" x14ac:dyDescent="0.2">
      <c r="A97" s="1">
        <f t="shared" si="2"/>
        <v>1.76</v>
      </c>
      <c r="C97" t="s">
        <v>165</v>
      </c>
      <c r="D97" t="s">
        <v>19</v>
      </c>
      <c r="E97" t="s">
        <v>261</v>
      </c>
      <c r="F97" t="s">
        <v>19</v>
      </c>
      <c r="G97" t="s">
        <v>167</v>
      </c>
      <c r="H97" t="s">
        <v>262</v>
      </c>
      <c r="I97" t="s">
        <v>49</v>
      </c>
      <c r="J97" s="2">
        <v>46247</v>
      </c>
      <c r="K97" s="1">
        <v>0.88</v>
      </c>
      <c r="L97" s="2">
        <v>46247</v>
      </c>
      <c r="M97" s="1">
        <v>0.88</v>
      </c>
    </row>
    <row r="98" spans="1:13" x14ac:dyDescent="0.2">
      <c r="A98" s="1">
        <f t="shared" ref="A98:A131" si="3">SUM(K98,M98,O98,Q98,S98)</f>
        <v>3.85</v>
      </c>
      <c r="C98" t="s">
        <v>165</v>
      </c>
      <c r="D98" t="s">
        <v>19</v>
      </c>
      <c r="E98" t="s">
        <v>263</v>
      </c>
      <c r="F98" t="s">
        <v>19</v>
      </c>
      <c r="G98" t="s">
        <v>167</v>
      </c>
      <c r="H98" t="s">
        <v>264</v>
      </c>
      <c r="I98" t="s">
        <v>49</v>
      </c>
      <c r="J98" s="2">
        <v>46247</v>
      </c>
      <c r="K98" s="1">
        <v>3.85</v>
      </c>
    </row>
    <row r="99" spans="1:13" x14ac:dyDescent="0.2">
      <c r="A99" s="1">
        <f t="shared" si="3"/>
        <v>3.52</v>
      </c>
      <c r="C99" t="s">
        <v>165</v>
      </c>
      <c r="D99" t="s">
        <v>19</v>
      </c>
      <c r="E99" t="s">
        <v>265</v>
      </c>
      <c r="F99" t="s">
        <v>19</v>
      </c>
      <c r="G99" t="s">
        <v>167</v>
      </c>
      <c r="H99" t="s">
        <v>90</v>
      </c>
      <c r="I99" t="s">
        <v>71</v>
      </c>
      <c r="J99" s="2">
        <v>46247</v>
      </c>
      <c r="K99" s="1">
        <v>1.76</v>
      </c>
      <c r="L99" s="2">
        <v>46247</v>
      </c>
      <c r="M99" s="1">
        <v>1.76</v>
      </c>
    </row>
    <row r="100" spans="1:13" x14ac:dyDescent="0.2">
      <c r="A100" s="1">
        <f t="shared" si="3"/>
        <v>28.54</v>
      </c>
      <c r="C100" t="s">
        <v>165</v>
      </c>
      <c r="D100" t="s">
        <v>19</v>
      </c>
      <c r="E100" t="s">
        <v>266</v>
      </c>
      <c r="F100" t="s">
        <v>19</v>
      </c>
      <c r="G100" t="s">
        <v>167</v>
      </c>
      <c r="H100" t="s">
        <v>267</v>
      </c>
      <c r="I100" t="s">
        <v>268</v>
      </c>
      <c r="J100" s="2">
        <v>46260</v>
      </c>
      <c r="K100" s="1">
        <v>28.54</v>
      </c>
    </row>
    <row r="101" spans="1:13" x14ac:dyDescent="0.2">
      <c r="A101" s="1">
        <f t="shared" si="3"/>
        <v>0</v>
      </c>
      <c r="C101" t="s">
        <v>165</v>
      </c>
      <c r="D101" t="s">
        <v>19</v>
      </c>
      <c r="E101" t="s">
        <v>269</v>
      </c>
      <c r="F101" t="s">
        <v>19</v>
      </c>
      <c r="G101" t="s">
        <v>167</v>
      </c>
      <c r="H101" t="s">
        <v>270</v>
      </c>
      <c r="I101" t="s">
        <v>271</v>
      </c>
      <c r="J101" s="2">
        <v>46260</v>
      </c>
      <c r="K101" t="s">
        <v>19</v>
      </c>
    </row>
    <row r="102" spans="1:13" x14ac:dyDescent="0.2">
      <c r="A102" s="1">
        <f t="shared" si="3"/>
        <v>4.46</v>
      </c>
      <c r="C102" t="s">
        <v>165</v>
      </c>
      <c r="D102" t="s">
        <v>19</v>
      </c>
      <c r="E102" t="s">
        <v>272</v>
      </c>
      <c r="F102" t="s">
        <v>19</v>
      </c>
      <c r="G102" t="s">
        <v>167</v>
      </c>
      <c r="H102" t="s">
        <v>273</v>
      </c>
      <c r="I102" t="s">
        <v>274</v>
      </c>
      <c r="J102" s="2">
        <v>46260</v>
      </c>
      <c r="K102" s="1">
        <v>4.46</v>
      </c>
    </row>
    <row r="103" spans="1:13" x14ac:dyDescent="0.2">
      <c r="A103" s="1">
        <f t="shared" si="3"/>
        <v>9.98</v>
      </c>
      <c r="C103" t="s">
        <v>165</v>
      </c>
      <c r="D103" t="s">
        <v>19</v>
      </c>
      <c r="E103" t="s">
        <v>275</v>
      </c>
      <c r="F103" t="s">
        <v>19</v>
      </c>
      <c r="G103" t="s">
        <v>167</v>
      </c>
      <c r="H103" t="s">
        <v>276</v>
      </c>
      <c r="I103" t="s">
        <v>277</v>
      </c>
      <c r="J103" s="2">
        <v>46260</v>
      </c>
      <c r="K103" s="1">
        <v>9.98</v>
      </c>
    </row>
    <row r="104" spans="1:13" x14ac:dyDescent="0.2">
      <c r="A104" s="1">
        <f t="shared" si="3"/>
        <v>6.24</v>
      </c>
      <c r="C104" t="s">
        <v>165</v>
      </c>
      <c r="D104" t="s">
        <v>19</v>
      </c>
      <c r="E104" t="s">
        <v>278</v>
      </c>
      <c r="F104" t="s">
        <v>19</v>
      </c>
      <c r="G104" t="s">
        <v>167</v>
      </c>
      <c r="H104" t="s">
        <v>279</v>
      </c>
      <c r="I104" t="s">
        <v>280</v>
      </c>
      <c r="J104" s="2">
        <v>46260</v>
      </c>
      <c r="K104" s="1">
        <v>6.24</v>
      </c>
    </row>
    <row r="105" spans="1:13" x14ac:dyDescent="0.2">
      <c r="A105" s="1">
        <f t="shared" si="3"/>
        <v>4.67</v>
      </c>
      <c r="C105" t="s">
        <v>165</v>
      </c>
      <c r="D105" t="s">
        <v>19</v>
      </c>
      <c r="E105" t="s">
        <v>281</v>
      </c>
      <c r="F105" t="s">
        <v>19</v>
      </c>
      <c r="G105" t="s">
        <v>167</v>
      </c>
      <c r="H105" t="s">
        <v>282</v>
      </c>
      <c r="I105" t="s">
        <v>24</v>
      </c>
      <c r="J105" s="2">
        <v>46260</v>
      </c>
      <c r="K105" s="1">
        <v>4.67</v>
      </c>
    </row>
    <row r="106" spans="1:13" x14ac:dyDescent="0.2">
      <c r="A106" s="1">
        <f t="shared" si="3"/>
        <v>1.2</v>
      </c>
      <c r="C106" t="s">
        <v>165</v>
      </c>
      <c r="D106" t="s">
        <v>19</v>
      </c>
      <c r="E106" t="s">
        <v>283</v>
      </c>
      <c r="F106" t="s">
        <v>19</v>
      </c>
      <c r="G106" t="s">
        <v>167</v>
      </c>
      <c r="H106" t="s">
        <v>90</v>
      </c>
      <c r="I106" t="s">
        <v>71</v>
      </c>
      <c r="J106" s="2">
        <v>46260</v>
      </c>
      <c r="K106" s="1">
        <v>0.6</v>
      </c>
      <c r="L106" s="2">
        <v>46260</v>
      </c>
      <c r="M106" s="1">
        <v>0.6</v>
      </c>
    </row>
    <row r="107" spans="1:13" x14ac:dyDescent="0.2">
      <c r="A107" s="1">
        <f t="shared" si="3"/>
        <v>3.69</v>
      </c>
      <c r="C107" t="s">
        <v>18</v>
      </c>
      <c r="D107" t="s">
        <v>19</v>
      </c>
      <c r="E107" t="s">
        <v>284</v>
      </c>
      <c r="F107" t="s">
        <v>21</v>
      </c>
      <c r="G107" t="s">
        <v>285</v>
      </c>
      <c r="H107" t="s">
        <v>286</v>
      </c>
      <c r="I107" t="s">
        <v>287</v>
      </c>
      <c r="J107" s="2">
        <v>46262</v>
      </c>
      <c r="K107" s="1">
        <v>3.69</v>
      </c>
    </row>
    <row r="108" spans="1:13" x14ac:dyDescent="0.2">
      <c r="A108" s="1">
        <f t="shared" si="3"/>
        <v>5.15</v>
      </c>
      <c r="C108" t="s">
        <v>18</v>
      </c>
      <c r="D108" t="s">
        <v>19</v>
      </c>
      <c r="E108" t="s">
        <v>288</v>
      </c>
      <c r="F108" t="s">
        <v>21</v>
      </c>
      <c r="G108" t="s">
        <v>285</v>
      </c>
      <c r="H108" t="s">
        <v>289</v>
      </c>
      <c r="I108" t="s">
        <v>178</v>
      </c>
      <c r="J108" s="2">
        <v>46262</v>
      </c>
      <c r="K108" s="1">
        <v>5.15</v>
      </c>
    </row>
    <row r="109" spans="1:13" x14ac:dyDescent="0.2">
      <c r="A109" s="1">
        <f t="shared" si="3"/>
        <v>2.99</v>
      </c>
      <c r="C109" t="s">
        <v>18</v>
      </c>
      <c r="D109" t="s">
        <v>19</v>
      </c>
      <c r="E109" t="s">
        <v>290</v>
      </c>
      <c r="F109" t="s">
        <v>21</v>
      </c>
      <c r="G109" t="s">
        <v>285</v>
      </c>
      <c r="H109" t="s">
        <v>291</v>
      </c>
      <c r="I109" t="s">
        <v>49</v>
      </c>
      <c r="J109" s="2">
        <v>46262</v>
      </c>
      <c r="K109" s="1">
        <v>2.99</v>
      </c>
    </row>
    <row r="110" spans="1:13" x14ac:dyDescent="0.2">
      <c r="A110" s="1">
        <f t="shared" si="3"/>
        <v>5.15</v>
      </c>
      <c r="C110" t="s">
        <v>18</v>
      </c>
      <c r="D110" t="s">
        <v>19</v>
      </c>
      <c r="E110" t="s">
        <v>292</v>
      </c>
      <c r="F110" t="s">
        <v>21</v>
      </c>
      <c r="G110" t="s">
        <v>285</v>
      </c>
      <c r="H110" t="s">
        <v>293</v>
      </c>
      <c r="I110" t="s">
        <v>49</v>
      </c>
      <c r="J110" s="2">
        <v>46262</v>
      </c>
      <c r="K110" s="1">
        <v>5.15</v>
      </c>
    </row>
    <row r="111" spans="1:13" x14ac:dyDescent="0.2">
      <c r="A111" s="1">
        <f t="shared" si="3"/>
        <v>3.19</v>
      </c>
      <c r="C111" t="s">
        <v>18</v>
      </c>
      <c r="D111" t="s">
        <v>19</v>
      </c>
      <c r="E111" t="s">
        <v>294</v>
      </c>
      <c r="F111" t="s">
        <v>21</v>
      </c>
      <c r="G111" t="s">
        <v>285</v>
      </c>
      <c r="H111" t="s">
        <v>295</v>
      </c>
      <c r="I111" t="s">
        <v>296</v>
      </c>
      <c r="J111" s="2">
        <v>46262</v>
      </c>
      <c r="K111" s="1">
        <v>3.19</v>
      </c>
    </row>
    <row r="112" spans="1:13" x14ac:dyDescent="0.2">
      <c r="A112" s="1">
        <f t="shared" si="3"/>
        <v>6.79</v>
      </c>
      <c r="C112" t="s">
        <v>18</v>
      </c>
      <c r="D112" t="s">
        <v>19</v>
      </c>
      <c r="E112" t="s">
        <v>297</v>
      </c>
      <c r="F112" t="s">
        <v>21</v>
      </c>
      <c r="G112" t="s">
        <v>285</v>
      </c>
      <c r="H112" t="s">
        <v>298</v>
      </c>
      <c r="I112" t="s">
        <v>184</v>
      </c>
      <c r="J112" s="2">
        <v>46262</v>
      </c>
      <c r="K112" s="1">
        <v>6.79</v>
      </c>
    </row>
    <row r="113" spans="1:13" x14ac:dyDescent="0.2">
      <c r="A113" s="1">
        <f t="shared" si="3"/>
        <v>3.99</v>
      </c>
      <c r="C113" t="s">
        <v>18</v>
      </c>
      <c r="D113" t="s">
        <v>19</v>
      </c>
      <c r="E113" t="s">
        <v>299</v>
      </c>
      <c r="F113" t="s">
        <v>21</v>
      </c>
      <c r="G113" t="s">
        <v>285</v>
      </c>
      <c r="H113" t="s">
        <v>300</v>
      </c>
      <c r="I113" t="s">
        <v>301</v>
      </c>
      <c r="J113" s="2">
        <v>46262</v>
      </c>
      <c r="K113" s="1">
        <v>3.99</v>
      </c>
    </row>
    <row r="114" spans="1:13" x14ac:dyDescent="0.2">
      <c r="A114" s="1">
        <f t="shared" si="3"/>
        <v>3.99</v>
      </c>
      <c r="C114" t="s">
        <v>18</v>
      </c>
      <c r="D114" t="s">
        <v>19</v>
      </c>
      <c r="E114" t="s">
        <v>302</v>
      </c>
      <c r="F114" t="s">
        <v>21</v>
      </c>
      <c r="G114" t="s">
        <v>285</v>
      </c>
      <c r="H114" t="s">
        <v>300</v>
      </c>
      <c r="I114" t="s">
        <v>301</v>
      </c>
      <c r="J114" s="2">
        <v>46262</v>
      </c>
      <c r="K114" s="1">
        <v>3.99</v>
      </c>
    </row>
    <row r="115" spans="1:13" x14ac:dyDescent="0.2">
      <c r="A115" s="1">
        <f t="shared" si="3"/>
        <v>5.45</v>
      </c>
      <c r="C115" t="s">
        <v>18</v>
      </c>
      <c r="D115" t="s">
        <v>19</v>
      </c>
      <c r="E115" t="s">
        <v>303</v>
      </c>
      <c r="F115" t="s">
        <v>21</v>
      </c>
      <c r="G115" t="s">
        <v>285</v>
      </c>
      <c r="H115" t="s">
        <v>304</v>
      </c>
      <c r="I115" t="s">
        <v>301</v>
      </c>
      <c r="J115" s="2">
        <v>46262</v>
      </c>
      <c r="K115" s="1">
        <v>5.45</v>
      </c>
    </row>
    <row r="116" spans="1:13" x14ac:dyDescent="0.2">
      <c r="A116" s="1">
        <f t="shared" si="3"/>
        <v>5.45</v>
      </c>
      <c r="C116" t="s">
        <v>18</v>
      </c>
      <c r="D116" t="s">
        <v>19</v>
      </c>
      <c r="E116" t="s">
        <v>305</v>
      </c>
      <c r="F116" t="s">
        <v>21</v>
      </c>
      <c r="G116" t="s">
        <v>285</v>
      </c>
      <c r="H116" t="s">
        <v>304</v>
      </c>
      <c r="I116" t="s">
        <v>301</v>
      </c>
      <c r="J116" s="2">
        <v>46262</v>
      </c>
      <c r="K116" s="1">
        <v>5.45</v>
      </c>
    </row>
    <row r="117" spans="1:13" x14ac:dyDescent="0.2">
      <c r="A117" s="1">
        <f t="shared" si="3"/>
        <v>14.29</v>
      </c>
      <c r="C117" t="s">
        <v>18</v>
      </c>
      <c r="D117" t="s">
        <v>19</v>
      </c>
      <c r="E117" t="s">
        <v>306</v>
      </c>
      <c r="F117" t="s">
        <v>21</v>
      </c>
      <c r="G117" t="s">
        <v>285</v>
      </c>
      <c r="H117" t="s">
        <v>307</v>
      </c>
      <c r="I117" t="s">
        <v>308</v>
      </c>
      <c r="J117" s="2">
        <v>46262</v>
      </c>
      <c r="K117" s="1">
        <v>14.29</v>
      </c>
    </row>
    <row r="118" spans="1:13" x14ac:dyDescent="0.2">
      <c r="A118" s="1">
        <f t="shared" si="3"/>
        <v>1.53</v>
      </c>
      <c r="C118" t="s">
        <v>18</v>
      </c>
      <c r="D118" t="s">
        <v>19</v>
      </c>
      <c r="E118" t="s">
        <v>90</v>
      </c>
      <c r="F118" t="s">
        <v>19</v>
      </c>
      <c r="G118" t="s">
        <v>285</v>
      </c>
      <c r="H118" t="s">
        <v>90</v>
      </c>
      <c r="I118" t="s">
        <v>71</v>
      </c>
      <c r="J118" s="2">
        <v>46262</v>
      </c>
      <c r="K118">
        <v>1.53</v>
      </c>
    </row>
    <row r="119" spans="1:13" x14ac:dyDescent="0.2">
      <c r="A119" s="1">
        <f t="shared" si="3"/>
        <v>5.65</v>
      </c>
      <c r="C119" t="s">
        <v>18</v>
      </c>
      <c r="D119" t="s">
        <v>19</v>
      </c>
      <c r="E119" t="s">
        <v>309</v>
      </c>
      <c r="F119" t="s">
        <v>21</v>
      </c>
      <c r="G119" t="s">
        <v>285</v>
      </c>
      <c r="H119" t="s">
        <v>310</v>
      </c>
      <c r="I119" t="s">
        <v>311</v>
      </c>
      <c r="J119" s="2">
        <v>46262</v>
      </c>
      <c r="K119" s="1">
        <v>5.65</v>
      </c>
      <c r="L119" s="2">
        <v>46262</v>
      </c>
      <c r="M119" s="1">
        <v>0</v>
      </c>
    </row>
    <row r="120" spans="1:13" x14ac:dyDescent="0.2">
      <c r="A120" s="1">
        <f t="shared" si="3"/>
        <v>3.33</v>
      </c>
      <c r="C120" t="s">
        <v>18</v>
      </c>
      <c r="D120" t="s">
        <v>19</v>
      </c>
      <c r="E120" t="s">
        <v>312</v>
      </c>
      <c r="F120" t="s">
        <v>19</v>
      </c>
      <c r="G120" t="s">
        <v>285</v>
      </c>
      <c r="H120" t="s">
        <v>313</v>
      </c>
      <c r="I120" t="s">
        <v>314</v>
      </c>
      <c r="J120" s="2">
        <v>46262</v>
      </c>
      <c r="K120">
        <v>3.33</v>
      </c>
    </row>
    <row r="121" spans="1:13" x14ac:dyDescent="0.2">
      <c r="A121" s="1">
        <f t="shared" si="3"/>
        <v>3.33</v>
      </c>
      <c r="C121" t="s">
        <v>18</v>
      </c>
      <c r="D121" t="s">
        <v>19</v>
      </c>
      <c r="E121" t="s">
        <v>315</v>
      </c>
      <c r="F121" t="s">
        <v>316</v>
      </c>
      <c r="G121" t="s">
        <v>285</v>
      </c>
      <c r="H121" t="s">
        <v>317</v>
      </c>
      <c r="I121" t="s">
        <v>314</v>
      </c>
      <c r="J121" s="2">
        <v>46262</v>
      </c>
      <c r="K121">
        <v>3.33</v>
      </c>
    </row>
    <row r="122" spans="1:13" x14ac:dyDescent="0.2">
      <c r="A122" s="1">
        <f t="shared" si="3"/>
        <v>7.19</v>
      </c>
      <c r="C122" t="s">
        <v>18</v>
      </c>
      <c r="D122" t="s">
        <v>19</v>
      </c>
      <c r="E122" t="s">
        <v>318</v>
      </c>
      <c r="F122" t="s">
        <v>161</v>
      </c>
      <c r="G122" t="s">
        <v>285</v>
      </c>
      <c r="H122" t="s">
        <v>319</v>
      </c>
      <c r="I122" t="s">
        <v>320</v>
      </c>
      <c r="J122" s="2">
        <v>46262</v>
      </c>
      <c r="K122" s="1">
        <v>7.19</v>
      </c>
    </row>
    <row r="123" spans="1:13" x14ac:dyDescent="0.2">
      <c r="A123" s="1">
        <f t="shared" si="3"/>
        <v>0.5</v>
      </c>
      <c r="C123" t="s">
        <v>18</v>
      </c>
      <c r="D123" t="s">
        <v>19</v>
      </c>
      <c r="E123" t="s">
        <v>162</v>
      </c>
      <c r="F123" t="s">
        <v>19</v>
      </c>
      <c r="G123" t="s">
        <v>285</v>
      </c>
      <c r="H123" t="s">
        <v>162</v>
      </c>
      <c r="I123" t="s">
        <v>163</v>
      </c>
      <c r="J123" s="2">
        <v>46262</v>
      </c>
      <c r="K123">
        <v>0.5</v>
      </c>
    </row>
    <row r="124" spans="1:13" x14ac:dyDescent="0.2">
      <c r="A124" s="1">
        <f t="shared" si="3"/>
        <v>3.34</v>
      </c>
      <c r="C124" t="s">
        <v>18</v>
      </c>
      <c r="D124" t="s">
        <v>19</v>
      </c>
      <c r="E124" t="s">
        <v>315</v>
      </c>
      <c r="F124" t="s">
        <v>316</v>
      </c>
      <c r="G124" t="s">
        <v>285</v>
      </c>
      <c r="H124" t="s">
        <v>317</v>
      </c>
      <c r="I124" t="s">
        <v>314</v>
      </c>
      <c r="J124" s="2">
        <v>46262</v>
      </c>
      <c r="K124">
        <v>3.34</v>
      </c>
    </row>
    <row r="125" spans="1:13" x14ac:dyDescent="0.2">
      <c r="A125" s="1">
        <f t="shared" si="3"/>
        <v>0</v>
      </c>
    </row>
    <row r="126" spans="1:13" x14ac:dyDescent="0.2">
      <c r="A126" s="1">
        <f t="shared" si="3"/>
        <v>0</v>
      </c>
    </row>
    <row r="127" spans="1:13" x14ac:dyDescent="0.2">
      <c r="A127" s="1">
        <f t="shared" si="3"/>
        <v>0</v>
      </c>
    </row>
    <row r="128" spans="1:13" x14ac:dyDescent="0.2">
      <c r="A128" s="1">
        <f t="shared" si="3"/>
        <v>0</v>
      </c>
    </row>
    <row r="129" spans="1:1" x14ac:dyDescent="0.2">
      <c r="A129" s="1">
        <f t="shared" si="3"/>
        <v>0</v>
      </c>
    </row>
    <row r="130" spans="1:1" x14ac:dyDescent="0.2">
      <c r="A130" s="1">
        <f t="shared" si="3"/>
        <v>0</v>
      </c>
    </row>
    <row r="131" spans="1:1" x14ac:dyDescent="0.2">
      <c r="A131" s="1">
        <f t="shared" si="3"/>
        <v>0</v>
      </c>
    </row>
  </sheetData>
  <autoFilter ref="A1:S122" xr:uid="{00000000-0009-0000-0000-000000000000}"/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59"/>
  <sheetViews>
    <sheetView showGridLines="0" workbookViewId="0">
      <pane xSplit="1" ySplit="1" topLeftCell="B2" activePane="bottomRight" state="frozen"/>
      <selection pane="topRight"/>
      <selection pane="bottomLeft"/>
      <selection pane="bottomRight"/>
    </sheetView>
  </sheetViews>
  <sheetFormatPr baseColWidth="10" defaultColWidth="8.83203125" defaultRowHeight="15" x14ac:dyDescent="0.2"/>
  <cols>
    <col min="1" max="1" width="28" customWidth="1"/>
    <col min="2" max="14" width="34" customWidth="1"/>
  </cols>
  <sheetData>
    <row r="1" spans="1:14" ht="24" customHeight="1" x14ac:dyDescent="0.2">
      <c r="A1" s="27" t="s">
        <v>7</v>
      </c>
      <c r="B1" s="27" t="s">
        <v>321</v>
      </c>
      <c r="C1" s="27" t="s">
        <v>322</v>
      </c>
      <c r="D1" s="27" t="s">
        <v>323</v>
      </c>
      <c r="E1" s="27" t="s">
        <v>324</v>
      </c>
      <c r="F1" s="27" t="s">
        <v>325</v>
      </c>
      <c r="G1" s="27" t="s">
        <v>326</v>
      </c>
      <c r="H1" s="27" t="s">
        <v>327</v>
      </c>
      <c r="I1" s="27" t="s">
        <v>328</v>
      </c>
      <c r="J1" s="27" t="s">
        <v>329</v>
      </c>
      <c r="K1" s="27" t="s">
        <v>330</v>
      </c>
      <c r="L1" s="27" t="s">
        <v>331</v>
      </c>
      <c r="M1" s="27" t="s">
        <v>332</v>
      </c>
      <c r="N1" s="27" t="s">
        <v>333</v>
      </c>
    </row>
    <row r="2" spans="1:14" ht="36" customHeight="1" x14ac:dyDescent="0.2">
      <c r="A2" s="28" t="s">
        <v>277</v>
      </c>
      <c r="B2" s="29" t="s">
        <v>276</v>
      </c>
      <c r="C2" s="29"/>
      <c r="D2" s="29"/>
      <c r="E2" s="29"/>
      <c r="F2" s="29"/>
      <c r="G2" s="29"/>
      <c r="H2" s="29"/>
      <c r="I2" s="29"/>
      <c r="J2" s="29"/>
      <c r="K2" s="29"/>
      <c r="L2" s="29"/>
      <c r="M2" s="29"/>
      <c r="N2" s="29"/>
    </row>
    <row r="3" spans="1:14" ht="36" customHeight="1" x14ac:dyDescent="0.2">
      <c r="A3" s="30" t="s">
        <v>169</v>
      </c>
      <c r="B3" s="31" t="s">
        <v>214</v>
      </c>
      <c r="C3" s="31" t="s">
        <v>192</v>
      </c>
      <c r="D3" s="31" t="s">
        <v>186</v>
      </c>
      <c r="E3" s="31" t="s">
        <v>188</v>
      </c>
      <c r="F3" s="31" t="s">
        <v>168</v>
      </c>
      <c r="G3" s="31"/>
      <c r="H3" s="31"/>
      <c r="I3" s="31"/>
      <c r="J3" s="31"/>
      <c r="K3" s="31"/>
      <c r="L3" s="31"/>
      <c r="M3" s="31"/>
      <c r="N3" s="31"/>
    </row>
    <row r="4" spans="1:14" ht="36" customHeight="1" x14ac:dyDescent="0.2">
      <c r="A4" s="32" t="s">
        <v>175</v>
      </c>
      <c r="B4" s="33" t="s">
        <v>174</v>
      </c>
      <c r="C4" s="33" t="s">
        <v>197</v>
      </c>
      <c r="D4" s="33"/>
      <c r="E4" s="33"/>
      <c r="F4" s="33"/>
      <c r="G4" s="33"/>
      <c r="H4" s="33"/>
      <c r="I4" s="33"/>
      <c r="J4" s="33"/>
      <c r="K4" s="33"/>
      <c r="L4" s="33"/>
      <c r="M4" s="33"/>
      <c r="N4" s="33"/>
    </row>
    <row r="5" spans="1:14" ht="36" customHeight="1" x14ac:dyDescent="0.2">
      <c r="A5" s="34" t="s">
        <v>178</v>
      </c>
      <c r="B5" s="35" t="s">
        <v>177</v>
      </c>
      <c r="C5" s="35" t="s">
        <v>289</v>
      </c>
      <c r="D5" s="35"/>
      <c r="E5" s="35"/>
      <c r="F5" s="35"/>
      <c r="G5" s="35"/>
      <c r="H5" s="35"/>
      <c r="I5" s="35"/>
      <c r="J5" s="35"/>
      <c r="K5" s="35"/>
      <c r="L5" s="35"/>
      <c r="M5" s="35"/>
      <c r="N5" s="35"/>
    </row>
    <row r="6" spans="1:14" ht="36" customHeight="1" x14ac:dyDescent="0.2">
      <c r="A6" s="36" t="s">
        <v>200</v>
      </c>
      <c r="B6" s="37" t="s">
        <v>199</v>
      </c>
      <c r="C6" s="37"/>
      <c r="D6" s="37"/>
      <c r="E6" s="37"/>
      <c r="F6" s="37"/>
      <c r="G6" s="37"/>
      <c r="H6" s="37"/>
      <c r="I6" s="37"/>
      <c r="J6" s="37"/>
      <c r="K6" s="37"/>
      <c r="L6" s="37"/>
      <c r="M6" s="37"/>
      <c r="N6" s="37"/>
    </row>
    <row r="7" spans="1:14" ht="36" customHeight="1" x14ac:dyDescent="0.2">
      <c r="A7" s="38" t="s">
        <v>46</v>
      </c>
      <c r="B7" s="39" t="s">
        <v>242</v>
      </c>
      <c r="C7" s="39" t="s">
        <v>45</v>
      </c>
      <c r="D7" s="39" t="s">
        <v>119</v>
      </c>
      <c r="E7" s="39"/>
      <c r="F7" s="39"/>
      <c r="G7" s="39"/>
      <c r="H7" s="39"/>
      <c r="I7" s="39"/>
      <c r="J7" s="39"/>
      <c r="K7" s="39"/>
      <c r="L7" s="39"/>
      <c r="M7" s="39"/>
      <c r="N7" s="39"/>
    </row>
    <row r="8" spans="1:14" ht="36" customHeight="1" x14ac:dyDescent="0.2">
      <c r="A8" s="28" t="s">
        <v>98</v>
      </c>
      <c r="B8" s="29" t="s">
        <v>101</v>
      </c>
      <c r="C8" s="29" t="s">
        <v>97</v>
      </c>
      <c r="D8" s="29"/>
      <c r="E8" s="29"/>
      <c r="F8" s="29"/>
      <c r="G8" s="29"/>
      <c r="H8" s="29"/>
      <c r="I8" s="29"/>
      <c r="J8" s="29"/>
      <c r="K8" s="29"/>
      <c r="L8" s="29"/>
      <c r="M8" s="29"/>
      <c r="N8" s="29"/>
    </row>
    <row r="9" spans="1:14" ht="36" customHeight="1" x14ac:dyDescent="0.2">
      <c r="A9" s="30" t="s">
        <v>181</v>
      </c>
      <c r="B9" s="31" t="s">
        <v>180</v>
      </c>
      <c r="C9" s="31"/>
      <c r="D9" s="31"/>
      <c r="E9" s="31"/>
      <c r="F9" s="31"/>
      <c r="G9" s="31"/>
      <c r="H9" s="31"/>
      <c r="I9" s="31"/>
      <c r="J9" s="31"/>
      <c r="K9" s="31"/>
      <c r="L9" s="31"/>
      <c r="M9" s="31"/>
      <c r="N9" s="31"/>
    </row>
    <row r="10" spans="1:14" ht="36" customHeight="1" x14ac:dyDescent="0.2">
      <c r="A10" s="32" t="s">
        <v>248</v>
      </c>
      <c r="B10" s="33" t="s">
        <v>247</v>
      </c>
      <c r="C10" s="33"/>
      <c r="D10" s="33"/>
      <c r="E10" s="33"/>
      <c r="F10" s="33"/>
      <c r="G10" s="33"/>
      <c r="H10" s="33"/>
      <c r="I10" s="33"/>
      <c r="J10" s="33"/>
      <c r="K10" s="33"/>
      <c r="L10" s="33"/>
      <c r="M10" s="33"/>
      <c r="N10" s="33"/>
    </row>
    <row r="11" spans="1:14" ht="36" customHeight="1" x14ac:dyDescent="0.2">
      <c r="A11" s="34" t="s">
        <v>127</v>
      </c>
      <c r="B11" s="35" t="s">
        <v>126</v>
      </c>
      <c r="C11" s="35"/>
      <c r="D11" s="35"/>
      <c r="E11" s="35"/>
      <c r="F11" s="35"/>
      <c r="G11" s="35"/>
      <c r="H11" s="35"/>
      <c r="I11" s="35"/>
      <c r="J11" s="35"/>
      <c r="K11" s="35"/>
      <c r="L11" s="35"/>
      <c r="M11" s="35"/>
      <c r="N11" s="35"/>
    </row>
    <row r="12" spans="1:14" ht="36" customHeight="1" x14ac:dyDescent="0.2">
      <c r="A12" s="36" t="s">
        <v>40</v>
      </c>
      <c r="B12" s="37" t="s">
        <v>39</v>
      </c>
      <c r="C12" s="37"/>
      <c r="D12" s="37"/>
      <c r="E12" s="37"/>
      <c r="F12" s="37"/>
      <c r="G12" s="37"/>
      <c r="H12" s="37"/>
      <c r="I12" s="37"/>
      <c r="J12" s="37"/>
      <c r="K12" s="37"/>
      <c r="L12" s="37"/>
      <c r="M12" s="37"/>
      <c r="N12" s="37"/>
    </row>
    <row r="13" spans="1:14" ht="36" customHeight="1" x14ac:dyDescent="0.2">
      <c r="A13" s="38" t="s">
        <v>112</v>
      </c>
      <c r="B13" s="39" t="s">
        <v>111</v>
      </c>
      <c r="C13" s="39"/>
      <c r="D13" s="39"/>
      <c r="E13" s="39"/>
      <c r="F13" s="39"/>
      <c r="G13" s="39"/>
      <c r="H13" s="39"/>
      <c r="I13" s="39"/>
      <c r="J13" s="39"/>
      <c r="K13" s="39"/>
      <c r="L13" s="39"/>
      <c r="M13" s="39"/>
      <c r="N13" s="39"/>
    </row>
    <row r="14" spans="1:14" ht="36" customHeight="1" x14ac:dyDescent="0.2">
      <c r="A14" s="28" t="s">
        <v>237</v>
      </c>
      <c r="B14" s="29" t="s">
        <v>236</v>
      </c>
      <c r="C14" s="29"/>
      <c r="D14" s="29"/>
      <c r="E14" s="29"/>
      <c r="F14" s="29"/>
      <c r="G14" s="29"/>
      <c r="H14" s="29"/>
      <c r="I14" s="29"/>
      <c r="J14" s="29"/>
      <c r="K14" s="29"/>
      <c r="L14" s="29"/>
      <c r="M14" s="29"/>
      <c r="N14" s="29"/>
    </row>
    <row r="15" spans="1:14" ht="36" customHeight="1" x14ac:dyDescent="0.2">
      <c r="A15" s="30" t="s">
        <v>271</v>
      </c>
      <c r="B15" s="31" t="s">
        <v>270</v>
      </c>
      <c r="C15" s="31"/>
      <c r="D15" s="31"/>
      <c r="E15" s="31"/>
      <c r="F15" s="31"/>
      <c r="G15" s="31"/>
      <c r="H15" s="31"/>
      <c r="I15" s="31"/>
      <c r="J15" s="31"/>
      <c r="K15" s="31"/>
      <c r="L15" s="31"/>
      <c r="M15" s="31"/>
      <c r="N15" s="31"/>
    </row>
    <row r="16" spans="1:14" ht="36" customHeight="1" x14ac:dyDescent="0.2">
      <c r="A16" s="32" t="s">
        <v>85</v>
      </c>
      <c r="B16" s="33" t="s">
        <v>84</v>
      </c>
      <c r="C16" s="33"/>
      <c r="D16" s="33"/>
      <c r="E16" s="33"/>
      <c r="F16" s="33"/>
      <c r="G16" s="33"/>
      <c r="H16" s="33"/>
      <c r="I16" s="33"/>
      <c r="J16" s="33"/>
      <c r="K16" s="33"/>
      <c r="L16" s="33"/>
      <c r="M16" s="33"/>
      <c r="N16" s="33"/>
    </row>
    <row r="17" spans="1:14" ht="36" customHeight="1" x14ac:dyDescent="0.2">
      <c r="A17" s="34" t="s">
        <v>274</v>
      </c>
      <c r="B17" s="35" t="s">
        <v>273</v>
      </c>
      <c r="C17" s="35"/>
      <c r="D17" s="35"/>
      <c r="E17" s="35"/>
      <c r="F17" s="35"/>
      <c r="G17" s="35"/>
      <c r="H17" s="35"/>
      <c r="I17" s="35"/>
      <c r="J17" s="35"/>
      <c r="K17" s="35"/>
      <c r="L17" s="35"/>
      <c r="M17" s="35"/>
      <c r="N17" s="35"/>
    </row>
    <row r="18" spans="1:14" ht="36" customHeight="1" x14ac:dyDescent="0.2">
      <c r="A18" s="36" t="s">
        <v>116</v>
      </c>
      <c r="B18" s="37" t="s">
        <v>115</v>
      </c>
      <c r="C18" s="37"/>
      <c r="D18" s="37"/>
      <c r="E18" s="37"/>
      <c r="F18" s="37"/>
      <c r="G18" s="37"/>
      <c r="H18" s="37"/>
      <c r="I18" s="37"/>
      <c r="J18" s="37"/>
      <c r="K18" s="37"/>
      <c r="L18" s="37"/>
      <c r="M18" s="37"/>
      <c r="N18" s="37"/>
    </row>
    <row r="19" spans="1:14" ht="36" customHeight="1" x14ac:dyDescent="0.2">
      <c r="A19" s="38" t="s">
        <v>204</v>
      </c>
      <c r="B19" s="39" t="s">
        <v>203</v>
      </c>
      <c r="C19" s="39"/>
      <c r="D19" s="39"/>
      <c r="E19" s="39"/>
      <c r="F19" s="39"/>
      <c r="G19" s="39"/>
      <c r="H19" s="39"/>
      <c r="I19" s="39"/>
      <c r="J19" s="39"/>
      <c r="K19" s="39"/>
      <c r="L19" s="39"/>
      <c r="M19" s="39"/>
      <c r="N19" s="39"/>
    </row>
    <row r="20" spans="1:14" ht="36" customHeight="1" x14ac:dyDescent="0.2">
      <c r="A20" s="28" t="s">
        <v>163</v>
      </c>
      <c r="B20" s="29" t="s">
        <v>216</v>
      </c>
      <c r="C20" s="29" t="s">
        <v>218</v>
      </c>
      <c r="D20" s="29" t="s">
        <v>220</v>
      </c>
      <c r="E20" s="29" t="s">
        <v>162</v>
      </c>
      <c r="F20" s="29" t="s">
        <v>164</v>
      </c>
      <c r="G20" s="29"/>
      <c r="H20" s="29"/>
      <c r="I20" s="29"/>
      <c r="J20" s="29"/>
      <c r="K20" s="29"/>
      <c r="L20" s="29"/>
      <c r="M20" s="29"/>
      <c r="N20" s="29"/>
    </row>
    <row r="21" spans="1:14" ht="36" customHeight="1" x14ac:dyDescent="0.2">
      <c r="A21" s="30" t="s">
        <v>251</v>
      </c>
      <c r="B21" s="31" t="s">
        <v>250</v>
      </c>
      <c r="C21" s="31" t="s">
        <v>253</v>
      </c>
      <c r="D21" s="31"/>
      <c r="E21" s="31"/>
      <c r="F21" s="31"/>
      <c r="G21" s="31"/>
      <c r="H21" s="31"/>
      <c r="I21" s="31"/>
      <c r="J21" s="31"/>
      <c r="K21" s="31"/>
      <c r="L21" s="31"/>
      <c r="M21" s="31"/>
      <c r="N21" s="31"/>
    </row>
    <row r="22" spans="1:14" ht="36" customHeight="1" x14ac:dyDescent="0.2">
      <c r="A22" s="32" t="s">
        <v>71</v>
      </c>
      <c r="B22" s="33" t="s">
        <v>90</v>
      </c>
      <c r="C22" s="33" t="s">
        <v>79</v>
      </c>
      <c r="D22" s="33" t="s">
        <v>81</v>
      </c>
      <c r="E22" s="33" t="s">
        <v>210</v>
      </c>
      <c r="F22" s="33" t="s">
        <v>70</v>
      </c>
      <c r="G22" s="33" t="s">
        <v>143</v>
      </c>
      <c r="H22" s="33"/>
      <c r="I22" s="33"/>
      <c r="J22" s="33"/>
      <c r="K22" s="33"/>
      <c r="L22" s="33"/>
      <c r="M22" s="33"/>
      <c r="N22" s="33"/>
    </row>
    <row r="23" spans="1:14" ht="36" customHeight="1" x14ac:dyDescent="0.2">
      <c r="A23" s="34" t="s">
        <v>56</v>
      </c>
      <c r="B23" s="35" t="s">
        <v>55</v>
      </c>
      <c r="C23" s="35" t="s">
        <v>108</v>
      </c>
      <c r="D23" s="35"/>
      <c r="E23" s="35"/>
      <c r="F23" s="35"/>
      <c r="G23" s="35"/>
      <c r="H23" s="35"/>
      <c r="I23" s="35"/>
      <c r="J23" s="35"/>
      <c r="K23" s="35"/>
      <c r="L23" s="35"/>
      <c r="M23" s="35"/>
      <c r="N23" s="35"/>
    </row>
    <row r="24" spans="1:14" ht="36" customHeight="1" x14ac:dyDescent="0.2">
      <c r="A24" s="36" t="s">
        <v>141</v>
      </c>
      <c r="B24" s="37" t="s">
        <v>140</v>
      </c>
      <c r="C24" s="37"/>
      <c r="D24" s="37"/>
      <c r="E24" s="37"/>
      <c r="F24" s="37"/>
      <c r="G24" s="37"/>
      <c r="H24" s="37"/>
      <c r="I24" s="37"/>
      <c r="J24" s="37"/>
      <c r="K24" s="37"/>
      <c r="L24" s="37"/>
      <c r="M24" s="37"/>
      <c r="N24" s="37"/>
    </row>
    <row r="25" spans="1:14" ht="36" customHeight="1" x14ac:dyDescent="0.2">
      <c r="A25" s="38" t="s">
        <v>308</v>
      </c>
      <c r="B25" s="39" t="s">
        <v>307</v>
      </c>
      <c r="C25" s="39"/>
      <c r="D25" s="39"/>
      <c r="E25" s="39"/>
      <c r="F25" s="39"/>
      <c r="G25" s="39"/>
      <c r="H25" s="39"/>
      <c r="I25" s="39"/>
      <c r="J25" s="39"/>
      <c r="K25" s="39"/>
      <c r="L25" s="39"/>
      <c r="M25" s="39"/>
      <c r="N25" s="39"/>
    </row>
    <row r="26" spans="1:14" ht="36" customHeight="1" x14ac:dyDescent="0.2">
      <c r="A26" s="28" t="s">
        <v>49</v>
      </c>
      <c r="B26" s="29" t="s">
        <v>73</v>
      </c>
      <c r="C26" s="29" t="s">
        <v>60</v>
      </c>
      <c r="D26" s="29" t="s">
        <v>58</v>
      </c>
      <c r="E26" s="29" t="s">
        <v>291</v>
      </c>
      <c r="F26" s="29" t="s">
        <v>53</v>
      </c>
      <c r="G26" s="29" t="s">
        <v>255</v>
      </c>
      <c r="H26" s="29" t="s">
        <v>67</v>
      </c>
      <c r="I26" s="29" t="s">
        <v>262</v>
      </c>
      <c r="J26" s="29" t="s">
        <v>95</v>
      </c>
      <c r="K26" s="29" t="s">
        <v>293</v>
      </c>
      <c r="L26" s="29" t="s">
        <v>264</v>
      </c>
      <c r="M26" s="29" t="s">
        <v>51</v>
      </c>
      <c r="N26" s="29" t="s">
        <v>48</v>
      </c>
    </row>
    <row r="27" spans="1:14" ht="36" customHeight="1" x14ac:dyDescent="0.2">
      <c r="A27" s="30" t="s">
        <v>77</v>
      </c>
      <c r="B27" s="31" t="s">
        <v>76</v>
      </c>
      <c r="C27" s="31"/>
      <c r="D27" s="31"/>
      <c r="E27" s="31"/>
      <c r="F27" s="31"/>
      <c r="G27" s="31"/>
      <c r="H27" s="31"/>
      <c r="I27" s="31"/>
      <c r="J27" s="31"/>
      <c r="K27" s="31"/>
      <c r="L27" s="31"/>
      <c r="M27" s="31"/>
      <c r="N27" s="31"/>
    </row>
    <row r="28" spans="1:14" ht="36" customHeight="1" x14ac:dyDescent="0.2">
      <c r="A28" s="32" t="s">
        <v>32</v>
      </c>
      <c r="B28" s="33" t="s">
        <v>31</v>
      </c>
      <c r="C28" s="33"/>
      <c r="D28" s="33"/>
      <c r="E28" s="33"/>
      <c r="F28" s="33"/>
      <c r="G28" s="33"/>
      <c r="H28" s="33"/>
      <c r="I28" s="33"/>
      <c r="J28" s="33"/>
      <c r="K28" s="33"/>
      <c r="L28" s="33"/>
      <c r="M28" s="33"/>
      <c r="N28" s="33"/>
    </row>
    <row r="29" spans="1:14" ht="36" customHeight="1" x14ac:dyDescent="0.2">
      <c r="A29" s="34" t="s">
        <v>227</v>
      </c>
      <c r="B29" s="35" t="s">
        <v>226</v>
      </c>
      <c r="C29" s="35"/>
      <c r="D29" s="35"/>
      <c r="E29" s="35"/>
      <c r="F29" s="35"/>
      <c r="G29" s="35"/>
      <c r="H29" s="35"/>
      <c r="I29" s="35"/>
      <c r="J29" s="35"/>
      <c r="K29" s="35"/>
      <c r="L29" s="35"/>
      <c r="M29" s="35"/>
      <c r="N29" s="35"/>
    </row>
    <row r="30" spans="1:14" ht="36" customHeight="1" x14ac:dyDescent="0.2">
      <c r="A30" s="36" t="s">
        <v>64</v>
      </c>
      <c r="B30" s="37" t="s">
        <v>63</v>
      </c>
      <c r="C30" s="37"/>
      <c r="D30" s="37"/>
      <c r="E30" s="37"/>
      <c r="F30" s="37"/>
      <c r="G30" s="37"/>
      <c r="H30" s="37"/>
      <c r="I30" s="37"/>
      <c r="J30" s="37"/>
      <c r="K30" s="37"/>
      <c r="L30" s="37"/>
      <c r="M30" s="37"/>
      <c r="N30" s="37"/>
    </row>
    <row r="31" spans="1:14" ht="36" customHeight="1" x14ac:dyDescent="0.2">
      <c r="A31" s="38" t="s">
        <v>245</v>
      </c>
      <c r="B31" s="39" t="s">
        <v>244</v>
      </c>
      <c r="C31" s="39"/>
      <c r="D31" s="39"/>
      <c r="E31" s="39"/>
      <c r="F31" s="39"/>
      <c r="G31" s="39"/>
      <c r="H31" s="39"/>
      <c r="I31" s="39"/>
      <c r="J31" s="39"/>
      <c r="K31" s="39"/>
      <c r="L31" s="39"/>
      <c r="M31" s="39"/>
      <c r="N31" s="39"/>
    </row>
    <row r="32" spans="1:14" ht="36" customHeight="1" x14ac:dyDescent="0.2">
      <c r="A32" s="28" t="s">
        <v>172</v>
      </c>
      <c r="B32" s="29" t="s">
        <v>171</v>
      </c>
      <c r="C32" s="29"/>
      <c r="D32" s="29"/>
      <c r="E32" s="29"/>
      <c r="F32" s="29"/>
      <c r="G32" s="29"/>
      <c r="H32" s="29"/>
      <c r="I32" s="29"/>
      <c r="J32" s="29"/>
      <c r="K32" s="29"/>
      <c r="L32" s="29"/>
      <c r="M32" s="29"/>
      <c r="N32" s="29"/>
    </row>
    <row r="33" spans="1:14" ht="36" customHeight="1" x14ac:dyDescent="0.2">
      <c r="A33" s="30" t="s">
        <v>268</v>
      </c>
      <c r="B33" s="31" t="s">
        <v>267</v>
      </c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</row>
    <row r="34" spans="1:14" ht="36" customHeight="1" x14ac:dyDescent="0.2">
      <c r="A34" s="32" t="s">
        <v>240</v>
      </c>
      <c r="B34" s="33" t="s">
        <v>239</v>
      </c>
      <c r="C34" s="33"/>
      <c r="D34" s="33"/>
      <c r="E34" s="33"/>
      <c r="F34" s="33"/>
      <c r="G34" s="33"/>
      <c r="H34" s="33"/>
      <c r="I34" s="33"/>
      <c r="J34" s="33"/>
      <c r="K34" s="33"/>
      <c r="L34" s="33"/>
      <c r="M34" s="33"/>
      <c r="N34" s="33"/>
    </row>
    <row r="35" spans="1:14" ht="36" customHeight="1" x14ac:dyDescent="0.2">
      <c r="A35" s="34" t="s">
        <v>280</v>
      </c>
      <c r="B35" s="35" t="s">
        <v>279</v>
      </c>
      <c r="C35" s="35"/>
      <c r="D35" s="35"/>
      <c r="E35" s="35"/>
      <c r="F35" s="35"/>
      <c r="G35" s="35"/>
      <c r="H35" s="35"/>
      <c r="I35" s="35"/>
      <c r="J35" s="35"/>
      <c r="K35" s="35"/>
      <c r="L35" s="35"/>
      <c r="M35" s="35"/>
      <c r="N35" s="35"/>
    </row>
    <row r="36" spans="1:14" ht="36" customHeight="1" x14ac:dyDescent="0.2">
      <c r="A36" s="36" t="s">
        <v>320</v>
      </c>
      <c r="B36" s="37" t="s">
        <v>319</v>
      </c>
      <c r="C36" s="37"/>
      <c r="D36" s="37"/>
      <c r="E36" s="37"/>
      <c r="F36" s="37"/>
      <c r="G36" s="37"/>
      <c r="H36" s="37"/>
      <c r="I36" s="37"/>
      <c r="J36" s="37"/>
      <c r="K36" s="37"/>
      <c r="L36" s="37"/>
      <c r="M36" s="37"/>
      <c r="N36" s="37"/>
    </row>
    <row r="37" spans="1:14" ht="36" customHeight="1" x14ac:dyDescent="0.2">
      <c r="A37" s="38" t="s">
        <v>146</v>
      </c>
      <c r="B37" s="39" t="s">
        <v>145</v>
      </c>
      <c r="C37" s="39"/>
      <c r="D37" s="39"/>
      <c r="E37" s="39"/>
      <c r="F37" s="39"/>
      <c r="G37" s="39"/>
      <c r="H37" s="39"/>
      <c r="I37" s="39"/>
      <c r="J37" s="39"/>
      <c r="K37" s="39"/>
      <c r="L37" s="39"/>
      <c r="M37" s="39"/>
      <c r="N37" s="39"/>
    </row>
    <row r="38" spans="1:14" ht="36" customHeight="1" x14ac:dyDescent="0.2">
      <c r="A38" s="28" t="s">
        <v>258</v>
      </c>
      <c r="B38" s="29" t="s">
        <v>257</v>
      </c>
      <c r="C38" s="29"/>
      <c r="D38" s="29"/>
      <c r="E38" s="29"/>
      <c r="F38" s="29"/>
      <c r="G38" s="29"/>
      <c r="H38" s="29"/>
      <c r="I38" s="29"/>
      <c r="J38" s="29"/>
      <c r="K38" s="29"/>
      <c r="L38" s="29"/>
      <c r="M38" s="29"/>
      <c r="N38" s="29"/>
    </row>
    <row r="39" spans="1:14" ht="36" customHeight="1" x14ac:dyDescent="0.2">
      <c r="A39" s="30" t="s">
        <v>301</v>
      </c>
      <c r="B39" s="31" t="s">
        <v>304</v>
      </c>
      <c r="C39" s="31" t="s">
        <v>300</v>
      </c>
      <c r="D39" s="31"/>
      <c r="E39" s="31"/>
      <c r="F39" s="31"/>
      <c r="G39" s="31"/>
      <c r="H39" s="31"/>
      <c r="I39" s="31"/>
      <c r="J39" s="31"/>
      <c r="K39" s="31"/>
      <c r="L39" s="31"/>
      <c r="M39" s="31"/>
      <c r="N39" s="31"/>
    </row>
    <row r="40" spans="1:14" ht="36" customHeight="1" x14ac:dyDescent="0.2">
      <c r="A40" s="32" t="s">
        <v>195</v>
      </c>
      <c r="B40" s="33" t="s">
        <v>194</v>
      </c>
      <c r="C40" s="33"/>
      <c r="D40" s="33"/>
      <c r="E40" s="33"/>
      <c r="F40" s="33"/>
      <c r="G40" s="33"/>
      <c r="H40" s="33"/>
      <c r="I40" s="33"/>
      <c r="J40" s="33"/>
      <c r="K40" s="33"/>
      <c r="L40" s="33"/>
      <c r="M40" s="33"/>
      <c r="N40" s="33"/>
    </row>
    <row r="41" spans="1:14" ht="36" customHeight="1" x14ac:dyDescent="0.2">
      <c r="A41" s="34" t="s">
        <v>152</v>
      </c>
      <c r="B41" s="35" t="s">
        <v>151</v>
      </c>
      <c r="C41" s="35"/>
      <c r="D41" s="35"/>
      <c r="E41" s="35"/>
      <c r="F41" s="35"/>
      <c r="G41" s="35"/>
      <c r="H41" s="35"/>
      <c r="I41" s="35"/>
      <c r="J41" s="35"/>
      <c r="K41" s="35"/>
      <c r="L41" s="35"/>
      <c r="M41" s="35"/>
      <c r="N41" s="35"/>
    </row>
    <row r="42" spans="1:14" ht="36" customHeight="1" x14ac:dyDescent="0.2">
      <c r="A42" s="36" t="s">
        <v>149</v>
      </c>
      <c r="B42" s="37" t="s">
        <v>148</v>
      </c>
      <c r="C42" s="37"/>
      <c r="D42" s="37"/>
      <c r="E42" s="37"/>
      <c r="F42" s="37"/>
      <c r="G42" s="37"/>
      <c r="H42" s="37"/>
      <c r="I42" s="37"/>
      <c r="J42" s="37"/>
      <c r="K42" s="37"/>
      <c r="L42" s="37"/>
      <c r="M42" s="37"/>
      <c r="N42" s="37"/>
    </row>
    <row r="43" spans="1:14" ht="36" customHeight="1" x14ac:dyDescent="0.2">
      <c r="A43" s="38" t="s">
        <v>287</v>
      </c>
      <c r="B43" s="39" t="s">
        <v>286</v>
      </c>
      <c r="C43" s="39"/>
      <c r="D43" s="39"/>
      <c r="E43" s="39"/>
      <c r="F43" s="39"/>
      <c r="G43" s="39"/>
      <c r="H43" s="39"/>
      <c r="I43" s="39"/>
      <c r="J43" s="39"/>
      <c r="K43" s="39"/>
      <c r="L43" s="39"/>
      <c r="M43" s="39"/>
      <c r="N43" s="39"/>
    </row>
    <row r="44" spans="1:14" ht="36" customHeight="1" x14ac:dyDescent="0.2">
      <c r="A44" s="28" t="s">
        <v>311</v>
      </c>
      <c r="B44" s="29" t="s">
        <v>310</v>
      </c>
      <c r="C44" s="29"/>
      <c r="D44" s="29"/>
      <c r="E44" s="29"/>
      <c r="F44" s="29"/>
      <c r="G44" s="29"/>
      <c r="H44" s="29"/>
      <c r="I44" s="29"/>
      <c r="J44" s="29"/>
      <c r="K44" s="29"/>
      <c r="L44" s="29"/>
      <c r="M44" s="29"/>
      <c r="N44" s="29"/>
    </row>
    <row r="45" spans="1:14" ht="36" customHeight="1" x14ac:dyDescent="0.2">
      <c r="A45" s="30" t="s">
        <v>37</v>
      </c>
      <c r="B45" s="31" t="s">
        <v>190</v>
      </c>
      <c r="C45" s="31" t="s">
        <v>36</v>
      </c>
      <c r="D45" s="31"/>
      <c r="E45" s="31"/>
      <c r="F45" s="31"/>
      <c r="G45" s="31"/>
      <c r="H45" s="31"/>
      <c r="I45" s="31"/>
      <c r="J45" s="31"/>
      <c r="K45" s="31"/>
      <c r="L45" s="31"/>
      <c r="M45" s="31"/>
      <c r="N45" s="31"/>
    </row>
    <row r="46" spans="1:14" ht="36" customHeight="1" x14ac:dyDescent="0.2">
      <c r="A46" s="32" t="s">
        <v>87</v>
      </c>
      <c r="B46" s="33" t="s">
        <v>86</v>
      </c>
      <c r="C46" s="33"/>
      <c r="D46" s="33"/>
      <c r="E46" s="33"/>
      <c r="F46" s="33"/>
      <c r="G46" s="33"/>
      <c r="H46" s="33"/>
      <c r="I46" s="33"/>
      <c r="J46" s="33"/>
      <c r="K46" s="33"/>
      <c r="L46" s="33"/>
      <c r="M46" s="33"/>
      <c r="N46" s="33"/>
    </row>
    <row r="47" spans="1:14" ht="36" customHeight="1" x14ac:dyDescent="0.2">
      <c r="A47" s="34" t="s">
        <v>155</v>
      </c>
      <c r="B47" s="35" t="s">
        <v>154</v>
      </c>
      <c r="C47" s="35" t="s">
        <v>156</v>
      </c>
      <c r="D47" s="35"/>
      <c r="E47" s="35"/>
      <c r="F47" s="35"/>
      <c r="G47" s="35"/>
      <c r="H47" s="35"/>
      <c r="I47" s="35"/>
      <c r="J47" s="35"/>
      <c r="K47" s="35"/>
      <c r="L47" s="35"/>
      <c r="M47" s="35"/>
      <c r="N47" s="35"/>
    </row>
    <row r="48" spans="1:14" ht="36" customHeight="1" x14ac:dyDescent="0.2">
      <c r="A48" s="36" t="s">
        <v>159</v>
      </c>
      <c r="B48" s="37" t="s">
        <v>160</v>
      </c>
      <c r="C48" s="37" t="s">
        <v>157</v>
      </c>
      <c r="D48" s="37"/>
      <c r="E48" s="37"/>
      <c r="F48" s="37"/>
      <c r="G48" s="37"/>
      <c r="H48" s="37"/>
      <c r="I48" s="37"/>
      <c r="J48" s="37"/>
      <c r="K48" s="37"/>
      <c r="L48" s="37"/>
      <c r="M48" s="37"/>
      <c r="N48" s="37"/>
    </row>
    <row r="49" spans="1:14" ht="36" customHeight="1" x14ac:dyDescent="0.2">
      <c r="A49" s="38" t="s">
        <v>29</v>
      </c>
      <c r="B49" s="39" t="s">
        <v>28</v>
      </c>
      <c r="C49" s="39"/>
      <c r="D49" s="39"/>
      <c r="E49" s="39"/>
      <c r="F49" s="39"/>
      <c r="G49" s="39"/>
      <c r="H49" s="39"/>
      <c r="I49" s="39"/>
      <c r="J49" s="39"/>
      <c r="K49" s="39"/>
      <c r="L49" s="39"/>
      <c r="M49" s="39"/>
      <c r="N49" s="39"/>
    </row>
    <row r="50" spans="1:14" ht="36" customHeight="1" x14ac:dyDescent="0.2">
      <c r="A50" s="28" t="s">
        <v>234</v>
      </c>
      <c r="B50" s="29" t="s">
        <v>233</v>
      </c>
      <c r="C50" s="29"/>
      <c r="D50" s="29"/>
      <c r="E50" s="29"/>
      <c r="F50" s="29"/>
      <c r="G50" s="29"/>
      <c r="H50" s="29"/>
      <c r="I50" s="29"/>
      <c r="J50" s="29"/>
      <c r="K50" s="29"/>
      <c r="L50" s="29"/>
      <c r="M50" s="29"/>
      <c r="N50" s="29"/>
    </row>
    <row r="51" spans="1:14" ht="36" customHeight="1" x14ac:dyDescent="0.2">
      <c r="A51" s="30" t="s">
        <v>105</v>
      </c>
      <c r="B51" s="31" t="s">
        <v>104</v>
      </c>
      <c r="C51" s="31"/>
      <c r="D51" s="31"/>
      <c r="E51" s="31"/>
      <c r="F51" s="31"/>
      <c r="G51" s="31"/>
      <c r="H51" s="31"/>
      <c r="I51" s="31"/>
      <c r="J51" s="31"/>
      <c r="K51" s="31"/>
      <c r="L51" s="31"/>
      <c r="M51" s="31"/>
      <c r="N51" s="31"/>
    </row>
    <row r="52" spans="1:14" ht="36" customHeight="1" x14ac:dyDescent="0.2">
      <c r="A52" s="32" t="s">
        <v>314</v>
      </c>
      <c r="B52" s="33" t="s">
        <v>313</v>
      </c>
      <c r="C52" s="33" t="s">
        <v>317</v>
      </c>
      <c r="D52" s="33"/>
      <c r="E52" s="33"/>
      <c r="F52" s="33"/>
      <c r="G52" s="33"/>
      <c r="H52" s="33"/>
      <c r="I52" s="33"/>
      <c r="J52" s="33"/>
      <c r="K52" s="33"/>
      <c r="L52" s="33"/>
      <c r="M52" s="33"/>
      <c r="N52" s="33"/>
    </row>
    <row r="53" spans="1:14" ht="36" customHeight="1" x14ac:dyDescent="0.2">
      <c r="A53" s="34" t="s">
        <v>296</v>
      </c>
      <c r="B53" s="35" t="s">
        <v>295</v>
      </c>
      <c r="C53" s="35"/>
      <c r="D53" s="35"/>
      <c r="E53" s="35"/>
      <c r="F53" s="35"/>
      <c r="G53" s="35"/>
      <c r="H53" s="35"/>
      <c r="I53" s="35"/>
      <c r="J53" s="35"/>
      <c r="K53" s="35"/>
      <c r="L53" s="35"/>
      <c r="M53" s="35"/>
      <c r="N53" s="35"/>
    </row>
    <row r="54" spans="1:14" ht="36" customHeight="1" x14ac:dyDescent="0.2">
      <c r="A54" s="36" t="s">
        <v>184</v>
      </c>
      <c r="B54" s="37" t="s">
        <v>183</v>
      </c>
      <c r="C54" s="37" t="s">
        <v>298</v>
      </c>
      <c r="D54" s="37" t="s">
        <v>208</v>
      </c>
      <c r="E54" s="37"/>
      <c r="F54" s="37"/>
      <c r="G54" s="37"/>
      <c r="H54" s="37"/>
      <c r="I54" s="37"/>
      <c r="J54" s="37"/>
      <c r="K54" s="37"/>
      <c r="L54" s="37"/>
      <c r="M54" s="37"/>
      <c r="N54" s="37"/>
    </row>
    <row r="55" spans="1:14" ht="36" customHeight="1" x14ac:dyDescent="0.2">
      <c r="A55" s="38" t="s">
        <v>93</v>
      </c>
      <c r="B55" s="39" t="s">
        <v>92</v>
      </c>
      <c r="C55" s="39" t="s">
        <v>231</v>
      </c>
      <c r="D55" s="39"/>
      <c r="E55" s="39"/>
      <c r="F55" s="39"/>
      <c r="G55" s="39"/>
      <c r="H55" s="39"/>
      <c r="I55" s="39"/>
      <c r="J55" s="39"/>
      <c r="K55" s="39"/>
      <c r="L55" s="39"/>
      <c r="M55" s="39"/>
      <c r="N55" s="39"/>
    </row>
    <row r="56" spans="1:14" ht="36" customHeight="1" x14ac:dyDescent="0.2">
      <c r="A56" s="28" t="s">
        <v>130</v>
      </c>
      <c r="B56" s="29" t="s">
        <v>133</v>
      </c>
      <c r="C56" s="29" t="s">
        <v>129</v>
      </c>
      <c r="D56" s="29"/>
      <c r="E56" s="29"/>
      <c r="F56" s="29"/>
      <c r="G56" s="29"/>
      <c r="H56" s="29"/>
      <c r="I56" s="29"/>
      <c r="J56" s="29"/>
      <c r="K56" s="29"/>
      <c r="L56" s="29"/>
      <c r="M56" s="29"/>
      <c r="N56" s="29"/>
    </row>
    <row r="57" spans="1:14" ht="36" customHeight="1" x14ac:dyDescent="0.2">
      <c r="A57" s="30" t="s">
        <v>136</v>
      </c>
      <c r="B57" s="31" t="s">
        <v>135</v>
      </c>
      <c r="C57" s="31"/>
      <c r="D57" s="31"/>
      <c r="E57" s="31"/>
      <c r="F57" s="31"/>
      <c r="G57" s="31"/>
      <c r="H57" s="31"/>
      <c r="I57" s="31"/>
      <c r="J57" s="31"/>
      <c r="K57" s="31"/>
      <c r="L57" s="31"/>
      <c r="M57" s="31"/>
      <c r="N57" s="31"/>
    </row>
    <row r="58" spans="1:14" ht="36" customHeight="1" x14ac:dyDescent="0.2">
      <c r="A58" s="32" t="s">
        <v>123</v>
      </c>
      <c r="B58" s="33" t="s">
        <v>122</v>
      </c>
      <c r="C58" s="33"/>
      <c r="D58" s="33"/>
      <c r="E58" s="33"/>
      <c r="F58" s="33"/>
      <c r="G58" s="33"/>
      <c r="H58" s="33"/>
      <c r="I58" s="33"/>
      <c r="J58" s="33"/>
      <c r="K58" s="33"/>
      <c r="L58" s="33"/>
      <c r="M58" s="33"/>
      <c r="N58" s="33"/>
    </row>
    <row r="59" spans="1:14" ht="36" customHeight="1" x14ac:dyDescent="0.2">
      <c r="A59" s="34" t="s">
        <v>24</v>
      </c>
      <c r="B59" s="35" t="s">
        <v>34</v>
      </c>
      <c r="C59" s="35" t="s">
        <v>206</v>
      </c>
      <c r="D59" s="35" t="s">
        <v>282</v>
      </c>
      <c r="E59" s="35" t="s">
        <v>26</v>
      </c>
      <c r="F59" s="35" t="s">
        <v>23</v>
      </c>
      <c r="G59" s="35"/>
      <c r="H59" s="35"/>
      <c r="I59" s="35"/>
      <c r="J59" s="35"/>
      <c r="K59" s="35"/>
      <c r="L59" s="35"/>
      <c r="M59" s="35"/>
      <c r="N59" s="35"/>
    </row>
  </sheetData>
  <autoFilter ref="A1:N59" xr:uid="{00000000-0009-0000-0000-000001000000}"/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G334"/>
  <sheetViews>
    <sheetView showGridLines="0" workbookViewId="0">
      <pane ySplit="6" topLeftCell="A200" activePane="bottomLeft" state="frozen"/>
      <selection pane="bottomLeft" sqref="A1:AG2"/>
    </sheetView>
  </sheetViews>
  <sheetFormatPr baseColWidth="10" defaultColWidth="8.83203125" defaultRowHeight="15" x14ac:dyDescent="0.2"/>
  <cols>
    <col min="1" max="15" width="10" customWidth="1"/>
    <col min="16" max="16" width="2" customWidth="1"/>
    <col min="17" max="17" width="4" customWidth="1"/>
    <col min="18" max="18" width="5" customWidth="1"/>
    <col min="19" max="22" width="15" customWidth="1"/>
    <col min="23" max="23" width="14" customWidth="1"/>
    <col min="24" max="24" width="2" customWidth="1"/>
    <col min="25" max="33" width="13" customWidth="1"/>
  </cols>
  <sheetData>
    <row r="1" spans="1:33" ht="28" customHeight="1" x14ac:dyDescent="0.2">
      <c r="A1" s="44" t="s">
        <v>334</v>
      </c>
      <c r="B1" s="41"/>
      <c r="C1" s="41"/>
      <c r="D1" s="41"/>
      <c r="E1" s="41"/>
      <c r="F1" s="41"/>
      <c r="G1" s="41"/>
      <c r="H1" s="41"/>
      <c r="I1" s="41"/>
      <c r="J1" s="41"/>
      <c r="K1" s="41"/>
      <c r="L1" s="41"/>
      <c r="M1" s="41"/>
      <c r="N1" s="41"/>
      <c r="O1" s="41"/>
      <c r="P1" s="41"/>
      <c r="Q1" s="41"/>
      <c r="R1" s="41"/>
      <c r="S1" s="41"/>
      <c r="T1" s="41"/>
      <c r="U1" s="41"/>
      <c r="V1" s="41"/>
      <c r="W1" s="41"/>
      <c r="X1" s="41"/>
      <c r="Y1" s="41"/>
      <c r="Z1" s="41"/>
      <c r="AA1" s="41"/>
      <c r="AB1" s="41"/>
      <c r="AC1" s="41"/>
      <c r="AD1" s="41"/>
      <c r="AE1" s="41"/>
      <c r="AF1" s="41"/>
      <c r="AG1" s="41"/>
    </row>
    <row r="2" spans="1:33" ht="28" customHeight="1" x14ac:dyDescent="0.2">
      <c r="A2" s="41"/>
      <c r="B2" s="41"/>
      <c r="C2" s="41"/>
      <c r="D2" s="41"/>
      <c r="E2" s="41"/>
      <c r="F2" s="41"/>
      <c r="G2" s="41"/>
      <c r="H2" s="41"/>
      <c r="I2" s="41"/>
      <c r="J2" s="41"/>
      <c r="K2" s="41"/>
      <c r="L2" s="41"/>
      <c r="M2" s="41"/>
      <c r="N2" s="41"/>
      <c r="O2" s="41"/>
      <c r="P2" s="41"/>
      <c r="Q2" s="41"/>
      <c r="R2" s="41"/>
      <c r="S2" s="41"/>
      <c r="T2" s="41"/>
      <c r="U2" s="41"/>
      <c r="V2" s="41"/>
      <c r="W2" s="41"/>
      <c r="X2" s="41"/>
      <c r="Y2" s="41"/>
      <c r="Z2" s="41"/>
      <c r="AA2" s="41"/>
      <c r="AB2" s="41"/>
      <c r="AC2" s="41"/>
      <c r="AD2" s="41"/>
      <c r="AE2" s="41"/>
      <c r="AF2" s="41"/>
      <c r="AG2" s="41"/>
    </row>
    <row r="4" spans="1:33" x14ac:dyDescent="0.2">
      <c r="A4" s="8" t="s">
        <v>335</v>
      </c>
      <c r="G4" s="8" t="s">
        <v>336</v>
      </c>
      <c r="M4" s="8" t="s">
        <v>337</v>
      </c>
      <c r="T4" s="8" t="s">
        <v>338</v>
      </c>
      <c r="Z4" s="8" t="s">
        <v>339</v>
      </c>
    </row>
    <row r="5" spans="1:33" ht="16" customHeight="1" x14ac:dyDescent="0.2">
      <c r="A5" s="9">
        <v>899.73</v>
      </c>
      <c r="G5" s="10">
        <v>158</v>
      </c>
      <c r="M5" s="10" t="s">
        <v>340</v>
      </c>
      <c r="T5" s="10">
        <v>5</v>
      </c>
      <c r="Z5" s="10">
        <v>57</v>
      </c>
    </row>
    <row r="8" spans="1:33" ht="16" customHeight="1" x14ac:dyDescent="0.2">
      <c r="Q8" s="43" t="s">
        <v>341</v>
      </c>
      <c r="R8" s="41"/>
      <c r="S8" s="41"/>
      <c r="T8" s="41"/>
      <c r="U8" s="41"/>
      <c r="V8" s="41"/>
      <c r="W8" s="41"/>
      <c r="Y8" s="43" t="s">
        <v>342</v>
      </c>
      <c r="Z8" s="41"/>
      <c r="AA8" s="41"/>
      <c r="AB8" s="41"/>
      <c r="AC8" s="41"/>
      <c r="AD8" s="41"/>
      <c r="AE8" s="41"/>
      <c r="AF8" s="41"/>
      <c r="AG8" s="41"/>
    </row>
    <row r="9" spans="1:33" x14ac:dyDescent="0.2">
      <c r="Q9" s="11"/>
      <c r="R9" s="11" t="s">
        <v>343</v>
      </c>
      <c r="S9" s="11" t="s">
        <v>344</v>
      </c>
      <c r="W9" s="11" t="s">
        <v>345</v>
      </c>
    </row>
    <row r="10" spans="1:33" ht="22" customHeight="1" x14ac:dyDescent="0.2">
      <c r="Q10" s="12"/>
      <c r="R10" s="13">
        <v>1</v>
      </c>
      <c r="S10" s="40" t="s">
        <v>346</v>
      </c>
      <c r="T10" s="41"/>
      <c r="U10" s="41"/>
      <c r="V10" s="41"/>
      <c r="W10" s="6" t="s">
        <v>347</v>
      </c>
      <c r="Y10" s="42" t="s">
        <v>348</v>
      </c>
      <c r="Z10" s="41"/>
      <c r="AA10" s="41"/>
      <c r="AB10" s="41"/>
      <c r="AC10" s="41"/>
      <c r="AD10" s="41"/>
      <c r="AE10" s="41"/>
      <c r="AF10" s="41"/>
      <c r="AG10" s="41"/>
    </row>
    <row r="11" spans="1:33" x14ac:dyDescent="0.2">
      <c r="Y11" s="40" t="s">
        <v>349</v>
      </c>
      <c r="Z11" s="41"/>
      <c r="AA11" s="41"/>
      <c r="AB11" s="41"/>
      <c r="AC11" s="41"/>
      <c r="AD11" s="41"/>
      <c r="AE11" s="41"/>
      <c r="AF11" s="41"/>
      <c r="AG11" s="41"/>
    </row>
    <row r="12" spans="1:33" x14ac:dyDescent="0.2">
      <c r="Y12" s="41"/>
      <c r="Z12" s="41"/>
      <c r="AA12" s="41"/>
      <c r="AB12" s="41"/>
      <c r="AC12" s="41"/>
      <c r="AD12" s="41"/>
      <c r="AE12" s="41"/>
      <c r="AF12" s="41"/>
      <c r="AG12" s="41"/>
    </row>
    <row r="13" spans="1:33" x14ac:dyDescent="0.2">
      <c r="Y13" s="41"/>
      <c r="Z13" s="41"/>
      <c r="AA13" s="41"/>
      <c r="AB13" s="41"/>
      <c r="AC13" s="41"/>
      <c r="AD13" s="41"/>
      <c r="AE13" s="41"/>
      <c r="AF13" s="41"/>
      <c r="AG13" s="41"/>
    </row>
    <row r="14" spans="1:33" x14ac:dyDescent="0.2">
      <c r="Y14" s="41"/>
      <c r="Z14" s="41"/>
      <c r="AA14" s="41"/>
      <c r="AB14" s="41"/>
      <c r="AC14" s="41"/>
      <c r="AD14" s="41"/>
      <c r="AE14" s="41"/>
      <c r="AF14" s="41"/>
      <c r="AG14" s="41"/>
    </row>
    <row r="16" spans="1:33" x14ac:dyDescent="0.2">
      <c r="Y16" s="42" t="s">
        <v>350</v>
      </c>
      <c r="Z16" s="41"/>
      <c r="AA16" s="41"/>
      <c r="AB16" s="41"/>
      <c r="AC16" s="41"/>
      <c r="AD16" s="41"/>
      <c r="AE16" s="41"/>
      <c r="AF16" s="41"/>
      <c r="AG16" s="41"/>
    </row>
    <row r="17" spans="25:33" x14ac:dyDescent="0.2">
      <c r="Y17" s="40" t="s">
        <v>351</v>
      </c>
      <c r="Z17" s="41"/>
      <c r="AA17" s="41"/>
      <c r="AB17" s="41"/>
      <c r="AC17" s="41"/>
      <c r="AD17" s="41"/>
      <c r="AE17" s="41"/>
      <c r="AF17" s="41"/>
      <c r="AG17" s="41"/>
    </row>
    <row r="18" spans="25:33" x14ac:dyDescent="0.2">
      <c r="Y18" s="41"/>
      <c r="Z18" s="41"/>
      <c r="AA18" s="41"/>
      <c r="AB18" s="41"/>
      <c r="AC18" s="41"/>
      <c r="AD18" s="41"/>
      <c r="AE18" s="41"/>
      <c r="AF18" s="41"/>
      <c r="AG18" s="41"/>
    </row>
    <row r="19" spans="25:33" x14ac:dyDescent="0.2">
      <c r="Y19" s="41"/>
      <c r="Z19" s="41"/>
      <c r="AA19" s="41"/>
      <c r="AB19" s="41"/>
      <c r="AC19" s="41"/>
      <c r="AD19" s="41"/>
      <c r="AE19" s="41"/>
      <c r="AF19" s="41"/>
      <c r="AG19" s="41"/>
    </row>
    <row r="20" spans="25:33" x14ac:dyDescent="0.2">
      <c r="Y20" s="41"/>
      <c r="Z20" s="41"/>
      <c r="AA20" s="41"/>
      <c r="AB20" s="41"/>
      <c r="AC20" s="41"/>
      <c r="AD20" s="41"/>
      <c r="AE20" s="41"/>
      <c r="AF20" s="41"/>
      <c r="AG20" s="41"/>
    </row>
    <row r="22" spans="25:33" x14ac:dyDescent="0.2">
      <c r="Y22" s="42" t="s">
        <v>352</v>
      </c>
      <c r="Z22" s="41"/>
      <c r="AA22" s="41"/>
      <c r="AB22" s="41"/>
      <c r="AC22" s="41"/>
      <c r="AD22" s="41"/>
      <c r="AE22" s="41"/>
      <c r="AF22" s="41"/>
      <c r="AG22" s="41"/>
    </row>
    <row r="23" spans="25:33" x14ac:dyDescent="0.2">
      <c r="Y23" s="40" t="s">
        <v>353</v>
      </c>
      <c r="Z23" s="41"/>
      <c r="AA23" s="41"/>
      <c r="AB23" s="41"/>
      <c r="AC23" s="41"/>
      <c r="AD23" s="41"/>
      <c r="AE23" s="41"/>
      <c r="AF23" s="41"/>
      <c r="AG23" s="41"/>
    </row>
    <row r="24" spans="25:33" x14ac:dyDescent="0.2">
      <c r="Y24" s="41"/>
      <c r="Z24" s="41"/>
      <c r="AA24" s="41"/>
      <c r="AB24" s="41"/>
      <c r="AC24" s="41"/>
      <c r="AD24" s="41"/>
      <c r="AE24" s="41"/>
      <c r="AF24" s="41"/>
      <c r="AG24" s="41"/>
    </row>
    <row r="25" spans="25:33" x14ac:dyDescent="0.2">
      <c r="Y25" s="41"/>
      <c r="Z25" s="41"/>
      <c r="AA25" s="41"/>
      <c r="AB25" s="41"/>
      <c r="AC25" s="41"/>
      <c r="AD25" s="41"/>
      <c r="AE25" s="41"/>
      <c r="AF25" s="41"/>
      <c r="AG25" s="41"/>
    </row>
    <row r="26" spans="25:33" x14ac:dyDescent="0.2">
      <c r="Y26" s="41"/>
      <c r="Z26" s="41"/>
      <c r="AA26" s="41"/>
      <c r="AB26" s="41"/>
      <c r="AC26" s="41"/>
      <c r="AD26" s="41"/>
      <c r="AE26" s="41"/>
      <c r="AF26" s="41"/>
      <c r="AG26" s="41"/>
    </row>
    <row r="28" spans="25:33" x14ac:dyDescent="0.2">
      <c r="Y28" s="42" t="s">
        <v>354</v>
      </c>
      <c r="Z28" s="41"/>
      <c r="AA28" s="41"/>
      <c r="AB28" s="41"/>
      <c r="AC28" s="41"/>
      <c r="AD28" s="41"/>
      <c r="AE28" s="41"/>
      <c r="AF28" s="41"/>
      <c r="AG28" s="41"/>
    </row>
    <row r="29" spans="25:33" x14ac:dyDescent="0.2">
      <c r="Y29" s="40" t="s">
        <v>355</v>
      </c>
      <c r="Z29" s="41"/>
      <c r="AA29" s="41"/>
      <c r="AB29" s="41"/>
      <c r="AC29" s="41"/>
      <c r="AD29" s="41"/>
      <c r="AE29" s="41"/>
      <c r="AF29" s="41"/>
      <c r="AG29" s="41"/>
    </row>
    <row r="30" spans="25:33" x14ac:dyDescent="0.2">
      <c r="Y30" s="41"/>
      <c r="Z30" s="41"/>
      <c r="AA30" s="41"/>
      <c r="AB30" s="41"/>
      <c r="AC30" s="41"/>
      <c r="AD30" s="41"/>
      <c r="AE30" s="41"/>
      <c r="AF30" s="41"/>
      <c r="AG30" s="41"/>
    </row>
    <row r="31" spans="25:33" x14ac:dyDescent="0.2">
      <c r="Y31" s="41"/>
      <c r="Z31" s="41"/>
      <c r="AA31" s="41"/>
      <c r="AB31" s="41"/>
      <c r="AC31" s="41"/>
      <c r="AD31" s="41"/>
      <c r="AE31" s="41"/>
      <c r="AF31" s="41"/>
      <c r="AG31" s="41"/>
    </row>
    <row r="32" spans="25:33" x14ac:dyDescent="0.2">
      <c r="Y32" s="41"/>
      <c r="Z32" s="41"/>
      <c r="AA32" s="41"/>
      <c r="AB32" s="41"/>
      <c r="AC32" s="41"/>
      <c r="AD32" s="41"/>
      <c r="AE32" s="41"/>
      <c r="AF32" s="41"/>
      <c r="AG32" s="41"/>
    </row>
    <row r="44" spans="17:33" ht="16" customHeight="1" x14ac:dyDescent="0.2">
      <c r="Q44" s="43" t="s">
        <v>356</v>
      </c>
      <c r="R44" s="41"/>
      <c r="S44" s="41"/>
      <c r="T44" s="41"/>
      <c r="U44" s="41"/>
      <c r="V44" s="41"/>
      <c r="W44" s="41"/>
      <c r="Y44" s="43" t="s">
        <v>342</v>
      </c>
      <c r="Z44" s="41"/>
      <c r="AA44" s="41"/>
      <c r="AB44" s="41"/>
      <c r="AC44" s="41"/>
      <c r="AD44" s="41"/>
      <c r="AE44" s="41"/>
      <c r="AF44" s="41"/>
      <c r="AG44" s="41"/>
    </row>
    <row r="45" spans="17:33" x14ac:dyDescent="0.2">
      <c r="Q45" s="11"/>
      <c r="R45" s="11" t="s">
        <v>343</v>
      </c>
      <c r="S45" s="11" t="s">
        <v>344</v>
      </c>
      <c r="W45" s="11" t="s">
        <v>345</v>
      </c>
    </row>
    <row r="46" spans="17:33" ht="22" customHeight="1" x14ac:dyDescent="0.2">
      <c r="Q46" s="12"/>
      <c r="R46" s="13">
        <v>1</v>
      </c>
      <c r="S46" s="40" t="s">
        <v>169</v>
      </c>
      <c r="T46" s="41"/>
      <c r="U46" s="41"/>
      <c r="V46" s="41"/>
      <c r="W46" s="6" t="s">
        <v>357</v>
      </c>
      <c r="Y46" s="42" t="s">
        <v>348</v>
      </c>
      <c r="Z46" s="41"/>
      <c r="AA46" s="41"/>
      <c r="AB46" s="41"/>
      <c r="AC46" s="41"/>
      <c r="AD46" s="41"/>
      <c r="AE46" s="41"/>
      <c r="AF46" s="41"/>
      <c r="AG46" s="41"/>
    </row>
    <row r="47" spans="17:33" ht="22" customHeight="1" x14ac:dyDescent="0.2">
      <c r="Q47" s="14"/>
      <c r="R47" s="13">
        <v>2</v>
      </c>
      <c r="S47" s="40" t="s">
        <v>163</v>
      </c>
      <c r="T47" s="41"/>
      <c r="U47" s="41"/>
      <c r="V47" s="41"/>
      <c r="W47" s="6" t="s">
        <v>358</v>
      </c>
      <c r="Y47" s="40" t="s">
        <v>359</v>
      </c>
      <c r="Z47" s="41"/>
      <c r="AA47" s="41"/>
      <c r="AB47" s="41"/>
      <c r="AC47" s="41"/>
      <c r="AD47" s="41"/>
      <c r="AE47" s="41"/>
      <c r="AF47" s="41"/>
      <c r="AG47" s="41"/>
    </row>
    <row r="48" spans="17:33" ht="22" customHeight="1" x14ac:dyDescent="0.2">
      <c r="Q48" s="15"/>
      <c r="R48" s="13">
        <v>3</v>
      </c>
      <c r="S48" s="40" t="s">
        <v>71</v>
      </c>
      <c r="T48" s="41"/>
      <c r="U48" s="41"/>
      <c r="V48" s="41"/>
      <c r="W48" s="6" t="s">
        <v>360</v>
      </c>
      <c r="Y48" s="41"/>
      <c r="Z48" s="41"/>
      <c r="AA48" s="41"/>
      <c r="AB48" s="41"/>
      <c r="AC48" s="41"/>
      <c r="AD48" s="41"/>
      <c r="AE48" s="41"/>
      <c r="AF48" s="41"/>
      <c r="AG48" s="41"/>
    </row>
    <row r="49" spans="17:33" ht="22" customHeight="1" x14ac:dyDescent="0.2">
      <c r="Q49" s="16"/>
      <c r="R49" s="13">
        <v>4</v>
      </c>
      <c r="S49" s="40" t="s">
        <v>181</v>
      </c>
      <c r="T49" s="41"/>
      <c r="U49" s="41"/>
      <c r="V49" s="41"/>
      <c r="W49" s="6" t="s">
        <v>361</v>
      </c>
      <c r="Y49" s="41"/>
      <c r="Z49" s="41"/>
      <c r="AA49" s="41"/>
      <c r="AB49" s="41"/>
      <c r="AC49" s="41"/>
      <c r="AD49" s="41"/>
      <c r="AE49" s="41"/>
      <c r="AF49" s="41"/>
      <c r="AG49" s="41"/>
    </row>
    <row r="50" spans="17:33" ht="22" customHeight="1" x14ac:dyDescent="0.2">
      <c r="Q50" s="17"/>
      <c r="R50" s="13">
        <v>5</v>
      </c>
      <c r="S50" s="40" t="s">
        <v>24</v>
      </c>
      <c r="T50" s="41"/>
      <c r="U50" s="41"/>
      <c r="V50" s="41"/>
      <c r="W50" s="6" t="s">
        <v>362</v>
      </c>
      <c r="Y50" s="41"/>
      <c r="Z50" s="41"/>
      <c r="AA50" s="41"/>
      <c r="AB50" s="41"/>
      <c r="AC50" s="41"/>
      <c r="AD50" s="41"/>
      <c r="AE50" s="41"/>
      <c r="AF50" s="41"/>
      <c r="AG50" s="41"/>
    </row>
    <row r="51" spans="17:33" ht="22" customHeight="1" x14ac:dyDescent="0.2">
      <c r="Q51" s="18"/>
      <c r="R51" s="13">
        <v>6</v>
      </c>
      <c r="S51" s="40" t="s">
        <v>49</v>
      </c>
      <c r="T51" s="41"/>
      <c r="U51" s="41"/>
      <c r="V51" s="41"/>
      <c r="W51" s="6" t="s">
        <v>363</v>
      </c>
    </row>
    <row r="52" spans="17:33" ht="22" customHeight="1" x14ac:dyDescent="0.2">
      <c r="Q52" s="19"/>
      <c r="R52" s="13">
        <v>7</v>
      </c>
      <c r="S52" s="40" t="s">
        <v>159</v>
      </c>
      <c r="T52" s="41"/>
      <c r="U52" s="41"/>
      <c r="V52" s="41"/>
      <c r="W52" s="6" t="s">
        <v>364</v>
      </c>
      <c r="Y52" s="42" t="s">
        <v>350</v>
      </c>
      <c r="Z52" s="41"/>
      <c r="AA52" s="41"/>
      <c r="AB52" s="41"/>
      <c r="AC52" s="41"/>
      <c r="AD52" s="41"/>
      <c r="AE52" s="41"/>
      <c r="AF52" s="41"/>
      <c r="AG52" s="41"/>
    </row>
    <row r="53" spans="17:33" ht="22" customHeight="1" x14ac:dyDescent="0.2">
      <c r="Q53" s="20"/>
      <c r="R53" s="13">
        <v>8</v>
      </c>
      <c r="S53" s="40" t="s">
        <v>268</v>
      </c>
      <c r="T53" s="41"/>
      <c r="U53" s="41"/>
      <c r="V53" s="41"/>
      <c r="W53" s="6" t="s">
        <v>365</v>
      </c>
      <c r="Y53" s="40" t="s">
        <v>366</v>
      </c>
      <c r="Z53" s="41"/>
      <c r="AA53" s="41"/>
      <c r="AB53" s="41"/>
      <c r="AC53" s="41"/>
      <c r="AD53" s="41"/>
      <c r="AE53" s="41"/>
      <c r="AF53" s="41"/>
      <c r="AG53" s="41"/>
    </row>
    <row r="54" spans="17:33" ht="22" customHeight="1" x14ac:dyDescent="0.2">
      <c r="Q54" s="21"/>
      <c r="R54" s="13">
        <v>9</v>
      </c>
      <c r="S54" s="40" t="s">
        <v>37</v>
      </c>
      <c r="T54" s="41"/>
      <c r="U54" s="41"/>
      <c r="V54" s="41"/>
      <c r="W54" s="6" t="s">
        <v>367</v>
      </c>
      <c r="Y54" s="41"/>
      <c r="Z54" s="41"/>
      <c r="AA54" s="41"/>
      <c r="AB54" s="41"/>
      <c r="AC54" s="41"/>
      <c r="AD54" s="41"/>
      <c r="AE54" s="41"/>
      <c r="AF54" s="41"/>
      <c r="AG54" s="41"/>
    </row>
    <row r="55" spans="17:33" ht="22" customHeight="1" x14ac:dyDescent="0.2">
      <c r="Q55" s="22"/>
      <c r="R55" s="13">
        <v>10</v>
      </c>
      <c r="S55" s="40" t="s">
        <v>175</v>
      </c>
      <c r="T55" s="41"/>
      <c r="U55" s="41"/>
      <c r="V55" s="41"/>
      <c r="W55" s="6" t="s">
        <v>368</v>
      </c>
      <c r="Y55" s="41"/>
      <c r="Z55" s="41"/>
      <c r="AA55" s="41"/>
      <c r="AB55" s="41"/>
      <c r="AC55" s="41"/>
      <c r="AD55" s="41"/>
      <c r="AE55" s="41"/>
      <c r="AF55" s="41"/>
      <c r="AG55" s="41"/>
    </row>
    <row r="56" spans="17:33" ht="22" customHeight="1" x14ac:dyDescent="0.2">
      <c r="Q56" s="23"/>
      <c r="R56" s="13">
        <v>11</v>
      </c>
      <c r="S56" s="40" t="s">
        <v>200</v>
      </c>
      <c r="T56" s="41"/>
      <c r="U56" s="41"/>
      <c r="V56" s="41"/>
      <c r="W56" s="6" t="s">
        <v>369</v>
      </c>
      <c r="Y56" s="41"/>
      <c r="Z56" s="41"/>
      <c r="AA56" s="41"/>
      <c r="AB56" s="41"/>
      <c r="AC56" s="41"/>
      <c r="AD56" s="41"/>
      <c r="AE56" s="41"/>
      <c r="AF56" s="41"/>
      <c r="AG56" s="41"/>
    </row>
    <row r="57" spans="17:33" ht="22" customHeight="1" x14ac:dyDescent="0.2">
      <c r="Q57" s="24"/>
      <c r="R57" s="13">
        <v>12</v>
      </c>
      <c r="S57" s="40" t="s">
        <v>301</v>
      </c>
      <c r="T57" s="41"/>
      <c r="U57" s="41"/>
      <c r="V57" s="41"/>
      <c r="W57" s="6" t="s">
        <v>370</v>
      </c>
    </row>
    <row r="58" spans="17:33" ht="22" customHeight="1" x14ac:dyDescent="0.2">
      <c r="Q58" s="12"/>
      <c r="R58" s="13">
        <v>13</v>
      </c>
      <c r="S58" s="40" t="s">
        <v>178</v>
      </c>
      <c r="T58" s="41"/>
      <c r="U58" s="41"/>
      <c r="V58" s="41"/>
      <c r="W58" s="6" t="s">
        <v>371</v>
      </c>
      <c r="Y58" s="42" t="s">
        <v>352</v>
      </c>
      <c r="Z58" s="41"/>
      <c r="AA58" s="41"/>
      <c r="AB58" s="41"/>
      <c r="AC58" s="41"/>
      <c r="AD58" s="41"/>
      <c r="AE58" s="41"/>
      <c r="AF58" s="41"/>
      <c r="AG58" s="41"/>
    </row>
    <row r="59" spans="17:33" ht="22" customHeight="1" x14ac:dyDescent="0.2">
      <c r="Q59" s="14"/>
      <c r="R59" s="13">
        <v>14</v>
      </c>
      <c r="S59" s="40" t="s">
        <v>184</v>
      </c>
      <c r="T59" s="41"/>
      <c r="U59" s="41"/>
      <c r="V59" s="41"/>
      <c r="W59" s="6" t="s">
        <v>372</v>
      </c>
      <c r="Y59" s="40" t="s">
        <v>373</v>
      </c>
      <c r="Z59" s="41"/>
      <c r="AA59" s="41"/>
      <c r="AB59" s="41"/>
      <c r="AC59" s="41"/>
      <c r="AD59" s="41"/>
      <c r="AE59" s="41"/>
      <c r="AF59" s="41"/>
      <c r="AG59" s="41"/>
    </row>
    <row r="60" spans="17:33" ht="22" customHeight="1" x14ac:dyDescent="0.2">
      <c r="Q60" s="15"/>
      <c r="R60" s="13">
        <v>15</v>
      </c>
      <c r="S60" s="40" t="s">
        <v>46</v>
      </c>
      <c r="T60" s="41"/>
      <c r="U60" s="41"/>
      <c r="V60" s="41"/>
      <c r="W60" s="6" t="s">
        <v>374</v>
      </c>
      <c r="Y60" s="41"/>
      <c r="Z60" s="41"/>
      <c r="AA60" s="41"/>
      <c r="AB60" s="41"/>
      <c r="AC60" s="41"/>
      <c r="AD60" s="41"/>
      <c r="AE60" s="41"/>
      <c r="AF60" s="41"/>
      <c r="AG60" s="41"/>
    </row>
    <row r="61" spans="17:33" ht="22" customHeight="1" x14ac:dyDescent="0.2">
      <c r="Q61" s="16"/>
      <c r="R61" s="13">
        <v>16</v>
      </c>
      <c r="S61" s="40" t="s">
        <v>251</v>
      </c>
      <c r="T61" s="41"/>
      <c r="U61" s="41"/>
      <c r="V61" s="41"/>
      <c r="W61" s="6" t="s">
        <v>375</v>
      </c>
      <c r="Y61" s="41"/>
      <c r="Z61" s="41"/>
      <c r="AA61" s="41"/>
      <c r="AB61" s="41"/>
      <c r="AC61" s="41"/>
      <c r="AD61" s="41"/>
      <c r="AE61" s="41"/>
      <c r="AF61" s="41"/>
      <c r="AG61" s="41"/>
    </row>
    <row r="62" spans="17:33" ht="22" customHeight="1" x14ac:dyDescent="0.2">
      <c r="Q62" s="17"/>
      <c r="R62" s="13">
        <v>17</v>
      </c>
      <c r="S62" s="40" t="s">
        <v>308</v>
      </c>
      <c r="T62" s="41"/>
      <c r="U62" s="41"/>
      <c r="V62" s="41"/>
      <c r="W62" s="6" t="s">
        <v>376</v>
      </c>
      <c r="Y62" s="41"/>
      <c r="Z62" s="41"/>
      <c r="AA62" s="41"/>
      <c r="AB62" s="41"/>
      <c r="AC62" s="41"/>
      <c r="AD62" s="41"/>
      <c r="AE62" s="41"/>
      <c r="AF62" s="41"/>
      <c r="AG62" s="41"/>
    </row>
    <row r="63" spans="17:33" ht="22" customHeight="1" x14ac:dyDescent="0.2">
      <c r="Q63" s="18"/>
      <c r="R63" s="13">
        <v>18</v>
      </c>
      <c r="S63" s="40" t="s">
        <v>141</v>
      </c>
      <c r="T63" s="41"/>
      <c r="U63" s="41"/>
      <c r="V63" s="41"/>
      <c r="W63" s="6" t="s">
        <v>377</v>
      </c>
    </row>
    <row r="64" spans="17:33" ht="22" customHeight="1" x14ac:dyDescent="0.2">
      <c r="Q64" s="19"/>
      <c r="R64" s="13">
        <v>19</v>
      </c>
      <c r="S64" s="40" t="s">
        <v>172</v>
      </c>
      <c r="T64" s="41"/>
      <c r="U64" s="41"/>
      <c r="V64" s="41"/>
      <c r="W64" s="6" t="s">
        <v>378</v>
      </c>
    </row>
    <row r="65" spans="17:23" ht="22" customHeight="1" x14ac:dyDescent="0.2">
      <c r="Q65" s="20"/>
      <c r="R65" s="13">
        <v>20</v>
      </c>
      <c r="S65" s="40" t="s">
        <v>248</v>
      </c>
      <c r="T65" s="41"/>
      <c r="U65" s="41"/>
      <c r="V65" s="41"/>
      <c r="W65" s="6" t="s">
        <v>379</v>
      </c>
    </row>
    <row r="66" spans="17:23" ht="22" customHeight="1" x14ac:dyDescent="0.2">
      <c r="Q66" s="21"/>
      <c r="R66" s="13">
        <v>21</v>
      </c>
      <c r="S66" s="40" t="s">
        <v>227</v>
      </c>
      <c r="T66" s="41"/>
      <c r="U66" s="41"/>
      <c r="V66" s="41"/>
      <c r="W66" s="6" t="s">
        <v>380</v>
      </c>
    </row>
    <row r="67" spans="17:23" ht="22" customHeight="1" x14ac:dyDescent="0.2">
      <c r="Q67" s="22"/>
      <c r="R67" s="13">
        <v>22</v>
      </c>
      <c r="S67" s="40" t="s">
        <v>155</v>
      </c>
      <c r="T67" s="41"/>
      <c r="U67" s="41"/>
      <c r="V67" s="41"/>
      <c r="W67" s="6" t="s">
        <v>381</v>
      </c>
    </row>
    <row r="68" spans="17:23" ht="22" customHeight="1" x14ac:dyDescent="0.2">
      <c r="Q68" s="23"/>
      <c r="R68" s="13">
        <v>23</v>
      </c>
      <c r="S68" s="40" t="s">
        <v>195</v>
      </c>
      <c r="T68" s="41"/>
      <c r="U68" s="41"/>
      <c r="V68" s="41"/>
      <c r="W68" s="6" t="s">
        <v>382</v>
      </c>
    </row>
    <row r="69" spans="17:23" ht="22" customHeight="1" x14ac:dyDescent="0.2">
      <c r="Q69" s="24"/>
      <c r="R69" s="13">
        <v>24</v>
      </c>
      <c r="S69" s="40" t="s">
        <v>314</v>
      </c>
      <c r="T69" s="41"/>
      <c r="U69" s="41"/>
      <c r="V69" s="41"/>
      <c r="W69" s="6" t="s">
        <v>383</v>
      </c>
    </row>
    <row r="70" spans="17:23" ht="22" customHeight="1" x14ac:dyDescent="0.2">
      <c r="Q70" s="12"/>
      <c r="R70" s="13">
        <v>25</v>
      </c>
      <c r="S70" s="40" t="s">
        <v>277</v>
      </c>
      <c r="T70" s="41"/>
      <c r="U70" s="41"/>
      <c r="V70" s="41"/>
      <c r="W70" s="6" t="s">
        <v>384</v>
      </c>
    </row>
    <row r="71" spans="17:23" ht="22" customHeight="1" x14ac:dyDescent="0.2">
      <c r="Q71" s="14"/>
      <c r="R71" s="13">
        <v>26</v>
      </c>
      <c r="S71" s="40" t="s">
        <v>93</v>
      </c>
      <c r="T71" s="41"/>
      <c r="U71" s="41"/>
      <c r="V71" s="41"/>
      <c r="W71" s="6" t="s">
        <v>385</v>
      </c>
    </row>
    <row r="72" spans="17:23" ht="22" customHeight="1" x14ac:dyDescent="0.2">
      <c r="Q72" s="15"/>
      <c r="R72" s="13">
        <v>27</v>
      </c>
      <c r="S72" s="40" t="s">
        <v>204</v>
      </c>
      <c r="T72" s="41"/>
      <c r="U72" s="41"/>
      <c r="V72" s="41"/>
      <c r="W72" s="6" t="s">
        <v>386</v>
      </c>
    </row>
    <row r="73" spans="17:23" ht="22" customHeight="1" x14ac:dyDescent="0.2">
      <c r="Q73" s="16"/>
      <c r="R73" s="13">
        <v>28</v>
      </c>
      <c r="S73" s="40" t="s">
        <v>64</v>
      </c>
      <c r="T73" s="41"/>
      <c r="U73" s="41"/>
      <c r="V73" s="41"/>
      <c r="W73" s="6" t="s">
        <v>387</v>
      </c>
    </row>
    <row r="74" spans="17:23" ht="22" customHeight="1" x14ac:dyDescent="0.2">
      <c r="Q74" s="17"/>
      <c r="R74" s="13">
        <v>29</v>
      </c>
      <c r="S74" s="40" t="s">
        <v>32</v>
      </c>
      <c r="T74" s="41"/>
      <c r="U74" s="41"/>
      <c r="V74" s="41"/>
      <c r="W74" s="6" t="s">
        <v>388</v>
      </c>
    </row>
    <row r="75" spans="17:23" ht="22" customHeight="1" x14ac:dyDescent="0.2">
      <c r="Q75" s="18"/>
      <c r="R75" s="13">
        <v>30</v>
      </c>
      <c r="S75" s="40" t="s">
        <v>320</v>
      </c>
      <c r="T75" s="41"/>
      <c r="U75" s="41"/>
      <c r="V75" s="41"/>
      <c r="W75" s="6" t="s">
        <v>389</v>
      </c>
    </row>
    <row r="76" spans="17:23" ht="22" customHeight="1" x14ac:dyDescent="0.2">
      <c r="Q76" s="19"/>
      <c r="R76" s="13">
        <v>31</v>
      </c>
      <c r="S76" s="40" t="s">
        <v>29</v>
      </c>
      <c r="T76" s="41"/>
      <c r="U76" s="41"/>
      <c r="V76" s="41"/>
      <c r="W76" s="6" t="s">
        <v>390</v>
      </c>
    </row>
    <row r="77" spans="17:23" ht="22" customHeight="1" x14ac:dyDescent="0.2">
      <c r="Q77" s="20"/>
      <c r="R77" s="13">
        <v>32</v>
      </c>
      <c r="S77" s="40" t="s">
        <v>234</v>
      </c>
      <c r="T77" s="41"/>
      <c r="U77" s="41"/>
      <c r="V77" s="41"/>
      <c r="W77" s="6" t="s">
        <v>391</v>
      </c>
    </row>
    <row r="78" spans="17:23" ht="22" customHeight="1" x14ac:dyDescent="0.2">
      <c r="Q78" s="21"/>
      <c r="R78" s="13">
        <v>33</v>
      </c>
      <c r="S78" s="40" t="s">
        <v>237</v>
      </c>
      <c r="T78" s="41"/>
      <c r="U78" s="41"/>
      <c r="V78" s="41"/>
      <c r="W78" s="6" t="s">
        <v>392</v>
      </c>
    </row>
    <row r="79" spans="17:23" ht="22" customHeight="1" x14ac:dyDescent="0.2">
      <c r="Q79" s="22"/>
      <c r="R79" s="13">
        <v>34</v>
      </c>
      <c r="S79" s="40" t="s">
        <v>280</v>
      </c>
      <c r="T79" s="41"/>
      <c r="U79" s="41"/>
      <c r="V79" s="41"/>
      <c r="W79" s="6" t="s">
        <v>393</v>
      </c>
    </row>
    <row r="80" spans="17:23" ht="22" customHeight="1" x14ac:dyDescent="0.2">
      <c r="Q80" s="23"/>
      <c r="R80" s="13">
        <v>35</v>
      </c>
      <c r="S80" s="40" t="s">
        <v>152</v>
      </c>
      <c r="T80" s="41"/>
      <c r="U80" s="41"/>
      <c r="V80" s="41"/>
      <c r="W80" s="6" t="s">
        <v>394</v>
      </c>
    </row>
    <row r="81" spans="17:23" ht="22" customHeight="1" x14ac:dyDescent="0.2">
      <c r="Q81" s="24"/>
      <c r="R81" s="13">
        <v>36</v>
      </c>
      <c r="S81" s="40" t="s">
        <v>136</v>
      </c>
      <c r="T81" s="41"/>
      <c r="U81" s="41"/>
      <c r="V81" s="41"/>
      <c r="W81" s="6" t="s">
        <v>394</v>
      </c>
    </row>
    <row r="82" spans="17:23" ht="22" customHeight="1" x14ac:dyDescent="0.2">
      <c r="Q82" s="12"/>
      <c r="R82" s="13">
        <v>37</v>
      </c>
      <c r="S82" s="40" t="s">
        <v>123</v>
      </c>
      <c r="T82" s="41"/>
      <c r="U82" s="41"/>
      <c r="V82" s="41"/>
      <c r="W82" s="6" t="s">
        <v>394</v>
      </c>
    </row>
    <row r="83" spans="17:23" ht="22" customHeight="1" x14ac:dyDescent="0.2">
      <c r="Q83" s="14"/>
      <c r="R83" s="13">
        <v>38</v>
      </c>
      <c r="S83" s="40" t="s">
        <v>40</v>
      </c>
      <c r="T83" s="41"/>
      <c r="U83" s="41"/>
      <c r="V83" s="41"/>
      <c r="W83" s="6" t="s">
        <v>395</v>
      </c>
    </row>
    <row r="84" spans="17:23" ht="22" customHeight="1" x14ac:dyDescent="0.2">
      <c r="Q84" s="15"/>
      <c r="R84" s="13">
        <v>39</v>
      </c>
      <c r="S84" s="40" t="s">
        <v>240</v>
      </c>
      <c r="T84" s="41"/>
      <c r="U84" s="41"/>
      <c r="V84" s="41"/>
      <c r="W84" s="6" t="s">
        <v>396</v>
      </c>
    </row>
    <row r="85" spans="17:23" ht="22" customHeight="1" x14ac:dyDescent="0.2">
      <c r="Q85" s="16"/>
      <c r="R85" s="13">
        <v>40</v>
      </c>
      <c r="S85" s="40" t="s">
        <v>311</v>
      </c>
      <c r="T85" s="41"/>
      <c r="U85" s="41"/>
      <c r="V85" s="41"/>
      <c r="W85" s="6" t="s">
        <v>397</v>
      </c>
    </row>
    <row r="86" spans="17:23" ht="22" customHeight="1" x14ac:dyDescent="0.2">
      <c r="Q86" s="17"/>
      <c r="R86" s="13">
        <v>41</v>
      </c>
      <c r="S86" s="40" t="s">
        <v>116</v>
      </c>
      <c r="T86" s="41"/>
      <c r="U86" s="41"/>
      <c r="V86" s="41"/>
      <c r="W86" s="6" t="s">
        <v>398</v>
      </c>
    </row>
    <row r="87" spans="17:23" ht="22" customHeight="1" x14ac:dyDescent="0.2">
      <c r="Q87" s="18"/>
      <c r="R87" s="13">
        <v>42</v>
      </c>
      <c r="S87" s="40" t="s">
        <v>130</v>
      </c>
      <c r="T87" s="41"/>
      <c r="U87" s="41"/>
      <c r="V87" s="41"/>
      <c r="W87" s="6" t="s">
        <v>399</v>
      </c>
    </row>
    <row r="88" spans="17:23" ht="22" customHeight="1" x14ac:dyDescent="0.2">
      <c r="Q88" s="19"/>
      <c r="R88" s="13">
        <v>43</v>
      </c>
      <c r="S88" s="40" t="s">
        <v>274</v>
      </c>
      <c r="T88" s="41"/>
      <c r="U88" s="41"/>
      <c r="V88" s="41"/>
      <c r="W88" s="6" t="s">
        <v>400</v>
      </c>
    </row>
    <row r="89" spans="17:23" ht="22" customHeight="1" x14ac:dyDescent="0.2">
      <c r="Q89" s="20"/>
      <c r="R89" s="13">
        <v>44</v>
      </c>
      <c r="S89" s="40" t="s">
        <v>77</v>
      </c>
      <c r="T89" s="41"/>
      <c r="U89" s="41"/>
      <c r="V89" s="41"/>
      <c r="W89" s="6" t="s">
        <v>401</v>
      </c>
    </row>
    <row r="90" spans="17:23" ht="22" customHeight="1" x14ac:dyDescent="0.2">
      <c r="Q90" s="21"/>
      <c r="R90" s="13">
        <v>45</v>
      </c>
      <c r="S90" s="40" t="s">
        <v>287</v>
      </c>
      <c r="T90" s="41"/>
      <c r="U90" s="41"/>
      <c r="V90" s="41"/>
      <c r="W90" s="6" t="s">
        <v>402</v>
      </c>
    </row>
    <row r="91" spans="17:23" ht="22" customHeight="1" x14ac:dyDescent="0.2">
      <c r="Q91" s="22"/>
      <c r="R91" s="13">
        <v>46</v>
      </c>
      <c r="S91" s="40" t="s">
        <v>98</v>
      </c>
      <c r="T91" s="41"/>
      <c r="U91" s="41"/>
      <c r="V91" s="41"/>
      <c r="W91" s="6" t="s">
        <v>403</v>
      </c>
    </row>
    <row r="92" spans="17:23" ht="22" customHeight="1" x14ac:dyDescent="0.2">
      <c r="Q92" s="23"/>
      <c r="R92" s="13">
        <v>47</v>
      </c>
      <c r="S92" s="40" t="s">
        <v>85</v>
      </c>
      <c r="T92" s="41"/>
      <c r="U92" s="41"/>
      <c r="V92" s="41"/>
      <c r="W92" s="6" t="s">
        <v>404</v>
      </c>
    </row>
    <row r="93" spans="17:23" ht="22" customHeight="1" x14ac:dyDescent="0.2">
      <c r="Q93" s="24"/>
      <c r="R93" s="13">
        <v>48</v>
      </c>
      <c r="S93" s="40" t="s">
        <v>146</v>
      </c>
      <c r="T93" s="41"/>
      <c r="U93" s="41"/>
      <c r="V93" s="41"/>
      <c r="W93" s="6" t="s">
        <v>405</v>
      </c>
    </row>
    <row r="94" spans="17:23" ht="22" customHeight="1" x14ac:dyDescent="0.2">
      <c r="Q94" s="12"/>
      <c r="R94" s="13">
        <v>49</v>
      </c>
      <c r="S94" s="40" t="s">
        <v>296</v>
      </c>
      <c r="T94" s="41"/>
      <c r="U94" s="41"/>
      <c r="V94" s="41"/>
      <c r="W94" s="6" t="s">
        <v>406</v>
      </c>
    </row>
    <row r="95" spans="17:23" ht="22" customHeight="1" x14ac:dyDescent="0.2">
      <c r="Q95" s="14"/>
      <c r="R95" s="13">
        <v>50</v>
      </c>
      <c r="S95" s="40" t="s">
        <v>258</v>
      </c>
      <c r="T95" s="41"/>
      <c r="U95" s="41"/>
      <c r="V95" s="41"/>
      <c r="W95" s="6" t="s">
        <v>407</v>
      </c>
    </row>
    <row r="96" spans="17:23" ht="22" customHeight="1" x14ac:dyDescent="0.2">
      <c r="Q96" s="15"/>
      <c r="R96" s="13">
        <v>51</v>
      </c>
      <c r="S96" s="40" t="s">
        <v>149</v>
      </c>
      <c r="T96" s="41"/>
      <c r="U96" s="41"/>
      <c r="V96" s="41"/>
      <c r="W96" s="6" t="s">
        <v>408</v>
      </c>
    </row>
    <row r="97" spans="17:33" ht="22" customHeight="1" x14ac:dyDescent="0.2">
      <c r="Q97" s="16"/>
      <c r="R97" s="13">
        <v>52</v>
      </c>
      <c r="S97" s="40" t="s">
        <v>105</v>
      </c>
      <c r="T97" s="41"/>
      <c r="U97" s="41"/>
      <c r="V97" s="41"/>
      <c r="W97" s="6" t="s">
        <v>408</v>
      </c>
    </row>
    <row r="98" spans="17:33" ht="22" customHeight="1" x14ac:dyDescent="0.2">
      <c r="Q98" s="17"/>
      <c r="R98" s="13">
        <v>53</v>
      </c>
      <c r="S98" s="40" t="s">
        <v>127</v>
      </c>
      <c r="T98" s="41"/>
      <c r="U98" s="41"/>
      <c r="V98" s="41"/>
      <c r="W98" s="6" t="s">
        <v>409</v>
      </c>
    </row>
    <row r="99" spans="17:33" ht="22" customHeight="1" x14ac:dyDescent="0.2">
      <c r="Q99" s="18"/>
      <c r="R99" s="13">
        <v>54</v>
      </c>
      <c r="S99" s="40" t="s">
        <v>87</v>
      </c>
      <c r="T99" s="41"/>
      <c r="U99" s="41"/>
      <c r="V99" s="41"/>
      <c r="W99" s="6" t="s">
        <v>410</v>
      </c>
    </row>
    <row r="100" spans="17:33" ht="22" customHeight="1" x14ac:dyDescent="0.2">
      <c r="Q100" s="19"/>
      <c r="R100" s="13">
        <v>55</v>
      </c>
      <c r="S100" s="40" t="s">
        <v>112</v>
      </c>
      <c r="T100" s="41"/>
      <c r="U100" s="41"/>
      <c r="V100" s="41"/>
      <c r="W100" s="6" t="s">
        <v>411</v>
      </c>
    </row>
    <row r="101" spans="17:33" ht="22" customHeight="1" x14ac:dyDescent="0.2">
      <c r="Q101" s="20"/>
      <c r="R101" s="13">
        <v>56</v>
      </c>
      <c r="S101" s="40" t="s">
        <v>56</v>
      </c>
      <c r="T101" s="41"/>
      <c r="U101" s="41"/>
      <c r="V101" s="41"/>
      <c r="W101" s="6" t="s">
        <v>412</v>
      </c>
    </row>
    <row r="102" spans="17:33" ht="22" customHeight="1" x14ac:dyDescent="0.2">
      <c r="Q102" s="21"/>
      <c r="R102" s="13">
        <v>57</v>
      </c>
      <c r="S102" s="40" t="s">
        <v>245</v>
      </c>
      <c r="T102" s="41"/>
      <c r="U102" s="41"/>
      <c r="V102" s="41"/>
      <c r="W102" s="6" t="s">
        <v>413</v>
      </c>
    </row>
    <row r="106" spans="17:33" ht="16" customHeight="1" x14ac:dyDescent="0.2">
      <c r="Q106" s="43" t="s">
        <v>414</v>
      </c>
      <c r="R106" s="41"/>
      <c r="S106" s="41"/>
      <c r="T106" s="41"/>
      <c r="U106" s="41"/>
      <c r="V106" s="41"/>
      <c r="W106" s="41"/>
      <c r="Y106" s="43" t="s">
        <v>342</v>
      </c>
      <c r="Z106" s="41"/>
      <c r="AA106" s="41"/>
      <c r="AB106" s="41"/>
      <c r="AC106" s="41"/>
      <c r="AD106" s="41"/>
      <c r="AE106" s="41"/>
      <c r="AF106" s="41"/>
      <c r="AG106" s="41"/>
    </row>
    <row r="107" spans="17:33" x14ac:dyDescent="0.2">
      <c r="Q107" s="11"/>
      <c r="R107" s="11" t="s">
        <v>343</v>
      </c>
      <c r="S107" s="11" t="s">
        <v>344</v>
      </c>
      <c r="W107" s="11" t="s">
        <v>345</v>
      </c>
    </row>
    <row r="108" spans="17:33" ht="22" customHeight="1" x14ac:dyDescent="0.2">
      <c r="Q108" s="12"/>
      <c r="R108" s="13">
        <v>1</v>
      </c>
      <c r="S108" s="40" t="s">
        <v>165</v>
      </c>
      <c r="T108" s="41"/>
      <c r="U108" s="41"/>
      <c r="V108" s="41"/>
      <c r="W108" s="6" t="s">
        <v>415</v>
      </c>
      <c r="Y108" s="42" t="s">
        <v>348</v>
      </c>
      <c r="Z108" s="41"/>
      <c r="AA108" s="41"/>
      <c r="AB108" s="41"/>
      <c r="AC108" s="41"/>
      <c r="AD108" s="41"/>
      <c r="AE108" s="41"/>
      <c r="AF108" s="41"/>
      <c r="AG108" s="41"/>
    </row>
    <row r="109" spans="17:33" ht="22" customHeight="1" x14ac:dyDescent="0.2">
      <c r="Q109" s="14"/>
      <c r="R109" s="13">
        <v>2</v>
      </c>
      <c r="S109" s="40" t="s">
        <v>18</v>
      </c>
      <c r="T109" s="41"/>
      <c r="U109" s="41"/>
      <c r="V109" s="41"/>
      <c r="W109" s="6" t="s">
        <v>416</v>
      </c>
      <c r="Y109" s="40" t="s">
        <v>417</v>
      </c>
      <c r="Z109" s="41"/>
      <c r="AA109" s="41"/>
      <c r="AB109" s="41"/>
      <c r="AC109" s="41"/>
      <c r="AD109" s="41"/>
      <c r="AE109" s="41"/>
      <c r="AF109" s="41"/>
      <c r="AG109" s="41"/>
    </row>
    <row r="110" spans="17:33" ht="22" customHeight="1" x14ac:dyDescent="0.2">
      <c r="Q110" s="15"/>
      <c r="R110" s="13">
        <v>3</v>
      </c>
      <c r="S110" s="40" t="s">
        <v>41</v>
      </c>
      <c r="T110" s="41"/>
      <c r="U110" s="41"/>
      <c r="V110" s="41"/>
      <c r="W110" s="6" t="s">
        <v>418</v>
      </c>
      <c r="Y110" s="41"/>
      <c r="Z110" s="41"/>
      <c r="AA110" s="41"/>
      <c r="AB110" s="41"/>
      <c r="AC110" s="41"/>
      <c r="AD110" s="41"/>
      <c r="AE110" s="41"/>
      <c r="AF110" s="41"/>
      <c r="AG110" s="41"/>
    </row>
    <row r="111" spans="17:33" ht="22" customHeight="1" x14ac:dyDescent="0.2">
      <c r="Q111" s="16"/>
      <c r="R111" s="13">
        <v>4</v>
      </c>
      <c r="S111" s="40" t="s">
        <v>153</v>
      </c>
      <c r="T111" s="41"/>
      <c r="U111" s="41"/>
      <c r="V111" s="41"/>
      <c r="W111" s="6" t="s">
        <v>419</v>
      </c>
      <c r="Y111" s="41"/>
      <c r="Z111" s="41"/>
      <c r="AA111" s="41"/>
      <c r="AB111" s="41"/>
      <c r="AC111" s="41"/>
      <c r="AD111" s="41"/>
      <c r="AE111" s="41"/>
      <c r="AF111" s="41"/>
      <c r="AG111" s="41"/>
    </row>
    <row r="112" spans="17:33" ht="22" customHeight="1" x14ac:dyDescent="0.2">
      <c r="Q112" s="17"/>
      <c r="R112" s="13">
        <v>5</v>
      </c>
      <c r="S112" s="40" t="s">
        <v>137</v>
      </c>
      <c r="T112" s="41"/>
      <c r="U112" s="41"/>
      <c r="V112" s="41"/>
      <c r="W112" s="6" t="s">
        <v>420</v>
      </c>
      <c r="Y112" s="41"/>
      <c r="Z112" s="41"/>
      <c r="AA112" s="41"/>
      <c r="AB112" s="41"/>
      <c r="AC112" s="41"/>
      <c r="AD112" s="41"/>
      <c r="AE112" s="41"/>
      <c r="AF112" s="41"/>
      <c r="AG112" s="41"/>
    </row>
    <row r="114" spans="25:33" x14ac:dyDescent="0.2">
      <c r="Y114" s="42" t="s">
        <v>350</v>
      </c>
      <c r="Z114" s="41"/>
      <c r="AA114" s="41"/>
      <c r="AB114" s="41"/>
      <c r="AC114" s="41"/>
      <c r="AD114" s="41"/>
      <c r="AE114" s="41"/>
      <c r="AF114" s="41"/>
      <c r="AG114" s="41"/>
    </row>
    <row r="115" spans="25:33" x14ac:dyDescent="0.2">
      <c r="Y115" s="40" t="s">
        <v>421</v>
      </c>
      <c r="Z115" s="41"/>
      <c r="AA115" s="41"/>
      <c r="AB115" s="41"/>
      <c r="AC115" s="41"/>
      <c r="AD115" s="41"/>
      <c r="AE115" s="41"/>
      <c r="AF115" s="41"/>
      <c r="AG115" s="41"/>
    </row>
    <row r="116" spans="25:33" x14ac:dyDescent="0.2">
      <c r="Y116" s="41"/>
      <c r="Z116" s="41"/>
      <c r="AA116" s="41"/>
      <c r="AB116" s="41"/>
      <c r="AC116" s="41"/>
      <c r="AD116" s="41"/>
      <c r="AE116" s="41"/>
      <c r="AF116" s="41"/>
      <c r="AG116" s="41"/>
    </row>
    <row r="117" spans="25:33" x14ac:dyDescent="0.2">
      <c r="Y117" s="41"/>
      <c r="Z117" s="41"/>
      <c r="AA117" s="41"/>
      <c r="AB117" s="41"/>
      <c r="AC117" s="41"/>
      <c r="AD117" s="41"/>
      <c r="AE117" s="41"/>
      <c r="AF117" s="41"/>
      <c r="AG117" s="41"/>
    </row>
    <row r="118" spans="25:33" x14ac:dyDescent="0.2">
      <c r="Y118" s="41"/>
      <c r="Z118" s="41"/>
      <c r="AA118" s="41"/>
      <c r="AB118" s="41"/>
      <c r="AC118" s="41"/>
      <c r="AD118" s="41"/>
      <c r="AE118" s="41"/>
      <c r="AF118" s="41"/>
      <c r="AG118" s="41"/>
    </row>
    <row r="120" spans="25:33" x14ac:dyDescent="0.2">
      <c r="Y120" s="42" t="s">
        <v>352</v>
      </c>
      <c r="Z120" s="41"/>
      <c r="AA120" s="41"/>
      <c r="AB120" s="41"/>
      <c r="AC120" s="41"/>
      <c r="AD120" s="41"/>
      <c r="AE120" s="41"/>
      <c r="AF120" s="41"/>
      <c r="AG120" s="41"/>
    </row>
    <row r="121" spans="25:33" x14ac:dyDescent="0.2">
      <c r="Y121" s="40" t="s">
        <v>422</v>
      </c>
      <c r="Z121" s="41"/>
      <c r="AA121" s="41"/>
      <c r="AB121" s="41"/>
      <c r="AC121" s="41"/>
      <c r="AD121" s="41"/>
      <c r="AE121" s="41"/>
      <c r="AF121" s="41"/>
      <c r="AG121" s="41"/>
    </row>
    <row r="122" spans="25:33" x14ac:dyDescent="0.2">
      <c r="Y122" s="41"/>
      <c r="Z122" s="41"/>
      <c r="AA122" s="41"/>
      <c r="AB122" s="41"/>
      <c r="AC122" s="41"/>
      <c r="AD122" s="41"/>
      <c r="AE122" s="41"/>
      <c r="AF122" s="41"/>
      <c r="AG122" s="41"/>
    </row>
    <row r="123" spans="25:33" x14ac:dyDescent="0.2">
      <c r="Y123" s="41"/>
      <c r="Z123" s="41"/>
      <c r="AA123" s="41"/>
      <c r="AB123" s="41"/>
      <c r="AC123" s="41"/>
      <c r="AD123" s="41"/>
      <c r="AE123" s="41"/>
      <c r="AF123" s="41"/>
      <c r="AG123" s="41"/>
    </row>
    <row r="124" spans="25:33" x14ac:dyDescent="0.2">
      <c r="Y124" s="41"/>
      <c r="Z124" s="41"/>
      <c r="AA124" s="41"/>
      <c r="AB124" s="41"/>
      <c r="AC124" s="41"/>
      <c r="AD124" s="41"/>
      <c r="AE124" s="41"/>
      <c r="AF124" s="41"/>
      <c r="AG124" s="41"/>
    </row>
    <row r="126" spans="25:33" x14ac:dyDescent="0.2">
      <c r="Y126" s="42" t="s">
        <v>354</v>
      </c>
      <c r="Z126" s="41"/>
      <c r="AA126" s="41"/>
      <c r="AB126" s="41"/>
      <c r="AC126" s="41"/>
      <c r="AD126" s="41"/>
      <c r="AE126" s="41"/>
      <c r="AF126" s="41"/>
      <c r="AG126" s="41"/>
    </row>
    <row r="127" spans="25:33" x14ac:dyDescent="0.2">
      <c r="Y127" s="40" t="s">
        <v>423</v>
      </c>
      <c r="Z127" s="41"/>
      <c r="AA127" s="41"/>
      <c r="AB127" s="41"/>
      <c r="AC127" s="41"/>
      <c r="AD127" s="41"/>
      <c r="AE127" s="41"/>
      <c r="AF127" s="41"/>
      <c r="AG127" s="41"/>
    </row>
    <row r="128" spans="25:33" x14ac:dyDescent="0.2">
      <c r="Y128" s="41"/>
      <c r="Z128" s="41"/>
      <c r="AA128" s="41"/>
      <c r="AB128" s="41"/>
      <c r="AC128" s="41"/>
      <c r="AD128" s="41"/>
      <c r="AE128" s="41"/>
      <c r="AF128" s="41"/>
      <c r="AG128" s="41"/>
    </row>
    <row r="129" spans="17:33" x14ac:dyDescent="0.2">
      <c r="Y129" s="41"/>
      <c r="Z129" s="41"/>
      <c r="AA129" s="41"/>
      <c r="AB129" s="41"/>
      <c r="AC129" s="41"/>
      <c r="AD129" s="41"/>
      <c r="AE129" s="41"/>
      <c r="AF129" s="41"/>
      <c r="AG129" s="41"/>
    </row>
    <row r="130" spans="17:33" x14ac:dyDescent="0.2">
      <c r="Y130" s="41"/>
      <c r="Z130" s="41"/>
      <c r="AA130" s="41"/>
      <c r="AB130" s="41"/>
      <c r="AC130" s="41"/>
      <c r="AD130" s="41"/>
      <c r="AE130" s="41"/>
      <c r="AF130" s="41"/>
      <c r="AG130" s="41"/>
    </row>
    <row r="142" spans="17:33" ht="16" customHeight="1" x14ac:dyDescent="0.2">
      <c r="Q142" s="43" t="s">
        <v>356</v>
      </c>
      <c r="R142" s="41"/>
      <c r="S142" s="41"/>
      <c r="T142" s="41"/>
      <c r="U142" s="41"/>
      <c r="V142" s="41"/>
      <c r="W142" s="41"/>
      <c r="Y142" s="43" t="s">
        <v>342</v>
      </c>
      <c r="Z142" s="41"/>
      <c r="AA142" s="41"/>
      <c r="AB142" s="41"/>
      <c r="AC142" s="41"/>
      <c r="AD142" s="41"/>
      <c r="AE142" s="41"/>
      <c r="AF142" s="41"/>
      <c r="AG142" s="41"/>
    </row>
    <row r="143" spans="17:33" x14ac:dyDescent="0.2">
      <c r="Q143" s="11"/>
      <c r="R143" s="11" t="s">
        <v>343</v>
      </c>
      <c r="S143" s="11" t="s">
        <v>344</v>
      </c>
      <c r="W143" s="11" t="s">
        <v>345</v>
      </c>
    </row>
    <row r="144" spans="17:33" ht="22" customHeight="1" x14ac:dyDescent="0.2">
      <c r="Q144" s="12"/>
      <c r="R144" s="13">
        <v>1</v>
      </c>
      <c r="S144" s="40" t="s">
        <v>169</v>
      </c>
      <c r="T144" s="41"/>
      <c r="U144" s="41"/>
      <c r="V144" s="41"/>
      <c r="W144" s="6" t="s">
        <v>424</v>
      </c>
      <c r="Y144" s="42" t="s">
        <v>348</v>
      </c>
      <c r="Z144" s="41"/>
      <c r="AA144" s="41"/>
      <c r="AB144" s="41"/>
      <c r="AC144" s="41"/>
      <c r="AD144" s="41"/>
      <c r="AE144" s="41"/>
      <c r="AF144" s="41"/>
      <c r="AG144" s="41"/>
    </row>
    <row r="145" spans="17:33" ht="22" customHeight="1" x14ac:dyDescent="0.2">
      <c r="Q145" s="14"/>
      <c r="R145" s="13">
        <v>2</v>
      </c>
      <c r="S145" s="40" t="s">
        <v>163</v>
      </c>
      <c r="T145" s="41"/>
      <c r="U145" s="41"/>
      <c r="V145" s="41"/>
      <c r="W145" s="6" t="s">
        <v>425</v>
      </c>
      <c r="Y145" s="40" t="s">
        <v>426</v>
      </c>
      <c r="Z145" s="41"/>
      <c r="AA145" s="41"/>
      <c r="AB145" s="41"/>
      <c r="AC145" s="41"/>
      <c r="AD145" s="41"/>
      <c r="AE145" s="41"/>
      <c r="AF145" s="41"/>
      <c r="AG145" s="41"/>
    </row>
    <row r="146" spans="17:33" ht="22" customHeight="1" x14ac:dyDescent="0.2">
      <c r="Q146" s="15"/>
      <c r="R146" s="13">
        <v>3</v>
      </c>
      <c r="S146" s="40" t="s">
        <v>71</v>
      </c>
      <c r="T146" s="41"/>
      <c r="U146" s="41"/>
      <c r="V146" s="41"/>
      <c r="W146" s="6" t="s">
        <v>427</v>
      </c>
      <c r="Y146" s="41"/>
      <c r="Z146" s="41"/>
      <c r="AA146" s="41"/>
      <c r="AB146" s="41"/>
      <c r="AC146" s="41"/>
      <c r="AD146" s="41"/>
      <c r="AE146" s="41"/>
      <c r="AF146" s="41"/>
      <c r="AG146" s="41"/>
    </row>
    <row r="147" spans="17:33" ht="22" customHeight="1" x14ac:dyDescent="0.2">
      <c r="Q147" s="16"/>
      <c r="R147" s="13">
        <v>4</v>
      </c>
      <c r="S147" s="40" t="s">
        <v>181</v>
      </c>
      <c r="T147" s="41"/>
      <c r="U147" s="41"/>
      <c r="V147" s="41"/>
      <c r="W147" s="6" t="s">
        <v>428</v>
      </c>
      <c r="Y147" s="41"/>
      <c r="Z147" s="41"/>
      <c r="AA147" s="41"/>
      <c r="AB147" s="41"/>
      <c r="AC147" s="41"/>
      <c r="AD147" s="41"/>
      <c r="AE147" s="41"/>
      <c r="AF147" s="41"/>
      <c r="AG147" s="41"/>
    </row>
    <row r="148" spans="17:33" ht="22" customHeight="1" x14ac:dyDescent="0.2">
      <c r="Q148" s="17"/>
      <c r="R148" s="13">
        <v>5</v>
      </c>
      <c r="S148" s="40" t="s">
        <v>24</v>
      </c>
      <c r="T148" s="41"/>
      <c r="U148" s="41"/>
      <c r="V148" s="41"/>
      <c r="W148" s="6" t="s">
        <v>429</v>
      </c>
      <c r="Y148" s="41"/>
      <c r="Z148" s="41"/>
      <c r="AA148" s="41"/>
      <c r="AB148" s="41"/>
      <c r="AC148" s="41"/>
      <c r="AD148" s="41"/>
      <c r="AE148" s="41"/>
      <c r="AF148" s="41"/>
      <c r="AG148" s="41"/>
    </row>
    <row r="149" spans="17:33" ht="22" customHeight="1" x14ac:dyDescent="0.2">
      <c r="Q149" s="18"/>
      <c r="R149" s="13">
        <v>6</v>
      </c>
      <c r="S149" s="40" t="s">
        <v>49</v>
      </c>
      <c r="T149" s="41"/>
      <c r="U149" s="41"/>
      <c r="V149" s="41"/>
      <c r="W149" s="6" t="s">
        <v>430</v>
      </c>
    </row>
    <row r="150" spans="17:33" ht="22" customHeight="1" x14ac:dyDescent="0.2">
      <c r="Q150" s="19"/>
      <c r="R150" s="13">
        <v>7</v>
      </c>
      <c r="S150" s="40" t="s">
        <v>159</v>
      </c>
      <c r="T150" s="41"/>
      <c r="U150" s="41"/>
      <c r="V150" s="41"/>
      <c r="W150" s="6" t="s">
        <v>431</v>
      </c>
      <c r="Y150" s="42" t="s">
        <v>350</v>
      </c>
      <c r="Z150" s="41"/>
      <c r="AA150" s="41"/>
      <c r="AB150" s="41"/>
      <c r="AC150" s="41"/>
      <c r="AD150" s="41"/>
      <c r="AE150" s="41"/>
      <c r="AF150" s="41"/>
      <c r="AG150" s="41"/>
    </row>
    <row r="151" spans="17:33" ht="22" customHeight="1" x14ac:dyDescent="0.2">
      <c r="Q151" s="20"/>
      <c r="R151" s="13">
        <v>8</v>
      </c>
      <c r="S151" s="40" t="s">
        <v>268</v>
      </c>
      <c r="T151" s="41"/>
      <c r="U151" s="41"/>
      <c r="V151" s="41"/>
      <c r="W151" s="6" t="s">
        <v>432</v>
      </c>
      <c r="Y151" s="40" t="s">
        <v>433</v>
      </c>
      <c r="Z151" s="41"/>
      <c r="AA151" s="41"/>
      <c r="AB151" s="41"/>
      <c r="AC151" s="41"/>
      <c r="AD151" s="41"/>
      <c r="AE151" s="41"/>
      <c r="AF151" s="41"/>
      <c r="AG151" s="41"/>
    </row>
    <row r="152" spans="17:33" ht="22" customHeight="1" x14ac:dyDescent="0.2">
      <c r="Q152" s="21"/>
      <c r="R152" s="13">
        <v>9</v>
      </c>
      <c r="S152" s="40" t="s">
        <v>37</v>
      </c>
      <c r="T152" s="41"/>
      <c r="U152" s="41"/>
      <c r="V152" s="41"/>
      <c r="W152" s="6" t="s">
        <v>434</v>
      </c>
      <c r="Y152" s="41"/>
      <c r="Z152" s="41"/>
      <c r="AA152" s="41"/>
      <c r="AB152" s="41"/>
      <c r="AC152" s="41"/>
      <c r="AD152" s="41"/>
      <c r="AE152" s="41"/>
      <c r="AF152" s="41"/>
      <c r="AG152" s="41"/>
    </row>
    <row r="153" spans="17:33" ht="22" customHeight="1" x14ac:dyDescent="0.2">
      <c r="Q153" s="22"/>
      <c r="R153" s="13">
        <v>10</v>
      </c>
      <c r="S153" s="40" t="s">
        <v>175</v>
      </c>
      <c r="T153" s="41"/>
      <c r="U153" s="41"/>
      <c r="V153" s="41"/>
      <c r="W153" s="6" t="s">
        <v>435</v>
      </c>
      <c r="Y153" s="41"/>
      <c r="Z153" s="41"/>
      <c r="AA153" s="41"/>
      <c r="AB153" s="41"/>
      <c r="AC153" s="41"/>
      <c r="AD153" s="41"/>
      <c r="AE153" s="41"/>
      <c r="AF153" s="41"/>
      <c r="AG153" s="41"/>
    </row>
    <row r="154" spans="17:33" ht="22" customHeight="1" x14ac:dyDescent="0.2">
      <c r="Q154" s="23"/>
      <c r="R154" s="13">
        <v>11</v>
      </c>
      <c r="S154" s="40" t="s">
        <v>200</v>
      </c>
      <c r="T154" s="41"/>
      <c r="U154" s="41"/>
      <c r="V154" s="41"/>
      <c r="W154" s="6" t="s">
        <v>436</v>
      </c>
      <c r="Y154" s="41"/>
      <c r="Z154" s="41"/>
      <c r="AA154" s="41"/>
      <c r="AB154" s="41"/>
      <c r="AC154" s="41"/>
      <c r="AD154" s="41"/>
      <c r="AE154" s="41"/>
      <c r="AF154" s="41"/>
      <c r="AG154" s="41"/>
    </row>
    <row r="155" spans="17:33" ht="22" customHeight="1" x14ac:dyDescent="0.2">
      <c r="Q155" s="24"/>
      <c r="R155" s="13">
        <v>12</v>
      </c>
      <c r="S155" s="40" t="s">
        <v>301</v>
      </c>
      <c r="T155" s="41"/>
      <c r="U155" s="41"/>
      <c r="V155" s="41"/>
      <c r="W155" s="6" t="s">
        <v>437</v>
      </c>
    </row>
    <row r="156" spans="17:33" ht="22" customHeight="1" x14ac:dyDescent="0.2">
      <c r="Q156" s="12"/>
      <c r="R156" s="13">
        <v>13</v>
      </c>
      <c r="S156" s="40" t="s">
        <v>178</v>
      </c>
      <c r="T156" s="41"/>
      <c r="U156" s="41"/>
      <c r="V156" s="41"/>
      <c r="W156" s="6" t="s">
        <v>438</v>
      </c>
      <c r="Y156" s="42" t="s">
        <v>352</v>
      </c>
      <c r="Z156" s="41"/>
      <c r="AA156" s="41"/>
      <c r="AB156" s="41"/>
      <c r="AC156" s="41"/>
      <c r="AD156" s="41"/>
      <c r="AE156" s="41"/>
      <c r="AF156" s="41"/>
      <c r="AG156" s="41"/>
    </row>
    <row r="157" spans="17:33" ht="22" customHeight="1" x14ac:dyDescent="0.2">
      <c r="Q157" s="14"/>
      <c r="R157" s="13">
        <v>14</v>
      </c>
      <c r="S157" s="40" t="s">
        <v>184</v>
      </c>
      <c r="T157" s="41"/>
      <c r="U157" s="41"/>
      <c r="V157" s="41"/>
      <c r="W157" s="6" t="s">
        <v>439</v>
      </c>
      <c r="Y157" s="40" t="s">
        <v>440</v>
      </c>
      <c r="Z157" s="41"/>
      <c r="AA157" s="41"/>
      <c r="AB157" s="41"/>
      <c r="AC157" s="41"/>
      <c r="AD157" s="41"/>
      <c r="AE157" s="41"/>
      <c r="AF157" s="41"/>
      <c r="AG157" s="41"/>
    </row>
    <row r="158" spans="17:33" ht="22" customHeight="1" x14ac:dyDescent="0.2">
      <c r="Q158" s="15"/>
      <c r="R158" s="13">
        <v>15</v>
      </c>
      <c r="S158" s="40" t="s">
        <v>46</v>
      </c>
      <c r="T158" s="41"/>
      <c r="U158" s="41"/>
      <c r="V158" s="41"/>
      <c r="W158" s="6" t="s">
        <v>441</v>
      </c>
      <c r="Y158" s="41"/>
      <c r="Z158" s="41"/>
      <c r="AA158" s="41"/>
      <c r="AB158" s="41"/>
      <c r="AC158" s="41"/>
      <c r="AD158" s="41"/>
      <c r="AE158" s="41"/>
      <c r="AF158" s="41"/>
      <c r="AG158" s="41"/>
    </row>
    <row r="159" spans="17:33" ht="22" customHeight="1" x14ac:dyDescent="0.2">
      <c r="Q159" s="16"/>
      <c r="R159" s="13">
        <v>16</v>
      </c>
      <c r="S159" s="40" t="s">
        <v>251</v>
      </c>
      <c r="T159" s="41"/>
      <c r="U159" s="41"/>
      <c r="V159" s="41"/>
      <c r="W159" s="6" t="s">
        <v>442</v>
      </c>
      <c r="Y159" s="41"/>
      <c r="Z159" s="41"/>
      <c r="AA159" s="41"/>
      <c r="AB159" s="41"/>
      <c r="AC159" s="41"/>
      <c r="AD159" s="41"/>
      <c r="AE159" s="41"/>
      <c r="AF159" s="41"/>
      <c r="AG159" s="41"/>
    </row>
    <row r="160" spans="17:33" ht="22" customHeight="1" x14ac:dyDescent="0.2">
      <c r="Q160" s="17"/>
      <c r="R160" s="13">
        <v>17</v>
      </c>
      <c r="S160" s="40" t="s">
        <v>308</v>
      </c>
      <c r="T160" s="41"/>
      <c r="U160" s="41"/>
      <c r="V160" s="41"/>
      <c r="W160" s="6" t="s">
        <v>443</v>
      </c>
      <c r="Y160" s="41"/>
      <c r="Z160" s="41"/>
      <c r="AA160" s="41"/>
      <c r="AB160" s="41"/>
      <c r="AC160" s="41"/>
      <c r="AD160" s="41"/>
      <c r="AE160" s="41"/>
      <c r="AF160" s="41"/>
      <c r="AG160" s="41"/>
    </row>
    <row r="161" spans="17:33" ht="22" customHeight="1" x14ac:dyDescent="0.2">
      <c r="Q161" s="18"/>
      <c r="R161" s="13">
        <v>18</v>
      </c>
      <c r="S161" s="40" t="s">
        <v>141</v>
      </c>
      <c r="T161" s="41"/>
      <c r="U161" s="41"/>
      <c r="V161" s="41"/>
      <c r="W161" s="6" t="s">
        <v>444</v>
      </c>
    </row>
    <row r="162" spans="17:33" ht="22" customHeight="1" x14ac:dyDescent="0.2">
      <c r="Q162" s="19"/>
      <c r="R162" s="13">
        <v>19</v>
      </c>
      <c r="S162" s="40" t="s">
        <v>172</v>
      </c>
      <c r="T162" s="41"/>
      <c r="U162" s="41"/>
      <c r="V162" s="41"/>
      <c r="W162" s="6" t="s">
        <v>445</v>
      </c>
      <c r="Y162" s="42" t="s">
        <v>354</v>
      </c>
      <c r="Z162" s="41"/>
      <c r="AA162" s="41"/>
      <c r="AB162" s="41"/>
      <c r="AC162" s="41"/>
      <c r="AD162" s="41"/>
      <c r="AE162" s="41"/>
      <c r="AF162" s="41"/>
      <c r="AG162" s="41"/>
    </row>
    <row r="163" spans="17:33" ht="22" customHeight="1" x14ac:dyDescent="0.2">
      <c r="Q163" s="20"/>
      <c r="R163" s="13">
        <v>20</v>
      </c>
      <c r="S163" s="40" t="s">
        <v>248</v>
      </c>
      <c r="T163" s="41"/>
      <c r="U163" s="41"/>
      <c r="V163" s="41"/>
      <c r="W163" s="6" t="s">
        <v>446</v>
      </c>
      <c r="Y163" s="40" t="s">
        <v>447</v>
      </c>
      <c r="Z163" s="41"/>
      <c r="AA163" s="41"/>
      <c r="AB163" s="41"/>
      <c r="AC163" s="41"/>
      <c r="AD163" s="41"/>
      <c r="AE163" s="41"/>
      <c r="AF163" s="41"/>
      <c r="AG163" s="41"/>
    </row>
    <row r="164" spans="17:33" ht="22" customHeight="1" x14ac:dyDescent="0.2">
      <c r="Q164" s="21"/>
      <c r="R164" s="13">
        <v>21</v>
      </c>
      <c r="S164" s="40" t="s">
        <v>227</v>
      </c>
      <c r="T164" s="41"/>
      <c r="U164" s="41"/>
      <c r="V164" s="41"/>
      <c r="W164" s="6" t="s">
        <v>448</v>
      </c>
      <c r="Y164" s="41"/>
      <c r="Z164" s="41"/>
      <c r="AA164" s="41"/>
      <c r="AB164" s="41"/>
      <c r="AC164" s="41"/>
      <c r="AD164" s="41"/>
      <c r="AE164" s="41"/>
      <c r="AF164" s="41"/>
      <c r="AG164" s="41"/>
    </row>
    <row r="165" spans="17:33" ht="22" customHeight="1" x14ac:dyDescent="0.2">
      <c r="Q165" s="22"/>
      <c r="R165" s="13">
        <v>22</v>
      </c>
      <c r="S165" s="40" t="s">
        <v>155</v>
      </c>
      <c r="T165" s="41"/>
      <c r="U165" s="41"/>
      <c r="V165" s="41"/>
      <c r="W165" s="6" t="s">
        <v>449</v>
      </c>
      <c r="Y165" s="41"/>
      <c r="Z165" s="41"/>
      <c r="AA165" s="41"/>
      <c r="AB165" s="41"/>
      <c r="AC165" s="41"/>
      <c r="AD165" s="41"/>
      <c r="AE165" s="41"/>
      <c r="AF165" s="41"/>
      <c r="AG165" s="41"/>
    </row>
    <row r="166" spans="17:33" ht="22" customHeight="1" x14ac:dyDescent="0.2">
      <c r="Q166" s="23"/>
      <c r="R166" s="13">
        <v>23</v>
      </c>
      <c r="S166" s="40" t="s">
        <v>195</v>
      </c>
      <c r="T166" s="41"/>
      <c r="U166" s="41"/>
      <c r="V166" s="41"/>
      <c r="W166" s="6" t="s">
        <v>450</v>
      </c>
      <c r="Y166" s="41"/>
      <c r="Z166" s="41"/>
      <c r="AA166" s="41"/>
      <c r="AB166" s="41"/>
      <c r="AC166" s="41"/>
      <c r="AD166" s="41"/>
      <c r="AE166" s="41"/>
      <c r="AF166" s="41"/>
      <c r="AG166" s="41"/>
    </row>
    <row r="167" spans="17:33" ht="22" customHeight="1" x14ac:dyDescent="0.2">
      <c r="Q167" s="24"/>
      <c r="R167" s="13">
        <v>24</v>
      </c>
      <c r="S167" s="40" t="s">
        <v>314</v>
      </c>
      <c r="T167" s="41"/>
      <c r="U167" s="41"/>
      <c r="V167" s="41"/>
      <c r="W167" s="6" t="s">
        <v>451</v>
      </c>
    </row>
    <row r="168" spans="17:33" ht="22" customHeight="1" x14ac:dyDescent="0.2">
      <c r="Q168" s="12"/>
      <c r="R168" s="13">
        <v>25</v>
      </c>
      <c r="S168" s="40" t="s">
        <v>277</v>
      </c>
      <c r="T168" s="41"/>
      <c r="U168" s="41"/>
      <c r="V168" s="41"/>
      <c r="W168" s="6" t="s">
        <v>452</v>
      </c>
    </row>
    <row r="169" spans="17:33" ht="22" customHeight="1" x14ac:dyDescent="0.2">
      <c r="Q169" s="14"/>
      <c r="R169" s="13">
        <v>26</v>
      </c>
      <c r="S169" s="40" t="s">
        <v>93</v>
      </c>
      <c r="T169" s="41"/>
      <c r="U169" s="41"/>
      <c r="V169" s="41"/>
      <c r="W169" s="6" t="s">
        <v>453</v>
      </c>
    </row>
    <row r="170" spans="17:33" ht="22" customHeight="1" x14ac:dyDescent="0.2">
      <c r="Q170" s="15"/>
      <c r="R170" s="13">
        <v>27</v>
      </c>
      <c r="S170" s="40" t="s">
        <v>204</v>
      </c>
      <c r="T170" s="41"/>
      <c r="U170" s="41"/>
      <c r="V170" s="41"/>
      <c r="W170" s="6" t="s">
        <v>454</v>
      </c>
    </row>
    <row r="171" spans="17:33" ht="22" customHeight="1" x14ac:dyDescent="0.2">
      <c r="Q171" s="16"/>
      <c r="R171" s="13">
        <v>28</v>
      </c>
      <c r="S171" s="40" t="s">
        <v>64</v>
      </c>
      <c r="T171" s="41"/>
      <c r="U171" s="41"/>
      <c r="V171" s="41"/>
      <c r="W171" s="6" t="s">
        <v>455</v>
      </c>
    </row>
    <row r="172" spans="17:33" ht="22" customHeight="1" x14ac:dyDescent="0.2">
      <c r="Q172" s="17"/>
      <c r="R172" s="13">
        <v>29</v>
      </c>
      <c r="S172" s="40" t="s">
        <v>32</v>
      </c>
      <c r="T172" s="41"/>
      <c r="U172" s="41"/>
      <c r="V172" s="41"/>
      <c r="W172" s="6" t="s">
        <v>456</v>
      </c>
    </row>
    <row r="173" spans="17:33" ht="22" customHeight="1" x14ac:dyDescent="0.2">
      <c r="Q173" s="18"/>
      <c r="R173" s="13">
        <v>30</v>
      </c>
      <c r="S173" s="40" t="s">
        <v>320</v>
      </c>
      <c r="T173" s="41"/>
      <c r="U173" s="41"/>
      <c r="V173" s="41"/>
      <c r="W173" s="6" t="s">
        <v>457</v>
      </c>
    </row>
    <row r="174" spans="17:33" ht="22" customHeight="1" x14ac:dyDescent="0.2">
      <c r="Q174" s="19"/>
      <c r="R174" s="13">
        <v>31</v>
      </c>
      <c r="S174" s="40" t="s">
        <v>29</v>
      </c>
      <c r="T174" s="41"/>
      <c r="U174" s="41"/>
      <c r="V174" s="41"/>
      <c r="W174" s="6" t="s">
        <v>458</v>
      </c>
    </row>
    <row r="175" spans="17:33" ht="22" customHeight="1" x14ac:dyDescent="0.2">
      <c r="Q175" s="20"/>
      <c r="R175" s="13">
        <v>32</v>
      </c>
      <c r="S175" s="40" t="s">
        <v>234</v>
      </c>
      <c r="T175" s="41"/>
      <c r="U175" s="41"/>
      <c r="V175" s="41"/>
      <c r="W175" s="6" t="s">
        <v>459</v>
      </c>
    </row>
    <row r="176" spans="17:33" ht="22" customHeight="1" x14ac:dyDescent="0.2">
      <c r="Q176" s="21"/>
      <c r="R176" s="13">
        <v>33</v>
      </c>
      <c r="S176" s="40" t="s">
        <v>237</v>
      </c>
      <c r="T176" s="41"/>
      <c r="U176" s="41"/>
      <c r="V176" s="41"/>
      <c r="W176" s="6" t="s">
        <v>460</v>
      </c>
    </row>
    <row r="177" spans="17:23" ht="22" customHeight="1" x14ac:dyDescent="0.2">
      <c r="Q177" s="22"/>
      <c r="R177" s="13">
        <v>34</v>
      </c>
      <c r="S177" s="40" t="s">
        <v>280</v>
      </c>
      <c r="T177" s="41"/>
      <c r="U177" s="41"/>
      <c r="V177" s="41"/>
      <c r="W177" s="6" t="s">
        <v>461</v>
      </c>
    </row>
    <row r="178" spans="17:23" ht="22" customHeight="1" x14ac:dyDescent="0.2">
      <c r="Q178" s="23"/>
      <c r="R178" s="13">
        <v>35</v>
      </c>
      <c r="S178" s="40" t="s">
        <v>152</v>
      </c>
      <c r="T178" s="41"/>
      <c r="U178" s="41"/>
      <c r="V178" s="41"/>
      <c r="W178" s="6" t="s">
        <v>462</v>
      </c>
    </row>
    <row r="179" spans="17:23" ht="22" customHeight="1" x14ac:dyDescent="0.2">
      <c r="Q179" s="24"/>
      <c r="R179" s="13">
        <v>36</v>
      </c>
      <c r="S179" s="40" t="s">
        <v>136</v>
      </c>
      <c r="T179" s="41"/>
      <c r="U179" s="41"/>
      <c r="V179" s="41"/>
      <c r="W179" s="6" t="s">
        <v>462</v>
      </c>
    </row>
    <row r="180" spans="17:23" ht="22" customHeight="1" x14ac:dyDescent="0.2">
      <c r="Q180" s="12"/>
      <c r="R180" s="13">
        <v>37</v>
      </c>
      <c r="S180" s="40" t="s">
        <v>123</v>
      </c>
      <c r="T180" s="41"/>
      <c r="U180" s="41"/>
      <c r="V180" s="41"/>
      <c r="W180" s="6" t="s">
        <v>462</v>
      </c>
    </row>
    <row r="181" spans="17:23" ht="22" customHeight="1" x14ac:dyDescent="0.2">
      <c r="Q181" s="14"/>
      <c r="R181" s="13">
        <v>38</v>
      </c>
      <c r="S181" s="40" t="s">
        <v>40</v>
      </c>
      <c r="T181" s="41"/>
      <c r="U181" s="41"/>
      <c r="V181" s="41"/>
      <c r="W181" s="6" t="s">
        <v>463</v>
      </c>
    </row>
    <row r="182" spans="17:23" ht="22" customHeight="1" x14ac:dyDescent="0.2">
      <c r="Q182" s="15"/>
      <c r="R182" s="13">
        <v>39</v>
      </c>
      <c r="S182" s="40" t="s">
        <v>240</v>
      </c>
      <c r="T182" s="41"/>
      <c r="U182" s="41"/>
      <c r="V182" s="41"/>
      <c r="W182" s="6" t="s">
        <v>464</v>
      </c>
    </row>
    <row r="183" spans="17:23" ht="22" customHeight="1" x14ac:dyDescent="0.2">
      <c r="Q183" s="16"/>
      <c r="R183" s="13">
        <v>40</v>
      </c>
      <c r="S183" s="40" t="s">
        <v>311</v>
      </c>
      <c r="T183" s="41"/>
      <c r="U183" s="41"/>
      <c r="V183" s="41"/>
      <c r="W183" s="6" t="s">
        <v>465</v>
      </c>
    </row>
    <row r="184" spans="17:23" ht="22" customHeight="1" x14ac:dyDescent="0.2">
      <c r="Q184" s="17"/>
      <c r="R184" s="13">
        <v>41</v>
      </c>
      <c r="S184" s="40" t="s">
        <v>116</v>
      </c>
      <c r="T184" s="41"/>
      <c r="U184" s="41"/>
      <c r="V184" s="41"/>
      <c r="W184" s="6" t="s">
        <v>466</v>
      </c>
    </row>
    <row r="185" spans="17:23" ht="22" customHeight="1" x14ac:dyDescent="0.2">
      <c r="Q185" s="18"/>
      <c r="R185" s="13">
        <v>42</v>
      </c>
      <c r="S185" s="40" t="s">
        <v>130</v>
      </c>
      <c r="T185" s="41"/>
      <c r="U185" s="41"/>
      <c r="V185" s="41"/>
      <c r="W185" s="6" t="s">
        <v>467</v>
      </c>
    </row>
    <row r="186" spans="17:23" ht="22" customHeight="1" x14ac:dyDescent="0.2">
      <c r="Q186" s="19"/>
      <c r="R186" s="13">
        <v>43</v>
      </c>
      <c r="S186" s="40" t="s">
        <v>274</v>
      </c>
      <c r="T186" s="41"/>
      <c r="U186" s="41"/>
      <c r="V186" s="41"/>
      <c r="W186" s="6" t="s">
        <v>468</v>
      </c>
    </row>
    <row r="187" spans="17:23" ht="22" customHeight="1" x14ac:dyDescent="0.2">
      <c r="Q187" s="20"/>
      <c r="R187" s="13">
        <v>44</v>
      </c>
      <c r="S187" s="40" t="s">
        <v>77</v>
      </c>
      <c r="T187" s="41"/>
      <c r="U187" s="41"/>
      <c r="V187" s="41"/>
      <c r="W187" s="6" t="s">
        <v>469</v>
      </c>
    </row>
    <row r="188" spans="17:23" ht="22" customHeight="1" x14ac:dyDescent="0.2">
      <c r="Q188" s="21"/>
      <c r="R188" s="13">
        <v>45</v>
      </c>
      <c r="S188" s="40" t="s">
        <v>287</v>
      </c>
      <c r="T188" s="41"/>
      <c r="U188" s="41"/>
      <c r="V188" s="41"/>
      <c r="W188" s="6" t="s">
        <v>470</v>
      </c>
    </row>
    <row r="189" spans="17:23" ht="22" customHeight="1" x14ac:dyDescent="0.2">
      <c r="Q189" s="22"/>
      <c r="R189" s="13">
        <v>46</v>
      </c>
      <c r="S189" s="40" t="s">
        <v>98</v>
      </c>
      <c r="T189" s="41"/>
      <c r="U189" s="41"/>
      <c r="V189" s="41"/>
      <c r="W189" s="6" t="s">
        <v>471</v>
      </c>
    </row>
    <row r="190" spans="17:23" ht="22" customHeight="1" x14ac:dyDescent="0.2">
      <c r="Q190" s="23"/>
      <c r="R190" s="13">
        <v>47</v>
      </c>
      <c r="S190" s="40" t="s">
        <v>85</v>
      </c>
      <c r="T190" s="41"/>
      <c r="U190" s="41"/>
      <c r="V190" s="41"/>
      <c r="W190" s="6" t="s">
        <v>472</v>
      </c>
    </row>
    <row r="191" spans="17:23" ht="22" customHeight="1" x14ac:dyDescent="0.2">
      <c r="Q191" s="24"/>
      <c r="R191" s="13">
        <v>48</v>
      </c>
      <c r="S191" s="40" t="s">
        <v>146</v>
      </c>
      <c r="T191" s="41"/>
      <c r="U191" s="41"/>
      <c r="V191" s="41"/>
      <c r="W191" s="6" t="s">
        <v>473</v>
      </c>
    </row>
    <row r="192" spans="17:23" ht="22" customHeight="1" x14ac:dyDescent="0.2">
      <c r="Q192" s="12"/>
      <c r="R192" s="13">
        <v>49</v>
      </c>
      <c r="S192" s="40" t="s">
        <v>296</v>
      </c>
      <c r="T192" s="41"/>
      <c r="U192" s="41"/>
      <c r="V192" s="41"/>
      <c r="W192" s="6" t="s">
        <v>474</v>
      </c>
    </row>
    <row r="193" spans="17:33" ht="22" customHeight="1" x14ac:dyDescent="0.2">
      <c r="Q193" s="14"/>
      <c r="R193" s="13">
        <v>50</v>
      </c>
      <c r="S193" s="40" t="s">
        <v>258</v>
      </c>
      <c r="T193" s="41"/>
      <c r="U193" s="41"/>
      <c r="V193" s="41"/>
      <c r="W193" s="6" t="s">
        <v>475</v>
      </c>
    </row>
    <row r="194" spans="17:33" ht="22" customHeight="1" x14ac:dyDescent="0.2">
      <c r="Q194" s="15"/>
      <c r="R194" s="13">
        <v>51</v>
      </c>
      <c r="S194" s="40" t="s">
        <v>149</v>
      </c>
      <c r="T194" s="41"/>
      <c r="U194" s="41"/>
      <c r="V194" s="41"/>
      <c r="W194" s="6" t="s">
        <v>476</v>
      </c>
    </row>
    <row r="195" spans="17:33" ht="22" customHeight="1" x14ac:dyDescent="0.2">
      <c r="Q195" s="16"/>
      <c r="R195" s="13">
        <v>52</v>
      </c>
      <c r="S195" s="40" t="s">
        <v>105</v>
      </c>
      <c r="T195" s="41"/>
      <c r="U195" s="41"/>
      <c r="V195" s="41"/>
      <c r="W195" s="6" t="s">
        <v>476</v>
      </c>
    </row>
    <row r="196" spans="17:33" ht="22" customHeight="1" x14ac:dyDescent="0.2">
      <c r="Q196" s="17"/>
      <c r="R196" s="13">
        <v>53</v>
      </c>
      <c r="S196" s="40" t="s">
        <v>127</v>
      </c>
      <c r="T196" s="41"/>
      <c r="U196" s="41"/>
      <c r="V196" s="41"/>
      <c r="W196" s="6" t="s">
        <v>477</v>
      </c>
    </row>
    <row r="197" spans="17:33" ht="22" customHeight="1" x14ac:dyDescent="0.2">
      <c r="Q197" s="18"/>
      <c r="R197" s="13">
        <v>54</v>
      </c>
      <c r="S197" s="40" t="s">
        <v>87</v>
      </c>
      <c r="T197" s="41"/>
      <c r="U197" s="41"/>
      <c r="V197" s="41"/>
      <c r="W197" s="6" t="s">
        <v>478</v>
      </c>
    </row>
    <row r="198" spans="17:33" ht="22" customHeight="1" x14ac:dyDescent="0.2">
      <c r="Q198" s="19"/>
      <c r="R198" s="13">
        <v>55</v>
      </c>
      <c r="S198" s="40" t="s">
        <v>112</v>
      </c>
      <c r="T198" s="41"/>
      <c r="U198" s="41"/>
      <c r="V198" s="41"/>
      <c r="W198" s="6" t="s">
        <v>479</v>
      </c>
    </row>
    <row r="199" spans="17:33" ht="22" customHeight="1" x14ac:dyDescent="0.2">
      <c r="Q199" s="20"/>
      <c r="R199" s="13">
        <v>56</v>
      </c>
      <c r="S199" s="40" t="s">
        <v>56</v>
      </c>
      <c r="T199" s="41"/>
      <c r="U199" s="41"/>
      <c r="V199" s="41"/>
      <c r="W199" s="6" t="s">
        <v>480</v>
      </c>
    </row>
    <row r="200" spans="17:33" ht="22" customHeight="1" x14ac:dyDescent="0.2">
      <c r="Q200" s="21"/>
      <c r="R200" s="13">
        <v>57</v>
      </c>
      <c r="S200" s="40" t="s">
        <v>245</v>
      </c>
      <c r="T200" s="41"/>
      <c r="U200" s="41"/>
      <c r="V200" s="41"/>
      <c r="W200" s="6" t="s">
        <v>481</v>
      </c>
    </row>
    <row r="204" spans="17:33" ht="16" customHeight="1" x14ac:dyDescent="0.2">
      <c r="Q204" s="43" t="s">
        <v>482</v>
      </c>
      <c r="R204" s="41"/>
      <c r="S204" s="41"/>
      <c r="T204" s="41"/>
      <c r="U204" s="41"/>
      <c r="V204" s="41"/>
      <c r="W204" s="41"/>
      <c r="Y204" s="43" t="s">
        <v>342</v>
      </c>
      <c r="Z204" s="41"/>
      <c r="AA204" s="41"/>
      <c r="AB204" s="41"/>
      <c r="AC204" s="41"/>
      <c r="AD204" s="41"/>
      <c r="AE204" s="41"/>
      <c r="AF204" s="41"/>
      <c r="AG204" s="41"/>
    </row>
    <row r="205" spans="17:33" x14ac:dyDescent="0.2">
      <c r="Q205" s="11"/>
      <c r="R205" s="11" t="s">
        <v>343</v>
      </c>
      <c r="S205" s="11" t="s">
        <v>344</v>
      </c>
      <c r="W205" s="11" t="s">
        <v>345</v>
      </c>
    </row>
    <row r="206" spans="17:33" ht="22" customHeight="1" x14ac:dyDescent="0.2">
      <c r="Q206" s="12"/>
      <c r="R206" s="13">
        <v>1</v>
      </c>
      <c r="S206" s="40" t="s">
        <v>188</v>
      </c>
      <c r="T206" s="41"/>
      <c r="U206" s="41"/>
      <c r="V206" s="41"/>
      <c r="W206" s="6" t="s">
        <v>483</v>
      </c>
      <c r="Y206" s="42" t="s">
        <v>348</v>
      </c>
      <c r="Z206" s="41"/>
      <c r="AA206" s="41"/>
      <c r="AB206" s="41"/>
      <c r="AC206" s="41"/>
      <c r="AD206" s="41"/>
      <c r="AE206" s="41"/>
      <c r="AF206" s="41"/>
      <c r="AG206" s="41"/>
    </row>
    <row r="207" spans="17:33" ht="22" customHeight="1" x14ac:dyDescent="0.2">
      <c r="Q207" s="14"/>
      <c r="R207" s="13">
        <v>2</v>
      </c>
      <c r="S207" s="40" t="s">
        <v>180</v>
      </c>
      <c r="T207" s="41"/>
      <c r="U207" s="41"/>
      <c r="V207" s="41"/>
      <c r="W207" s="6" t="s">
        <v>361</v>
      </c>
      <c r="Y207" s="40" t="s">
        <v>484</v>
      </c>
      <c r="Z207" s="41"/>
      <c r="AA207" s="41"/>
      <c r="AB207" s="41"/>
      <c r="AC207" s="41"/>
      <c r="AD207" s="41"/>
      <c r="AE207" s="41"/>
      <c r="AF207" s="41"/>
      <c r="AG207" s="41"/>
    </row>
    <row r="208" spans="17:33" ht="22" customHeight="1" x14ac:dyDescent="0.2">
      <c r="Q208" s="15"/>
      <c r="R208" s="13">
        <v>3</v>
      </c>
      <c r="S208" s="40" t="s">
        <v>216</v>
      </c>
      <c r="T208" s="41"/>
      <c r="U208" s="41"/>
      <c r="V208" s="41"/>
      <c r="W208" s="6" t="s">
        <v>485</v>
      </c>
      <c r="Y208" s="41"/>
      <c r="Z208" s="41"/>
      <c r="AA208" s="41"/>
      <c r="AB208" s="41"/>
      <c r="AC208" s="41"/>
      <c r="AD208" s="41"/>
      <c r="AE208" s="41"/>
      <c r="AF208" s="41"/>
      <c r="AG208" s="41"/>
    </row>
    <row r="209" spans="17:33" ht="22" customHeight="1" x14ac:dyDescent="0.2">
      <c r="Q209" s="16"/>
      <c r="R209" s="13">
        <v>4</v>
      </c>
      <c r="S209" s="40" t="s">
        <v>267</v>
      </c>
      <c r="T209" s="41"/>
      <c r="U209" s="41"/>
      <c r="V209" s="41"/>
      <c r="W209" s="6" t="s">
        <v>365</v>
      </c>
      <c r="Y209" s="41"/>
      <c r="Z209" s="41"/>
      <c r="AA209" s="41"/>
      <c r="AB209" s="41"/>
      <c r="AC209" s="41"/>
      <c r="AD209" s="41"/>
      <c r="AE209" s="41"/>
      <c r="AF209" s="41"/>
      <c r="AG209" s="41"/>
    </row>
    <row r="210" spans="17:33" ht="22" customHeight="1" x14ac:dyDescent="0.2">
      <c r="Q210" s="17"/>
      <c r="R210" s="13">
        <v>5</v>
      </c>
      <c r="S210" s="40" t="s">
        <v>162</v>
      </c>
      <c r="T210" s="41"/>
      <c r="U210" s="41"/>
      <c r="V210" s="41"/>
      <c r="W210" s="6" t="s">
        <v>486</v>
      </c>
      <c r="Y210" s="41"/>
      <c r="Z210" s="41"/>
      <c r="AA210" s="41"/>
      <c r="AB210" s="41"/>
      <c r="AC210" s="41"/>
      <c r="AD210" s="41"/>
      <c r="AE210" s="41"/>
      <c r="AF210" s="41"/>
      <c r="AG210" s="41"/>
    </row>
    <row r="211" spans="17:33" ht="22" customHeight="1" x14ac:dyDescent="0.2">
      <c r="Q211" s="18"/>
      <c r="R211" s="13">
        <v>6</v>
      </c>
      <c r="S211" s="40" t="s">
        <v>214</v>
      </c>
      <c r="T211" s="41"/>
      <c r="U211" s="41"/>
      <c r="V211" s="41"/>
      <c r="W211" s="6" t="s">
        <v>487</v>
      </c>
    </row>
    <row r="212" spans="17:33" ht="22" customHeight="1" x14ac:dyDescent="0.2">
      <c r="Q212" s="19"/>
      <c r="R212" s="13">
        <v>7</v>
      </c>
      <c r="S212" s="40" t="s">
        <v>199</v>
      </c>
      <c r="T212" s="41"/>
      <c r="U212" s="41"/>
      <c r="V212" s="41"/>
      <c r="W212" s="6" t="s">
        <v>369</v>
      </c>
      <c r="Y212" s="42" t="s">
        <v>350</v>
      </c>
      <c r="Z212" s="41"/>
      <c r="AA212" s="41"/>
      <c r="AB212" s="41"/>
      <c r="AC212" s="41"/>
      <c r="AD212" s="41"/>
      <c r="AE212" s="41"/>
      <c r="AF212" s="41"/>
      <c r="AG212" s="41"/>
    </row>
    <row r="213" spans="17:33" ht="22" customHeight="1" x14ac:dyDescent="0.2">
      <c r="Q213" s="20"/>
      <c r="R213" s="13">
        <v>8</v>
      </c>
      <c r="S213" s="40" t="s">
        <v>206</v>
      </c>
      <c r="T213" s="41"/>
      <c r="U213" s="41"/>
      <c r="V213" s="41"/>
      <c r="W213" s="6" t="s">
        <v>488</v>
      </c>
      <c r="Y213" s="40" t="s">
        <v>489</v>
      </c>
      <c r="Z213" s="41"/>
      <c r="AA213" s="41"/>
      <c r="AB213" s="41"/>
      <c r="AC213" s="41"/>
      <c r="AD213" s="41"/>
      <c r="AE213" s="41"/>
      <c r="AF213" s="41"/>
      <c r="AG213" s="41"/>
    </row>
    <row r="214" spans="17:33" ht="22" customHeight="1" x14ac:dyDescent="0.2">
      <c r="Q214" s="21"/>
      <c r="R214" s="13">
        <v>9</v>
      </c>
      <c r="S214" s="40" t="s">
        <v>36</v>
      </c>
      <c r="T214" s="41"/>
      <c r="U214" s="41"/>
      <c r="V214" s="41"/>
      <c r="W214" s="6" t="s">
        <v>490</v>
      </c>
      <c r="Y214" s="41"/>
      <c r="Z214" s="41"/>
      <c r="AA214" s="41"/>
      <c r="AB214" s="41"/>
      <c r="AC214" s="41"/>
      <c r="AD214" s="41"/>
      <c r="AE214" s="41"/>
      <c r="AF214" s="41"/>
      <c r="AG214" s="41"/>
    </row>
    <row r="215" spans="17:33" ht="22" customHeight="1" x14ac:dyDescent="0.2">
      <c r="Q215" s="22"/>
      <c r="R215" s="13">
        <v>10</v>
      </c>
      <c r="S215" s="40" t="s">
        <v>174</v>
      </c>
      <c r="T215" s="41"/>
      <c r="U215" s="41"/>
      <c r="V215" s="41"/>
      <c r="W215" s="6" t="s">
        <v>491</v>
      </c>
      <c r="Y215" s="41"/>
      <c r="Z215" s="41"/>
      <c r="AA215" s="41"/>
      <c r="AB215" s="41"/>
      <c r="AC215" s="41"/>
      <c r="AD215" s="41"/>
      <c r="AE215" s="41"/>
      <c r="AF215" s="41"/>
      <c r="AG215" s="41"/>
    </row>
    <row r="216" spans="17:33" x14ac:dyDescent="0.2">
      <c r="Y216" s="41"/>
      <c r="Z216" s="41"/>
      <c r="AA216" s="41"/>
      <c r="AB216" s="41"/>
      <c r="AC216" s="41"/>
      <c r="AD216" s="41"/>
      <c r="AE216" s="41"/>
      <c r="AF216" s="41"/>
      <c r="AG216" s="41"/>
    </row>
    <row r="218" spans="17:33" x14ac:dyDescent="0.2">
      <c r="Y218" s="42" t="s">
        <v>352</v>
      </c>
      <c r="Z218" s="41"/>
      <c r="AA218" s="41"/>
      <c r="AB218" s="41"/>
      <c r="AC218" s="41"/>
      <c r="AD218" s="41"/>
      <c r="AE218" s="41"/>
      <c r="AF218" s="41"/>
      <c r="AG218" s="41"/>
    </row>
    <row r="219" spans="17:33" x14ac:dyDescent="0.2">
      <c r="Y219" s="40" t="s">
        <v>492</v>
      </c>
      <c r="Z219" s="41"/>
      <c r="AA219" s="41"/>
      <c r="AB219" s="41"/>
      <c r="AC219" s="41"/>
      <c r="AD219" s="41"/>
      <c r="AE219" s="41"/>
      <c r="AF219" s="41"/>
      <c r="AG219" s="41"/>
    </row>
    <row r="220" spans="17:33" x14ac:dyDescent="0.2">
      <c r="Y220" s="41"/>
      <c r="Z220" s="41"/>
      <c r="AA220" s="41"/>
      <c r="AB220" s="41"/>
      <c r="AC220" s="41"/>
      <c r="AD220" s="41"/>
      <c r="AE220" s="41"/>
      <c r="AF220" s="41"/>
      <c r="AG220" s="41"/>
    </row>
    <row r="221" spans="17:33" x14ac:dyDescent="0.2">
      <c r="Y221" s="41"/>
      <c r="Z221" s="41"/>
      <c r="AA221" s="41"/>
      <c r="AB221" s="41"/>
      <c r="AC221" s="41"/>
      <c r="AD221" s="41"/>
      <c r="AE221" s="41"/>
      <c r="AF221" s="41"/>
      <c r="AG221" s="41"/>
    </row>
    <row r="222" spans="17:33" x14ac:dyDescent="0.2">
      <c r="Y222" s="41"/>
      <c r="Z222" s="41"/>
      <c r="AA222" s="41"/>
      <c r="AB222" s="41"/>
      <c r="AC222" s="41"/>
      <c r="AD222" s="41"/>
      <c r="AE222" s="41"/>
      <c r="AF222" s="41"/>
      <c r="AG222" s="41"/>
    </row>
    <row r="224" spans="17:33" x14ac:dyDescent="0.2">
      <c r="Y224" s="42" t="s">
        <v>354</v>
      </c>
      <c r="Z224" s="41"/>
      <c r="AA224" s="41"/>
      <c r="AB224" s="41"/>
      <c r="AC224" s="41"/>
      <c r="AD224" s="41"/>
      <c r="AE224" s="41"/>
      <c r="AF224" s="41"/>
      <c r="AG224" s="41"/>
    </row>
    <row r="225" spans="17:33" x14ac:dyDescent="0.2">
      <c r="Y225" s="40" t="s">
        <v>493</v>
      </c>
      <c r="Z225" s="41"/>
      <c r="AA225" s="41"/>
      <c r="AB225" s="41"/>
      <c r="AC225" s="41"/>
      <c r="AD225" s="41"/>
      <c r="AE225" s="41"/>
      <c r="AF225" s="41"/>
      <c r="AG225" s="41"/>
    </row>
    <row r="226" spans="17:33" x14ac:dyDescent="0.2">
      <c r="Y226" s="41"/>
      <c r="Z226" s="41"/>
      <c r="AA226" s="41"/>
      <c r="AB226" s="41"/>
      <c r="AC226" s="41"/>
      <c r="AD226" s="41"/>
      <c r="AE226" s="41"/>
      <c r="AF226" s="41"/>
      <c r="AG226" s="41"/>
    </row>
    <row r="227" spans="17:33" x14ac:dyDescent="0.2">
      <c r="Y227" s="41"/>
      <c r="Z227" s="41"/>
      <c r="AA227" s="41"/>
      <c r="AB227" s="41"/>
      <c r="AC227" s="41"/>
      <c r="AD227" s="41"/>
      <c r="AE227" s="41"/>
      <c r="AF227" s="41"/>
      <c r="AG227" s="41"/>
    </row>
    <row r="228" spans="17:33" x14ac:dyDescent="0.2">
      <c r="Y228" s="41"/>
      <c r="Z228" s="41"/>
      <c r="AA228" s="41"/>
      <c r="AB228" s="41"/>
      <c r="AC228" s="41"/>
      <c r="AD228" s="41"/>
      <c r="AE228" s="41"/>
      <c r="AF228" s="41"/>
      <c r="AG228" s="41"/>
    </row>
    <row r="240" spans="17:33" ht="16" customHeight="1" x14ac:dyDescent="0.2">
      <c r="Q240" s="43" t="s">
        <v>494</v>
      </c>
      <c r="R240" s="41"/>
      <c r="S240" s="41"/>
      <c r="T240" s="41"/>
      <c r="U240" s="41"/>
      <c r="V240" s="41"/>
      <c r="W240" s="41"/>
      <c r="Y240" s="43" t="s">
        <v>342</v>
      </c>
      <c r="Z240" s="41"/>
      <c r="AA240" s="41"/>
      <c r="AB240" s="41"/>
      <c r="AC240" s="41"/>
      <c r="AD240" s="41"/>
      <c r="AE240" s="41"/>
      <c r="AF240" s="41"/>
      <c r="AG240" s="41"/>
    </row>
    <row r="241" spans="17:33" x14ac:dyDescent="0.2">
      <c r="Q241" s="11"/>
      <c r="R241" s="11" t="s">
        <v>343</v>
      </c>
      <c r="S241" s="11" t="s">
        <v>344</v>
      </c>
      <c r="W241" s="11" t="s">
        <v>345</v>
      </c>
    </row>
    <row r="242" spans="17:33" ht="22" customHeight="1" x14ac:dyDescent="0.2">
      <c r="Q242" s="12"/>
      <c r="R242" s="13">
        <v>1</v>
      </c>
      <c r="S242" s="40" t="s">
        <v>165</v>
      </c>
      <c r="T242" s="41"/>
      <c r="U242" s="41"/>
      <c r="V242" s="41"/>
      <c r="W242" s="6" t="s">
        <v>415</v>
      </c>
      <c r="Y242" s="42" t="s">
        <v>348</v>
      </c>
      <c r="Z242" s="41"/>
      <c r="AA242" s="41"/>
      <c r="AB242" s="41"/>
      <c r="AC242" s="41"/>
      <c r="AD242" s="41"/>
      <c r="AE242" s="41"/>
      <c r="AF242" s="41"/>
      <c r="AG242" s="41"/>
    </row>
    <row r="243" spans="17:33" ht="22" customHeight="1" x14ac:dyDescent="0.2">
      <c r="Q243" s="14"/>
      <c r="R243" s="13">
        <v>2</v>
      </c>
      <c r="S243" s="40" t="s">
        <v>18</v>
      </c>
      <c r="T243" s="41"/>
      <c r="U243" s="41"/>
      <c r="V243" s="41"/>
      <c r="W243" s="6" t="s">
        <v>416</v>
      </c>
      <c r="Y243" s="40" t="s">
        <v>495</v>
      </c>
      <c r="Z243" s="41"/>
      <c r="AA243" s="41"/>
      <c r="AB243" s="41"/>
      <c r="AC243" s="41"/>
      <c r="AD243" s="41"/>
      <c r="AE243" s="41"/>
      <c r="AF243" s="41"/>
      <c r="AG243" s="41"/>
    </row>
    <row r="244" spans="17:33" ht="22" customHeight="1" x14ac:dyDescent="0.2">
      <c r="Q244" s="15"/>
      <c r="R244" s="13">
        <v>3</v>
      </c>
      <c r="S244" s="40" t="s">
        <v>41</v>
      </c>
      <c r="T244" s="41"/>
      <c r="U244" s="41"/>
      <c r="V244" s="41"/>
      <c r="W244" s="6" t="s">
        <v>418</v>
      </c>
      <c r="Y244" s="41"/>
      <c r="Z244" s="41"/>
      <c r="AA244" s="41"/>
      <c r="AB244" s="41"/>
      <c r="AC244" s="41"/>
      <c r="AD244" s="41"/>
      <c r="AE244" s="41"/>
      <c r="AF244" s="41"/>
      <c r="AG244" s="41"/>
    </row>
    <row r="245" spans="17:33" ht="22" customHeight="1" x14ac:dyDescent="0.2">
      <c r="Q245" s="16"/>
      <c r="R245" s="13">
        <v>4</v>
      </c>
      <c r="S245" s="40" t="s">
        <v>153</v>
      </c>
      <c r="T245" s="41"/>
      <c r="U245" s="41"/>
      <c r="V245" s="41"/>
      <c r="W245" s="6" t="s">
        <v>419</v>
      </c>
      <c r="Y245" s="41"/>
      <c r="Z245" s="41"/>
      <c r="AA245" s="41"/>
      <c r="AB245" s="41"/>
      <c r="AC245" s="41"/>
      <c r="AD245" s="41"/>
      <c r="AE245" s="41"/>
      <c r="AF245" s="41"/>
      <c r="AG245" s="41"/>
    </row>
    <row r="246" spans="17:33" ht="22" customHeight="1" x14ac:dyDescent="0.2">
      <c r="Q246" s="17"/>
      <c r="R246" s="13">
        <v>5</v>
      </c>
      <c r="S246" s="40" t="s">
        <v>137</v>
      </c>
      <c r="T246" s="41"/>
      <c r="U246" s="41"/>
      <c r="V246" s="41"/>
      <c r="W246" s="6" t="s">
        <v>420</v>
      </c>
      <c r="Y246" s="41"/>
      <c r="Z246" s="41"/>
      <c r="AA246" s="41"/>
      <c r="AB246" s="41"/>
      <c r="AC246" s="41"/>
      <c r="AD246" s="41"/>
      <c r="AE246" s="41"/>
      <c r="AF246" s="41"/>
      <c r="AG246" s="41"/>
    </row>
    <row r="247" spans="17:33" ht="22" customHeight="1" x14ac:dyDescent="0.2">
      <c r="Q247" s="25"/>
      <c r="R247" s="13">
        <v>1</v>
      </c>
      <c r="S247" s="40" t="s">
        <v>496</v>
      </c>
      <c r="T247" s="41"/>
      <c r="U247" s="41"/>
      <c r="V247" s="41"/>
      <c r="W247" s="6" t="s">
        <v>347</v>
      </c>
    </row>
    <row r="248" spans="17:33" x14ac:dyDescent="0.2">
      <c r="Y248" s="42" t="s">
        <v>350</v>
      </c>
      <c r="Z248" s="41"/>
      <c r="AA248" s="41"/>
      <c r="AB248" s="41"/>
      <c r="AC248" s="41"/>
      <c r="AD248" s="41"/>
      <c r="AE248" s="41"/>
      <c r="AF248" s="41"/>
      <c r="AG248" s="41"/>
    </row>
    <row r="249" spans="17:33" x14ac:dyDescent="0.2">
      <c r="Y249" s="40" t="s">
        <v>497</v>
      </c>
      <c r="Z249" s="41"/>
      <c r="AA249" s="41"/>
      <c r="AB249" s="41"/>
      <c r="AC249" s="41"/>
      <c r="AD249" s="41"/>
      <c r="AE249" s="41"/>
      <c r="AF249" s="41"/>
      <c r="AG249" s="41"/>
    </row>
    <row r="250" spans="17:33" x14ac:dyDescent="0.2">
      <c r="Y250" s="41"/>
      <c r="Z250" s="41"/>
      <c r="AA250" s="41"/>
      <c r="AB250" s="41"/>
      <c r="AC250" s="41"/>
      <c r="AD250" s="41"/>
      <c r="AE250" s="41"/>
      <c r="AF250" s="41"/>
      <c r="AG250" s="41"/>
    </row>
    <row r="251" spans="17:33" x14ac:dyDescent="0.2">
      <c r="Y251" s="41"/>
      <c r="Z251" s="41"/>
      <c r="AA251" s="41"/>
      <c r="AB251" s="41"/>
      <c r="AC251" s="41"/>
      <c r="AD251" s="41"/>
      <c r="AE251" s="41"/>
      <c r="AF251" s="41"/>
      <c r="AG251" s="41"/>
    </row>
    <row r="252" spans="17:33" x14ac:dyDescent="0.2">
      <c r="Y252" s="41"/>
      <c r="Z252" s="41"/>
      <c r="AA252" s="41"/>
      <c r="AB252" s="41"/>
      <c r="AC252" s="41"/>
      <c r="AD252" s="41"/>
      <c r="AE252" s="41"/>
      <c r="AF252" s="41"/>
      <c r="AG252" s="41"/>
    </row>
    <row r="254" spans="17:33" x14ac:dyDescent="0.2">
      <c r="Y254" s="42" t="s">
        <v>352</v>
      </c>
      <c r="Z254" s="41"/>
      <c r="AA254" s="41"/>
      <c r="AB254" s="41"/>
      <c r="AC254" s="41"/>
      <c r="AD254" s="41"/>
      <c r="AE254" s="41"/>
      <c r="AF254" s="41"/>
      <c r="AG254" s="41"/>
    </row>
    <row r="255" spans="17:33" x14ac:dyDescent="0.2">
      <c r="Y255" s="40" t="s">
        <v>498</v>
      </c>
      <c r="Z255" s="41"/>
      <c r="AA255" s="41"/>
      <c r="AB255" s="41"/>
      <c r="AC255" s="41"/>
      <c r="AD255" s="41"/>
      <c r="AE255" s="41"/>
      <c r="AF255" s="41"/>
      <c r="AG255" s="41"/>
    </row>
    <row r="256" spans="17:33" x14ac:dyDescent="0.2">
      <c r="Y256" s="41"/>
      <c r="Z256" s="41"/>
      <c r="AA256" s="41"/>
      <c r="AB256" s="41"/>
      <c r="AC256" s="41"/>
      <c r="AD256" s="41"/>
      <c r="AE256" s="41"/>
      <c r="AF256" s="41"/>
      <c r="AG256" s="41"/>
    </row>
    <row r="257" spans="25:33" x14ac:dyDescent="0.2">
      <c r="Y257" s="41"/>
      <c r="Z257" s="41"/>
      <c r="AA257" s="41"/>
      <c r="AB257" s="41"/>
      <c r="AC257" s="41"/>
      <c r="AD257" s="41"/>
      <c r="AE257" s="41"/>
      <c r="AF257" s="41"/>
      <c r="AG257" s="41"/>
    </row>
    <row r="258" spans="25:33" x14ac:dyDescent="0.2">
      <c r="Y258" s="41"/>
      <c r="Z258" s="41"/>
      <c r="AA258" s="41"/>
      <c r="AB258" s="41"/>
      <c r="AC258" s="41"/>
      <c r="AD258" s="41"/>
      <c r="AE258" s="41"/>
      <c r="AF258" s="41"/>
      <c r="AG258" s="41"/>
    </row>
    <row r="260" spans="25:33" x14ac:dyDescent="0.2">
      <c r="Y260" s="42" t="s">
        <v>354</v>
      </c>
      <c r="Z260" s="41"/>
      <c r="AA260" s="41"/>
      <c r="AB260" s="41"/>
      <c r="AC260" s="41"/>
      <c r="AD260" s="41"/>
      <c r="AE260" s="41"/>
      <c r="AF260" s="41"/>
      <c r="AG260" s="41"/>
    </row>
    <row r="261" spans="25:33" x14ac:dyDescent="0.2">
      <c r="Y261" s="40" t="s">
        <v>499</v>
      </c>
      <c r="Z261" s="41"/>
      <c r="AA261" s="41"/>
      <c r="AB261" s="41"/>
      <c r="AC261" s="41"/>
      <c r="AD261" s="41"/>
      <c r="AE261" s="41"/>
      <c r="AF261" s="41"/>
      <c r="AG261" s="41"/>
    </row>
    <row r="262" spans="25:33" x14ac:dyDescent="0.2">
      <c r="Y262" s="41"/>
      <c r="Z262" s="41"/>
      <c r="AA262" s="41"/>
      <c r="AB262" s="41"/>
      <c r="AC262" s="41"/>
      <c r="AD262" s="41"/>
      <c r="AE262" s="41"/>
      <c r="AF262" s="41"/>
      <c r="AG262" s="41"/>
    </row>
    <row r="263" spans="25:33" x14ac:dyDescent="0.2">
      <c r="Y263" s="41"/>
      <c r="Z263" s="41"/>
      <c r="AA263" s="41"/>
      <c r="AB263" s="41"/>
      <c r="AC263" s="41"/>
      <c r="AD263" s="41"/>
      <c r="AE263" s="41"/>
      <c r="AF263" s="41"/>
      <c r="AG263" s="41"/>
    </row>
    <row r="264" spans="25:33" x14ac:dyDescent="0.2">
      <c r="Y264" s="41"/>
      <c r="Z264" s="41"/>
      <c r="AA264" s="41"/>
      <c r="AB264" s="41"/>
      <c r="AC264" s="41"/>
      <c r="AD264" s="41"/>
      <c r="AE264" s="41"/>
      <c r="AF264" s="41"/>
      <c r="AG264" s="41"/>
    </row>
    <row r="276" spans="17:33" ht="16" customHeight="1" x14ac:dyDescent="0.2">
      <c r="Q276" s="43" t="s">
        <v>356</v>
      </c>
      <c r="R276" s="41"/>
      <c r="S276" s="41"/>
      <c r="T276" s="41"/>
      <c r="U276" s="41"/>
      <c r="V276" s="41"/>
      <c r="W276" s="41"/>
      <c r="Y276" s="43" t="s">
        <v>342</v>
      </c>
      <c r="Z276" s="41"/>
      <c r="AA276" s="41"/>
      <c r="AB276" s="41"/>
      <c r="AC276" s="41"/>
      <c r="AD276" s="41"/>
      <c r="AE276" s="41"/>
      <c r="AF276" s="41"/>
      <c r="AG276" s="41"/>
    </row>
    <row r="277" spans="17:33" x14ac:dyDescent="0.2">
      <c r="Q277" s="11"/>
      <c r="R277" s="11" t="s">
        <v>343</v>
      </c>
      <c r="S277" s="11" t="s">
        <v>344</v>
      </c>
      <c r="W277" s="11" t="s">
        <v>345</v>
      </c>
    </row>
    <row r="278" spans="17:33" ht="22" customHeight="1" x14ac:dyDescent="0.2">
      <c r="Q278" s="12"/>
      <c r="R278" s="13">
        <v>1</v>
      </c>
      <c r="S278" s="40" t="s">
        <v>71</v>
      </c>
      <c r="T278" s="41"/>
      <c r="U278" s="41"/>
      <c r="V278" s="41"/>
      <c r="W278" s="6" t="s">
        <v>500</v>
      </c>
      <c r="Y278" s="42" t="s">
        <v>348</v>
      </c>
      <c r="Z278" s="41"/>
      <c r="AA278" s="41"/>
      <c r="AB278" s="41"/>
      <c r="AC278" s="41"/>
      <c r="AD278" s="41"/>
      <c r="AE278" s="41"/>
      <c r="AF278" s="41"/>
      <c r="AG278" s="41"/>
    </row>
    <row r="279" spans="17:33" ht="22" customHeight="1" x14ac:dyDescent="0.2">
      <c r="Q279" s="14"/>
      <c r="R279" s="13">
        <v>2</v>
      </c>
      <c r="S279" s="40" t="s">
        <v>49</v>
      </c>
      <c r="T279" s="41"/>
      <c r="U279" s="41"/>
      <c r="V279" s="41"/>
      <c r="W279" s="6" t="s">
        <v>500</v>
      </c>
      <c r="Y279" s="40" t="s">
        <v>501</v>
      </c>
      <c r="Z279" s="41"/>
      <c r="AA279" s="41"/>
      <c r="AB279" s="41"/>
      <c r="AC279" s="41"/>
      <c r="AD279" s="41"/>
      <c r="AE279" s="41"/>
      <c r="AF279" s="41"/>
      <c r="AG279" s="41"/>
    </row>
    <row r="280" spans="17:33" ht="22" customHeight="1" x14ac:dyDescent="0.2">
      <c r="Q280" s="15"/>
      <c r="R280" s="13">
        <v>3</v>
      </c>
      <c r="S280" s="40" t="s">
        <v>163</v>
      </c>
      <c r="T280" s="41"/>
      <c r="U280" s="41"/>
      <c r="V280" s="41"/>
      <c r="W280" s="6" t="s">
        <v>502</v>
      </c>
      <c r="Y280" s="41"/>
      <c r="Z280" s="41"/>
      <c r="AA280" s="41"/>
      <c r="AB280" s="41"/>
      <c r="AC280" s="41"/>
      <c r="AD280" s="41"/>
      <c r="AE280" s="41"/>
      <c r="AF280" s="41"/>
      <c r="AG280" s="41"/>
    </row>
    <row r="281" spans="17:33" ht="22" customHeight="1" x14ac:dyDescent="0.2">
      <c r="Q281" s="16"/>
      <c r="R281" s="13">
        <v>4</v>
      </c>
      <c r="S281" s="40" t="s">
        <v>169</v>
      </c>
      <c r="T281" s="41"/>
      <c r="U281" s="41"/>
      <c r="V281" s="41"/>
      <c r="W281" s="6" t="s">
        <v>503</v>
      </c>
      <c r="Y281" s="41"/>
      <c r="Z281" s="41"/>
      <c r="AA281" s="41"/>
      <c r="AB281" s="41"/>
      <c r="AC281" s="41"/>
      <c r="AD281" s="41"/>
      <c r="AE281" s="41"/>
      <c r="AF281" s="41"/>
      <c r="AG281" s="41"/>
    </row>
    <row r="282" spans="17:33" ht="22" customHeight="1" x14ac:dyDescent="0.2">
      <c r="Q282" s="17"/>
      <c r="R282" s="13">
        <v>5</v>
      </c>
      <c r="S282" s="40" t="s">
        <v>24</v>
      </c>
      <c r="T282" s="41"/>
      <c r="U282" s="41"/>
      <c r="V282" s="41"/>
      <c r="W282" s="6" t="s">
        <v>504</v>
      </c>
      <c r="Y282" s="41"/>
      <c r="Z282" s="41"/>
      <c r="AA282" s="41"/>
      <c r="AB282" s="41"/>
      <c r="AC282" s="41"/>
      <c r="AD282" s="41"/>
      <c r="AE282" s="41"/>
      <c r="AF282" s="41"/>
      <c r="AG282" s="41"/>
    </row>
    <row r="283" spans="17:33" ht="22" customHeight="1" x14ac:dyDescent="0.2">
      <c r="Q283" s="18"/>
      <c r="R283" s="13">
        <v>6</v>
      </c>
      <c r="S283" s="40" t="s">
        <v>37</v>
      </c>
      <c r="T283" s="41"/>
      <c r="U283" s="41"/>
      <c r="V283" s="41"/>
      <c r="W283" s="6" t="s">
        <v>505</v>
      </c>
    </row>
    <row r="284" spans="17:33" ht="22" customHeight="1" x14ac:dyDescent="0.2">
      <c r="Q284" s="19"/>
      <c r="R284" s="13">
        <v>7</v>
      </c>
      <c r="S284" s="40" t="s">
        <v>184</v>
      </c>
      <c r="T284" s="41"/>
      <c r="U284" s="41"/>
      <c r="V284" s="41"/>
      <c r="W284" s="6" t="s">
        <v>505</v>
      </c>
      <c r="Y284" s="42" t="s">
        <v>350</v>
      </c>
      <c r="Z284" s="41"/>
      <c r="AA284" s="41"/>
      <c r="AB284" s="41"/>
      <c r="AC284" s="41"/>
      <c r="AD284" s="41"/>
      <c r="AE284" s="41"/>
      <c r="AF284" s="41"/>
      <c r="AG284" s="41"/>
    </row>
    <row r="285" spans="17:33" ht="22" customHeight="1" x14ac:dyDescent="0.2">
      <c r="Q285" s="20"/>
      <c r="R285" s="13">
        <v>8</v>
      </c>
      <c r="S285" s="40" t="s">
        <v>175</v>
      </c>
      <c r="T285" s="41"/>
      <c r="U285" s="41"/>
      <c r="V285" s="41"/>
      <c r="W285" s="6" t="s">
        <v>506</v>
      </c>
      <c r="Y285" s="40" t="s">
        <v>507</v>
      </c>
      <c r="Z285" s="41"/>
      <c r="AA285" s="41"/>
      <c r="AB285" s="41"/>
      <c r="AC285" s="41"/>
      <c r="AD285" s="41"/>
      <c r="AE285" s="41"/>
      <c r="AF285" s="41"/>
      <c r="AG285" s="41"/>
    </row>
    <row r="286" spans="17:33" ht="22" customHeight="1" x14ac:dyDescent="0.2">
      <c r="Q286" s="21"/>
      <c r="R286" s="13">
        <v>9</v>
      </c>
      <c r="S286" s="40" t="s">
        <v>200</v>
      </c>
      <c r="T286" s="41"/>
      <c r="U286" s="41"/>
      <c r="V286" s="41"/>
      <c r="W286" s="6" t="s">
        <v>506</v>
      </c>
      <c r="Y286" s="41"/>
      <c r="Z286" s="41"/>
      <c r="AA286" s="41"/>
      <c r="AB286" s="41"/>
      <c r="AC286" s="41"/>
      <c r="AD286" s="41"/>
      <c r="AE286" s="41"/>
      <c r="AF286" s="41"/>
      <c r="AG286" s="41"/>
    </row>
    <row r="287" spans="17:33" ht="22" customHeight="1" x14ac:dyDescent="0.2">
      <c r="Q287" s="22"/>
      <c r="R287" s="13">
        <v>10</v>
      </c>
      <c r="S287" s="40" t="s">
        <v>98</v>
      </c>
      <c r="T287" s="41"/>
      <c r="U287" s="41"/>
      <c r="V287" s="41"/>
      <c r="W287" s="6" t="s">
        <v>506</v>
      </c>
      <c r="Y287" s="41"/>
      <c r="Z287" s="41"/>
      <c r="AA287" s="41"/>
      <c r="AB287" s="41"/>
      <c r="AC287" s="41"/>
      <c r="AD287" s="41"/>
      <c r="AE287" s="41"/>
      <c r="AF287" s="41"/>
      <c r="AG287" s="41"/>
    </row>
    <row r="288" spans="17:33" ht="22" customHeight="1" x14ac:dyDescent="0.2">
      <c r="Q288" s="23"/>
      <c r="R288" s="13">
        <v>11</v>
      </c>
      <c r="S288" s="40" t="s">
        <v>301</v>
      </c>
      <c r="T288" s="41"/>
      <c r="U288" s="41"/>
      <c r="V288" s="41"/>
      <c r="W288" s="6" t="s">
        <v>506</v>
      </c>
      <c r="Y288" s="41"/>
      <c r="Z288" s="41"/>
      <c r="AA288" s="41"/>
      <c r="AB288" s="41"/>
      <c r="AC288" s="41"/>
      <c r="AD288" s="41"/>
      <c r="AE288" s="41"/>
      <c r="AF288" s="41"/>
      <c r="AG288" s="41"/>
    </row>
    <row r="289" spans="17:33" ht="22" customHeight="1" x14ac:dyDescent="0.2">
      <c r="Q289" s="24"/>
      <c r="R289" s="13">
        <v>12</v>
      </c>
      <c r="S289" s="40" t="s">
        <v>178</v>
      </c>
      <c r="T289" s="41"/>
      <c r="U289" s="41"/>
      <c r="V289" s="41"/>
      <c r="W289" s="6" t="s">
        <v>508</v>
      </c>
    </row>
    <row r="290" spans="17:33" ht="22" customHeight="1" x14ac:dyDescent="0.2">
      <c r="Q290" s="12"/>
      <c r="R290" s="13">
        <v>13</v>
      </c>
      <c r="S290" s="40" t="s">
        <v>46</v>
      </c>
      <c r="T290" s="41"/>
      <c r="U290" s="41"/>
      <c r="V290" s="41"/>
      <c r="W290" s="6" t="s">
        <v>508</v>
      </c>
      <c r="Y290" s="42" t="s">
        <v>352</v>
      </c>
      <c r="Z290" s="41"/>
      <c r="AA290" s="41"/>
      <c r="AB290" s="41"/>
      <c r="AC290" s="41"/>
      <c r="AD290" s="41"/>
      <c r="AE290" s="41"/>
      <c r="AF290" s="41"/>
      <c r="AG290" s="41"/>
    </row>
    <row r="291" spans="17:33" ht="22" customHeight="1" x14ac:dyDescent="0.2">
      <c r="Q291" s="14"/>
      <c r="R291" s="13">
        <v>14</v>
      </c>
      <c r="S291" s="40" t="s">
        <v>314</v>
      </c>
      <c r="T291" s="41"/>
      <c r="U291" s="41"/>
      <c r="V291" s="41"/>
      <c r="W291" s="6" t="s">
        <v>508</v>
      </c>
      <c r="Y291" s="40" t="s">
        <v>509</v>
      </c>
      <c r="Z291" s="41"/>
      <c r="AA291" s="41"/>
      <c r="AB291" s="41"/>
      <c r="AC291" s="41"/>
      <c r="AD291" s="41"/>
      <c r="AE291" s="41"/>
      <c r="AF291" s="41"/>
      <c r="AG291" s="41"/>
    </row>
    <row r="292" spans="17:33" ht="22" customHeight="1" x14ac:dyDescent="0.2">
      <c r="Q292" s="15"/>
      <c r="R292" s="13">
        <v>15</v>
      </c>
      <c r="S292" s="40" t="s">
        <v>93</v>
      </c>
      <c r="T292" s="41"/>
      <c r="U292" s="41"/>
      <c r="V292" s="41"/>
      <c r="W292" s="6" t="s">
        <v>508</v>
      </c>
      <c r="Y292" s="41"/>
      <c r="Z292" s="41"/>
      <c r="AA292" s="41"/>
      <c r="AB292" s="41"/>
      <c r="AC292" s="41"/>
      <c r="AD292" s="41"/>
      <c r="AE292" s="41"/>
      <c r="AF292" s="41"/>
      <c r="AG292" s="41"/>
    </row>
    <row r="293" spans="17:33" ht="22" customHeight="1" x14ac:dyDescent="0.2">
      <c r="Q293" s="16"/>
      <c r="R293" s="13">
        <v>16</v>
      </c>
      <c r="S293" s="40" t="s">
        <v>181</v>
      </c>
      <c r="T293" s="41"/>
      <c r="U293" s="41"/>
      <c r="V293" s="41"/>
      <c r="W293" s="6" t="s">
        <v>510</v>
      </c>
      <c r="Y293" s="41"/>
      <c r="Z293" s="41"/>
      <c r="AA293" s="41"/>
      <c r="AB293" s="41"/>
      <c r="AC293" s="41"/>
      <c r="AD293" s="41"/>
      <c r="AE293" s="41"/>
      <c r="AF293" s="41"/>
      <c r="AG293" s="41"/>
    </row>
    <row r="294" spans="17:33" ht="22" customHeight="1" x14ac:dyDescent="0.2">
      <c r="Q294" s="17"/>
      <c r="R294" s="13">
        <v>17</v>
      </c>
      <c r="S294" s="40" t="s">
        <v>204</v>
      </c>
      <c r="T294" s="41"/>
      <c r="U294" s="41"/>
      <c r="V294" s="41"/>
      <c r="W294" s="6" t="s">
        <v>510</v>
      </c>
      <c r="Y294" s="41"/>
      <c r="Z294" s="41"/>
      <c r="AA294" s="41"/>
      <c r="AB294" s="41"/>
      <c r="AC294" s="41"/>
      <c r="AD294" s="41"/>
      <c r="AE294" s="41"/>
      <c r="AF294" s="41"/>
      <c r="AG294" s="41"/>
    </row>
    <row r="295" spans="17:33" ht="22" customHeight="1" x14ac:dyDescent="0.2">
      <c r="Q295" s="18"/>
      <c r="R295" s="13">
        <v>18</v>
      </c>
      <c r="S295" s="40" t="s">
        <v>251</v>
      </c>
      <c r="T295" s="41"/>
      <c r="U295" s="41"/>
      <c r="V295" s="41"/>
      <c r="W295" s="6" t="s">
        <v>510</v>
      </c>
    </row>
    <row r="296" spans="17:33" ht="22" customHeight="1" x14ac:dyDescent="0.2">
      <c r="Q296" s="19"/>
      <c r="R296" s="13">
        <v>19</v>
      </c>
      <c r="S296" s="40" t="s">
        <v>56</v>
      </c>
      <c r="T296" s="41"/>
      <c r="U296" s="41"/>
      <c r="V296" s="41"/>
      <c r="W296" s="6" t="s">
        <v>510</v>
      </c>
    </row>
    <row r="297" spans="17:33" ht="22" customHeight="1" x14ac:dyDescent="0.2">
      <c r="Q297" s="20"/>
      <c r="R297" s="13">
        <v>20</v>
      </c>
      <c r="S297" s="40" t="s">
        <v>141</v>
      </c>
      <c r="T297" s="41"/>
      <c r="U297" s="41"/>
      <c r="V297" s="41"/>
      <c r="W297" s="6" t="s">
        <v>510</v>
      </c>
    </row>
    <row r="298" spans="17:33" ht="22" customHeight="1" x14ac:dyDescent="0.2">
      <c r="Q298" s="21"/>
      <c r="R298" s="13">
        <v>21</v>
      </c>
      <c r="S298" s="40" t="s">
        <v>32</v>
      </c>
      <c r="T298" s="41"/>
      <c r="U298" s="41"/>
      <c r="V298" s="41"/>
      <c r="W298" s="6" t="s">
        <v>510</v>
      </c>
    </row>
    <row r="299" spans="17:33" ht="22" customHeight="1" x14ac:dyDescent="0.2">
      <c r="Q299" s="22"/>
      <c r="R299" s="13">
        <v>22</v>
      </c>
      <c r="S299" s="40" t="s">
        <v>172</v>
      </c>
      <c r="T299" s="41"/>
      <c r="U299" s="41"/>
      <c r="V299" s="41"/>
      <c r="W299" s="6" t="s">
        <v>510</v>
      </c>
    </row>
    <row r="300" spans="17:33" ht="22" customHeight="1" x14ac:dyDescent="0.2">
      <c r="Q300" s="23"/>
      <c r="R300" s="13">
        <v>23</v>
      </c>
      <c r="S300" s="40" t="s">
        <v>195</v>
      </c>
      <c r="T300" s="41"/>
      <c r="U300" s="41"/>
      <c r="V300" s="41"/>
      <c r="W300" s="6" t="s">
        <v>510</v>
      </c>
    </row>
    <row r="301" spans="17:33" ht="22" customHeight="1" x14ac:dyDescent="0.2">
      <c r="Q301" s="24"/>
      <c r="R301" s="13">
        <v>24</v>
      </c>
      <c r="S301" s="40" t="s">
        <v>311</v>
      </c>
      <c r="T301" s="41"/>
      <c r="U301" s="41"/>
      <c r="V301" s="41"/>
      <c r="W301" s="6" t="s">
        <v>510</v>
      </c>
    </row>
    <row r="302" spans="17:33" ht="22" customHeight="1" x14ac:dyDescent="0.2">
      <c r="Q302" s="12"/>
      <c r="R302" s="13">
        <v>25</v>
      </c>
      <c r="S302" s="40" t="s">
        <v>155</v>
      </c>
      <c r="T302" s="41"/>
      <c r="U302" s="41"/>
      <c r="V302" s="41"/>
      <c r="W302" s="6" t="s">
        <v>510</v>
      </c>
    </row>
    <row r="303" spans="17:33" ht="22" customHeight="1" x14ac:dyDescent="0.2">
      <c r="Q303" s="14"/>
      <c r="R303" s="13">
        <v>26</v>
      </c>
      <c r="S303" s="40" t="s">
        <v>159</v>
      </c>
      <c r="T303" s="41"/>
      <c r="U303" s="41"/>
      <c r="V303" s="41"/>
      <c r="W303" s="6" t="s">
        <v>510</v>
      </c>
    </row>
    <row r="304" spans="17:33" ht="22" customHeight="1" x14ac:dyDescent="0.2">
      <c r="Q304" s="15"/>
      <c r="R304" s="13">
        <v>27</v>
      </c>
      <c r="S304" s="40" t="s">
        <v>130</v>
      </c>
      <c r="T304" s="41"/>
      <c r="U304" s="41"/>
      <c r="V304" s="41"/>
      <c r="W304" s="6" t="s">
        <v>510</v>
      </c>
    </row>
    <row r="305" spans="17:23" ht="22" customHeight="1" x14ac:dyDescent="0.2">
      <c r="Q305" s="16"/>
      <c r="R305" s="13">
        <v>28</v>
      </c>
      <c r="S305" s="40" t="s">
        <v>277</v>
      </c>
      <c r="T305" s="41"/>
      <c r="U305" s="41"/>
      <c r="V305" s="41"/>
      <c r="W305" s="6" t="s">
        <v>511</v>
      </c>
    </row>
    <row r="306" spans="17:23" ht="22" customHeight="1" x14ac:dyDescent="0.2">
      <c r="Q306" s="17"/>
      <c r="R306" s="13">
        <v>29</v>
      </c>
      <c r="S306" s="40" t="s">
        <v>248</v>
      </c>
      <c r="T306" s="41"/>
      <c r="U306" s="41"/>
      <c r="V306" s="41"/>
      <c r="W306" s="6" t="s">
        <v>511</v>
      </c>
    </row>
    <row r="307" spans="17:23" ht="22" customHeight="1" x14ac:dyDescent="0.2">
      <c r="Q307" s="18"/>
      <c r="R307" s="13">
        <v>30</v>
      </c>
      <c r="S307" s="40" t="s">
        <v>127</v>
      </c>
      <c r="T307" s="41"/>
      <c r="U307" s="41"/>
      <c r="V307" s="41"/>
      <c r="W307" s="6" t="s">
        <v>511</v>
      </c>
    </row>
    <row r="308" spans="17:23" ht="22" customHeight="1" x14ac:dyDescent="0.2">
      <c r="Q308" s="19"/>
      <c r="R308" s="13">
        <v>31</v>
      </c>
      <c r="S308" s="40" t="s">
        <v>40</v>
      </c>
      <c r="T308" s="41"/>
      <c r="U308" s="41"/>
      <c r="V308" s="41"/>
      <c r="W308" s="6" t="s">
        <v>511</v>
      </c>
    </row>
    <row r="309" spans="17:23" ht="22" customHeight="1" x14ac:dyDescent="0.2">
      <c r="Q309" s="20"/>
      <c r="R309" s="13">
        <v>32</v>
      </c>
      <c r="S309" s="40" t="s">
        <v>112</v>
      </c>
      <c r="T309" s="41"/>
      <c r="U309" s="41"/>
      <c r="V309" s="41"/>
      <c r="W309" s="6" t="s">
        <v>511</v>
      </c>
    </row>
    <row r="310" spans="17:23" ht="22" customHeight="1" x14ac:dyDescent="0.2">
      <c r="Q310" s="21"/>
      <c r="R310" s="13">
        <v>33</v>
      </c>
      <c r="S310" s="40" t="s">
        <v>237</v>
      </c>
      <c r="T310" s="41"/>
      <c r="U310" s="41"/>
      <c r="V310" s="41"/>
      <c r="W310" s="6" t="s">
        <v>511</v>
      </c>
    </row>
    <row r="311" spans="17:23" ht="22" customHeight="1" x14ac:dyDescent="0.2">
      <c r="Q311" s="22"/>
      <c r="R311" s="13">
        <v>34</v>
      </c>
      <c r="S311" s="40" t="s">
        <v>85</v>
      </c>
      <c r="T311" s="41"/>
      <c r="U311" s="41"/>
      <c r="V311" s="41"/>
      <c r="W311" s="6" t="s">
        <v>511</v>
      </c>
    </row>
    <row r="312" spans="17:23" ht="22" customHeight="1" x14ac:dyDescent="0.2">
      <c r="Q312" s="23"/>
      <c r="R312" s="13">
        <v>35</v>
      </c>
      <c r="S312" s="40" t="s">
        <v>274</v>
      </c>
      <c r="T312" s="41"/>
      <c r="U312" s="41"/>
      <c r="V312" s="41"/>
      <c r="W312" s="6" t="s">
        <v>511</v>
      </c>
    </row>
    <row r="313" spans="17:23" ht="22" customHeight="1" x14ac:dyDescent="0.2">
      <c r="Q313" s="24"/>
      <c r="R313" s="13">
        <v>36</v>
      </c>
      <c r="S313" s="40" t="s">
        <v>116</v>
      </c>
      <c r="T313" s="41"/>
      <c r="U313" s="41"/>
      <c r="V313" s="41"/>
      <c r="W313" s="6" t="s">
        <v>511</v>
      </c>
    </row>
    <row r="314" spans="17:23" ht="22" customHeight="1" x14ac:dyDescent="0.2">
      <c r="Q314" s="12"/>
      <c r="R314" s="13">
        <v>37</v>
      </c>
      <c r="S314" s="40" t="s">
        <v>308</v>
      </c>
      <c r="T314" s="41"/>
      <c r="U314" s="41"/>
      <c r="V314" s="41"/>
      <c r="W314" s="6" t="s">
        <v>511</v>
      </c>
    </row>
    <row r="315" spans="17:23" ht="22" customHeight="1" x14ac:dyDescent="0.2">
      <c r="Q315" s="14"/>
      <c r="R315" s="13">
        <v>38</v>
      </c>
      <c r="S315" s="40" t="s">
        <v>77</v>
      </c>
      <c r="T315" s="41"/>
      <c r="U315" s="41"/>
      <c r="V315" s="41"/>
      <c r="W315" s="6" t="s">
        <v>511</v>
      </c>
    </row>
    <row r="316" spans="17:23" ht="22" customHeight="1" x14ac:dyDescent="0.2">
      <c r="Q316" s="15"/>
      <c r="R316" s="13">
        <v>39</v>
      </c>
      <c r="S316" s="40" t="s">
        <v>227</v>
      </c>
      <c r="T316" s="41"/>
      <c r="U316" s="41"/>
      <c r="V316" s="41"/>
      <c r="W316" s="6" t="s">
        <v>511</v>
      </c>
    </row>
    <row r="317" spans="17:23" ht="22" customHeight="1" x14ac:dyDescent="0.2">
      <c r="Q317" s="16"/>
      <c r="R317" s="13">
        <v>40</v>
      </c>
      <c r="S317" s="40" t="s">
        <v>64</v>
      </c>
      <c r="T317" s="41"/>
      <c r="U317" s="41"/>
      <c r="V317" s="41"/>
      <c r="W317" s="6" t="s">
        <v>511</v>
      </c>
    </row>
    <row r="318" spans="17:23" ht="22" customHeight="1" x14ac:dyDescent="0.2">
      <c r="Q318" s="17"/>
      <c r="R318" s="13">
        <v>41</v>
      </c>
      <c r="S318" s="40" t="s">
        <v>245</v>
      </c>
      <c r="T318" s="41"/>
      <c r="U318" s="41"/>
      <c r="V318" s="41"/>
      <c r="W318" s="6" t="s">
        <v>511</v>
      </c>
    </row>
    <row r="319" spans="17:23" ht="22" customHeight="1" x14ac:dyDescent="0.2">
      <c r="Q319" s="18"/>
      <c r="R319" s="13">
        <v>42</v>
      </c>
      <c r="S319" s="40" t="s">
        <v>268</v>
      </c>
      <c r="T319" s="41"/>
      <c r="U319" s="41"/>
      <c r="V319" s="41"/>
      <c r="W319" s="6" t="s">
        <v>511</v>
      </c>
    </row>
    <row r="320" spans="17:23" ht="22" customHeight="1" x14ac:dyDescent="0.2">
      <c r="Q320" s="19"/>
      <c r="R320" s="13">
        <v>43</v>
      </c>
      <c r="S320" s="40" t="s">
        <v>240</v>
      </c>
      <c r="T320" s="41"/>
      <c r="U320" s="41"/>
      <c r="V320" s="41"/>
      <c r="W320" s="6" t="s">
        <v>511</v>
      </c>
    </row>
    <row r="321" spans="17:23" ht="22" customHeight="1" x14ac:dyDescent="0.2">
      <c r="Q321" s="20"/>
      <c r="R321" s="13">
        <v>44</v>
      </c>
      <c r="S321" s="40" t="s">
        <v>280</v>
      </c>
      <c r="T321" s="41"/>
      <c r="U321" s="41"/>
      <c r="V321" s="41"/>
      <c r="W321" s="6" t="s">
        <v>511</v>
      </c>
    </row>
    <row r="322" spans="17:23" ht="22" customHeight="1" x14ac:dyDescent="0.2">
      <c r="Q322" s="21"/>
      <c r="R322" s="13">
        <v>45</v>
      </c>
      <c r="S322" s="40" t="s">
        <v>320</v>
      </c>
      <c r="T322" s="41"/>
      <c r="U322" s="41"/>
      <c r="V322" s="41"/>
      <c r="W322" s="6" t="s">
        <v>511</v>
      </c>
    </row>
    <row r="323" spans="17:23" ht="22" customHeight="1" x14ac:dyDescent="0.2">
      <c r="Q323" s="22"/>
      <c r="R323" s="13">
        <v>46</v>
      </c>
      <c r="S323" s="40" t="s">
        <v>146</v>
      </c>
      <c r="T323" s="41"/>
      <c r="U323" s="41"/>
      <c r="V323" s="41"/>
      <c r="W323" s="6" t="s">
        <v>511</v>
      </c>
    </row>
    <row r="324" spans="17:23" ht="22" customHeight="1" x14ac:dyDescent="0.2">
      <c r="Q324" s="23"/>
      <c r="R324" s="13">
        <v>47</v>
      </c>
      <c r="S324" s="40" t="s">
        <v>258</v>
      </c>
      <c r="T324" s="41"/>
      <c r="U324" s="41"/>
      <c r="V324" s="41"/>
      <c r="W324" s="6" t="s">
        <v>511</v>
      </c>
    </row>
    <row r="325" spans="17:23" ht="22" customHeight="1" x14ac:dyDescent="0.2">
      <c r="Q325" s="24"/>
      <c r="R325" s="13">
        <v>48</v>
      </c>
      <c r="S325" s="40" t="s">
        <v>152</v>
      </c>
      <c r="T325" s="41"/>
      <c r="U325" s="41"/>
      <c r="V325" s="41"/>
      <c r="W325" s="6" t="s">
        <v>511</v>
      </c>
    </row>
    <row r="326" spans="17:23" ht="22" customHeight="1" x14ac:dyDescent="0.2">
      <c r="Q326" s="12"/>
      <c r="R326" s="13">
        <v>49</v>
      </c>
      <c r="S326" s="40" t="s">
        <v>149</v>
      </c>
      <c r="T326" s="41"/>
      <c r="U326" s="41"/>
      <c r="V326" s="41"/>
      <c r="W326" s="6" t="s">
        <v>511</v>
      </c>
    </row>
    <row r="327" spans="17:23" ht="22" customHeight="1" x14ac:dyDescent="0.2">
      <c r="Q327" s="14"/>
      <c r="R327" s="13">
        <v>50</v>
      </c>
      <c r="S327" s="40" t="s">
        <v>287</v>
      </c>
      <c r="T327" s="41"/>
      <c r="U327" s="41"/>
      <c r="V327" s="41"/>
      <c r="W327" s="6" t="s">
        <v>511</v>
      </c>
    </row>
    <row r="328" spans="17:23" ht="22" customHeight="1" x14ac:dyDescent="0.2">
      <c r="Q328" s="15"/>
      <c r="R328" s="13">
        <v>51</v>
      </c>
      <c r="S328" s="40" t="s">
        <v>87</v>
      </c>
      <c r="T328" s="41"/>
      <c r="U328" s="41"/>
      <c r="V328" s="41"/>
      <c r="W328" s="6" t="s">
        <v>511</v>
      </c>
    </row>
    <row r="329" spans="17:23" ht="22" customHeight="1" x14ac:dyDescent="0.2">
      <c r="Q329" s="16"/>
      <c r="R329" s="13">
        <v>52</v>
      </c>
      <c r="S329" s="40" t="s">
        <v>29</v>
      </c>
      <c r="T329" s="41"/>
      <c r="U329" s="41"/>
      <c r="V329" s="41"/>
      <c r="W329" s="6" t="s">
        <v>511</v>
      </c>
    </row>
    <row r="330" spans="17:23" ht="22" customHeight="1" x14ac:dyDescent="0.2">
      <c r="Q330" s="17"/>
      <c r="R330" s="13">
        <v>53</v>
      </c>
      <c r="S330" s="40" t="s">
        <v>234</v>
      </c>
      <c r="T330" s="41"/>
      <c r="U330" s="41"/>
      <c r="V330" s="41"/>
      <c r="W330" s="6" t="s">
        <v>511</v>
      </c>
    </row>
    <row r="331" spans="17:23" ht="22" customHeight="1" x14ac:dyDescent="0.2">
      <c r="Q331" s="18"/>
      <c r="R331" s="13">
        <v>54</v>
      </c>
      <c r="S331" s="40" t="s">
        <v>105</v>
      </c>
      <c r="T331" s="41"/>
      <c r="U331" s="41"/>
      <c r="V331" s="41"/>
      <c r="W331" s="6" t="s">
        <v>511</v>
      </c>
    </row>
    <row r="332" spans="17:23" ht="22" customHeight="1" x14ac:dyDescent="0.2">
      <c r="Q332" s="19"/>
      <c r="R332" s="13">
        <v>55</v>
      </c>
      <c r="S332" s="40" t="s">
        <v>296</v>
      </c>
      <c r="T332" s="41"/>
      <c r="U332" s="41"/>
      <c r="V332" s="41"/>
      <c r="W332" s="6" t="s">
        <v>511</v>
      </c>
    </row>
    <row r="333" spans="17:23" ht="22" customHeight="1" x14ac:dyDescent="0.2">
      <c r="Q333" s="20"/>
      <c r="R333" s="13">
        <v>56</v>
      </c>
      <c r="S333" s="40" t="s">
        <v>136</v>
      </c>
      <c r="T333" s="41"/>
      <c r="U333" s="41"/>
      <c r="V333" s="41"/>
      <c r="W333" s="6" t="s">
        <v>511</v>
      </c>
    </row>
    <row r="334" spans="17:23" ht="22" customHeight="1" x14ac:dyDescent="0.2">
      <c r="Q334" s="21"/>
      <c r="R334" s="13">
        <v>57</v>
      </c>
      <c r="S334" s="40" t="s">
        <v>123</v>
      </c>
      <c r="T334" s="41"/>
      <c r="U334" s="41"/>
      <c r="V334" s="41"/>
      <c r="W334" s="6" t="s">
        <v>511</v>
      </c>
    </row>
  </sheetData>
  <mergeCells count="260">
    <mergeCell ref="S332:V332"/>
    <mergeCell ref="S156:V156"/>
    <mergeCell ref="S301:V301"/>
    <mergeCell ref="S188:V188"/>
    <mergeCell ref="Y108:AG108"/>
    <mergeCell ref="Y254:AG254"/>
    <mergeCell ref="Y248:AG248"/>
    <mergeCell ref="S189:V189"/>
    <mergeCell ref="S316:V316"/>
    <mergeCell ref="S198:V198"/>
    <mergeCell ref="Y207:AG210"/>
    <mergeCell ref="S244:V244"/>
    <mergeCell ref="S182:V182"/>
    <mergeCell ref="S300:V300"/>
    <mergeCell ref="S287:V287"/>
    <mergeCell ref="Y157:AG160"/>
    <mergeCell ref="Y240:AG240"/>
    <mergeCell ref="S190:V190"/>
    <mergeCell ref="S215:V215"/>
    <mergeCell ref="S289:V289"/>
    <mergeCell ref="S304:V304"/>
    <mergeCell ref="Y224:AG224"/>
    <mergeCell ref="S152:V152"/>
    <mergeCell ref="S196:V196"/>
    <mergeCell ref="S197:V197"/>
    <mergeCell ref="S330:V330"/>
    <mergeCell ref="S324:V324"/>
    <mergeCell ref="Y23:AG26"/>
    <mergeCell ref="Y115:AG118"/>
    <mergeCell ref="Y46:AG46"/>
    <mergeCell ref="S187:V187"/>
    <mergeCell ref="Y28:AG28"/>
    <mergeCell ref="S56:V56"/>
    <mergeCell ref="S90:V90"/>
    <mergeCell ref="S174:V174"/>
    <mergeCell ref="Y29:AG32"/>
    <mergeCell ref="S82:V82"/>
    <mergeCell ref="S66:V66"/>
    <mergeCell ref="Y58:AG58"/>
    <mergeCell ref="S68:V68"/>
    <mergeCell ref="Y109:AG112"/>
    <mergeCell ref="S288:V288"/>
    <mergeCell ref="S171:V171"/>
    <mergeCell ref="S84:V84"/>
    <mergeCell ref="S328:V328"/>
    <mergeCell ref="S166:V166"/>
    <mergeCell ref="Y279:AG282"/>
    <mergeCell ref="S67:V67"/>
    <mergeCell ref="S331:V331"/>
    <mergeCell ref="S101:V101"/>
    <mergeCell ref="S318:V318"/>
    <mergeCell ref="S185:V185"/>
    <mergeCell ref="Y162:AG162"/>
    <mergeCell ref="Y219:AG222"/>
    <mergeCell ref="S199:V199"/>
    <mergeCell ref="S303:V303"/>
    <mergeCell ref="S326:V326"/>
    <mergeCell ref="S290:V290"/>
    <mergeCell ref="S312:V312"/>
    <mergeCell ref="S208:V208"/>
    <mergeCell ref="S186:V186"/>
    <mergeCell ref="S299:V299"/>
    <mergeCell ref="Y106:AG106"/>
    <mergeCell ref="S69:V69"/>
    <mergeCell ref="Y212:AG212"/>
    <mergeCell ref="S279:V279"/>
    <mergeCell ref="S78:V78"/>
    <mergeCell ref="S314:V314"/>
    <mergeCell ref="S327:V327"/>
    <mergeCell ref="S214:V214"/>
    <mergeCell ref="Y53:AG56"/>
    <mergeCell ref="Y47:AG50"/>
    <mergeCell ref="Y127:AG130"/>
    <mergeCell ref="S155:V155"/>
    <mergeCell ref="S93:V93"/>
    <mergeCell ref="S213:V213"/>
    <mergeCell ref="S102:V102"/>
    <mergeCell ref="S247:V247"/>
    <mergeCell ref="Y120:AG120"/>
    <mergeCell ref="S77:V77"/>
    <mergeCell ref="S52:V52"/>
    <mergeCell ref="S170:V170"/>
    <mergeCell ref="S86:V86"/>
    <mergeCell ref="S179:V179"/>
    <mergeCell ref="S53:V53"/>
    <mergeCell ref="Y249:AG252"/>
    <mergeCell ref="Y276:AG276"/>
    <mergeCell ref="S298:V298"/>
    <mergeCell ref="S313:V313"/>
    <mergeCell ref="S80:V80"/>
    <mergeCell ref="S285:V285"/>
    <mergeCell ref="S172:V172"/>
    <mergeCell ref="S310:V310"/>
    <mergeCell ref="S284:V284"/>
    <mergeCell ref="Y151:AG154"/>
    <mergeCell ref="Y163:AG166"/>
    <mergeCell ref="Y22:AG22"/>
    <mergeCell ref="Y144:AG144"/>
    <mergeCell ref="S212:V212"/>
    <mergeCell ref="S294:V294"/>
    <mergeCell ref="S50:V50"/>
    <mergeCell ref="Y218:AG218"/>
    <mergeCell ref="S286:V286"/>
    <mergeCell ref="S168:V168"/>
    <mergeCell ref="S51:V51"/>
    <mergeCell ref="S60:V60"/>
    <mergeCell ref="S91:V91"/>
    <mergeCell ref="S184:V184"/>
    <mergeCell ref="S100:V100"/>
    <mergeCell ref="Q44:W44"/>
    <mergeCell ref="Y44:AG44"/>
    <mergeCell ref="S55:V55"/>
    <mergeCell ref="S64:V64"/>
    <mergeCell ref="S148:V148"/>
    <mergeCell ref="S162:V162"/>
    <mergeCell ref="S54:V54"/>
    <mergeCell ref="S70:V70"/>
    <mergeCell ref="Y156:AG156"/>
    <mergeCell ref="S48:V48"/>
    <mergeCell ref="Y8:AG8"/>
    <mergeCell ref="Y126:AG126"/>
    <mergeCell ref="S111:V111"/>
    <mergeCell ref="S200:V200"/>
    <mergeCell ref="S194:V194"/>
    <mergeCell ref="S209:V209"/>
    <mergeCell ref="S181:V181"/>
    <mergeCell ref="S160:V160"/>
    <mergeCell ref="S175:V175"/>
    <mergeCell ref="S87:V87"/>
    <mergeCell ref="S49:V49"/>
    <mergeCell ref="S97:V97"/>
    <mergeCell ref="S10:V10"/>
    <mergeCell ref="S195:V195"/>
    <mergeCell ref="S89:V89"/>
    <mergeCell ref="S65:V65"/>
    <mergeCell ref="S74:V74"/>
    <mergeCell ref="S157:V157"/>
    <mergeCell ref="Q8:W8"/>
    <mergeCell ref="S88:V88"/>
    <mergeCell ref="S63:V63"/>
    <mergeCell ref="S334:V334"/>
    <mergeCell ref="S163:V163"/>
    <mergeCell ref="Q276:W276"/>
    <mergeCell ref="S319:V319"/>
    <mergeCell ref="S309:V309"/>
    <mergeCell ref="Y145:AG148"/>
    <mergeCell ref="S76:V76"/>
    <mergeCell ref="S85:V85"/>
    <mergeCell ref="S94:V94"/>
    <mergeCell ref="S183:V183"/>
    <mergeCell ref="S296:V296"/>
    <mergeCell ref="S246:V246"/>
    <mergeCell ref="S311:V311"/>
    <mergeCell ref="S109:V109"/>
    <mergeCell ref="S167:V167"/>
    <mergeCell ref="S149:V149"/>
    <mergeCell ref="S280:V280"/>
    <mergeCell ref="S320:V320"/>
    <mergeCell ref="S110:V110"/>
    <mergeCell ref="Y255:AG258"/>
    <mergeCell ref="Q106:W106"/>
    <mergeCell ref="S295:V295"/>
    <mergeCell ref="Y285:AG288"/>
    <mergeCell ref="Q204:W204"/>
    <mergeCell ref="S333:V333"/>
    <mergeCell ref="Y59:AG62"/>
    <mergeCell ref="S112:V112"/>
    <mergeCell ref="Y142:AG142"/>
    <mergeCell ref="S146:V146"/>
    <mergeCell ref="S317:V317"/>
    <mergeCell ref="Y114:AG114"/>
    <mergeCell ref="S99:V99"/>
    <mergeCell ref="S151:V151"/>
    <mergeCell ref="S83:V83"/>
    <mergeCell ref="S154:V154"/>
    <mergeCell ref="S325:V325"/>
    <mergeCell ref="S92:V92"/>
    <mergeCell ref="S206:V206"/>
    <mergeCell ref="S75:V75"/>
    <mergeCell ref="S59:V59"/>
    <mergeCell ref="S169:V169"/>
    <mergeCell ref="S282:V282"/>
    <mergeCell ref="S297:V297"/>
    <mergeCell ref="Y121:AG124"/>
    <mergeCell ref="S165:V165"/>
    <mergeCell ref="S180:V180"/>
    <mergeCell ref="S291:V291"/>
    <mergeCell ref="Y278:AG278"/>
    <mergeCell ref="S62:V62"/>
    <mergeCell ref="Y204:AG204"/>
    <mergeCell ref="S96:V96"/>
    <mergeCell ref="A1:AG2"/>
    <mergeCell ref="S71:V71"/>
    <mergeCell ref="Y261:AG264"/>
    <mergeCell ref="Y284:AG284"/>
    <mergeCell ref="S145:V145"/>
    <mergeCell ref="S58:V58"/>
    <mergeCell ref="S176:V176"/>
    <mergeCell ref="Y150:AG150"/>
    <mergeCell ref="Y206:AG206"/>
    <mergeCell ref="S98:V98"/>
    <mergeCell ref="S73:V73"/>
    <mergeCell ref="Q142:W142"/>
    <mergeCell ref="S191:V191"/>
    <mergeCell ref="S243:V243"/>
    <mergeCell ref="S278:V278"/>
    <mergeCell ref="Y17:AG20"/>
    <mergeCell ref="Y11:AG14"/>
    <mergeCell ref="S57:V57"/>
    <mergeCell ref="S47:V47"/>
    <mergeCell ref="S46:V46"/>
    <mergeCell ref="S61:V61"/>
    <mergeCell ref="Y242:AG242"/>
    <mergeCell ref="S72:V72"/>
    <mergeCell ref="S177:V177"/>
    <mergeCell ref="S192:V192"/>
    <mergeCell ref="S305:V305"/>
    <mergeCell ref="S81:V81"/>
    <mergeCell ref="S323:V323"/>
    <mergeCell ref="S164:V164"/>
    <mergeCell ref="S292:V292"/>
    <mergeCell ref="S161:V161"/>
    <mergeCell ref="S173:V173"/>
    <mergeCell ref="S307:V307"/>
    <mergeCell ref="S322:V322"/>
    <mergeCell ref="S293:V293"/>
    <mergeCell ref="Y260:AG260"/>
    <mergeCell ref="S283:V283"/>
    <mergeCell ref="Y291:AG294"/>
    <mergeCell ref="Y243:AG246"/>
    <mergeCell ref="Q240:W240"/>
    <mergeCell ref="S211:V211"/>
    <mergeCell ref="S245:V245"/>
    <mergeCell ref="S308:V308"/>
    <mergeCell ref="Y290:AG290"/>
    <mergeCell ref="Y213:AG216"/>
    <mergeCell ref="S207:V207"/>
    <mergeCell ref="S158:V158"/>
    <mergeCell ref="S329:V329"/>
    <mergeCell ref="S210:V210"/>
    <mergeCell ref="S281:V281"/>
    <mergeCell ref="Y10:AG10"/>
    <mergeCell ref="S108:V108"/>
    <mergeCell ref="S95:V95"/>
    <mergeCell ref="S178:V178"/>
    <mergeCell ref="S147:V147"/>
    <mergeCell ref="Y16:AG16"/>
    <mergeCell ref="S79:V79"/>
    <mergeCell ref="S193:V193"/>
    <mergeCell ref="S150:V150"/>
    <mergeCell ref="S306:V306"/>
    <mergeCell ref="S321:V321"/>
    <mergeCell ref="Y52:AG52"/>
    <mergeCell ref="S144:V144"/>
    <mergeCell ref="S159:V159"/>
    <mergeCell ref="S315:V315"/>
    <mergeCell ref="S153:V153"/>
    <mergeCell ref="S242:V242"/>
    <mergeCell ref="Y225:AG228"/>
    <mergeCell ref="S302:V302"/>
  </mergeCells>
  <pageMargins left="0.75" right="0.75" top="1" bottom="1" header="0.5" footer="0.5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D59"/>
  <sheetViews>
    <sheetView workbookViewId="0"/>
  </sheetViews>
  <sheetFormatPr baseColWidth="10" defaultColWidth="8.83203125" defaultRowHeight="15" x14ac:dyDescent="0.2"/>
  <sheetData>
    <row r="1" spans="1:30" x14ac:dyDescent="0.2">
      <c r="A1" s="26" t="s">
        <v>512</v>
      </c>
      <c r="E1" s="26" t="s">
        <v>513</v>
      </c>
      <c r="I1" s="26" t="s">
        <v>514</v>
      </c>
      <c r="M1" s="26" t="s">
        <v>515</v>
      </c>
      <c r="Q1" s="26" t="s">
        <v>516</v>
      </c>
      <c r="U1" s="26" t="s">
        <v>517</v>
      </c>
      <c r="Y1" s="26" t="s">
        <v>518</v>
      </c>
    </row>
    <row r="2" spans="1:30" x14ac:dyDescent="0.2">
      <c r="A2" s="26" t="s">
        <v>519</v>
      </c>
      <c r="B2" s="26" t="s">
        <v>520</v>
      </c>
      <c r="C2" s="26" t="s">
        <v>521</v>
      </c>
      <c r="E2" s="26" t="s">
        <v>519</v>
      </c>
      <c r="F2" s="26" t="s">
        <v>7</v>
      </c>
      <c r="G2" s="26" t="s">
        <v>521</v>
      </c>
      <c r="I2" s="26" t="s">
        <v>519</v>
      </c>
      <c r="J2" s="26" t="s">
        <v>1</v>
      </c>
      <c r="K2" s="26" t="s">
        <v>521</v>
      </c>
      <c r="M2" s="26" t="s">
        <v>519</v>
      </c>
      <c r="N2" s="26" t="s">
        <v>7</v>
      </c>
      <c r="O2" s="26" t="s">
        <v>521</v>
      </c>
      <c r="Q2" s="26" t="s">
        <v>519</v>
      </c>
      <c r="R2" s="26" t="s">
        <v>3</v>
      </c>
      <c r="S2" s="26" t="s">
        <v>521</v>
      </c>
      <c r="U2" s="26" t="s">
        <v>519</v>
      </c>
      <c r="V2" s="26" t="s">
        <v>7</v>
      </c>
      <c r="W2" s="26" t="s">
        <v>522</v>
      </c>
      <c r="Y2" s="26" t="s">
        <v>523</v>
      </c>
      <c r="Z2" s="26" t="s">
        <v>511</v>
      </c>
      <c r="AA2" s="26" t="s">
        <v>510</v>
      </c>
      <c r="AB2" s="26" t="s">
        <v>508</v>
      </c>
      <c r="AC2" s="26" t="s">
        <v>506</v>
      </c>
      <c r="AD2" s="26" t="s">
        <v>505</v>
      </c>
    </row>
    <row r="3" spans="1:30" x14ac:dyDescent="0.2">
      <c r="A3">
        <v>1</v>
      </c>
      <c r="B3" s="4">
        <v>46235</v>
      </c>
      <c r="C3" s="5">
        <v>899.73000000000047</v>
      </c>
      <c r="E3">
        <v>1</v>
      </c>
      <c r="F3" t="s">
        <v>169</v>
      </c>
      <c r="G3" s="5">
        <v>136.04</v>
      </c>
      <c r="I3">
        <v>1</v>
      </c>
      <c r="J3" t="s">
        <v>165</v>
      </c>
      <c r="K3" s="5">
        <v>574.97000000000037</v>
      </c>
      <c r="M3">
        <v>1</v>
      </c>
      <c r="N3" t="s">
        <v>169</v>
      </c>
      <c r="O3" s="5">
        <v>136.04</v>
      </c>
      <c r="Q3">
        <v>1</v>
      </c>
      <c r="R3" t="s">
        <v>188</v>
      </c>
      <c r="S3" s="5">
        <v>79.540000000000006</v>
      </c>
      <c r="U3">
        <v>1</v>
      </c>
      <c r="V3" t="s">
        <v>71</v>
      </c>
      <c r="W3">
        <v>18</v>
      </c>
      <c r="Y3">
        <v>1</v>
      </c>
      <c r="Z3" s="5">
        <v>574.97000000000037</v>
      </c>
      <c r="AA3" s="5">
        <v>145.58000000000001</v>
      </c>
      <c r="AB3" s="5">
        <v>100.82</v>
      </c>
      <c r="AC3" s="5">
        <v>48.12</v>
      </c>
      <c r="AD3" s="5">
        <v>30.24</v>
      </c>
    </row>
    <row r="4" spans="1:30" x14ac:dyDescent="0.2">
      <c r="E4">
        <v>2</v>
      </c>
      <c r="F4" t="s">
        <v>163</v>
      </c>
      <c r="G4" s="5">
        <v>87.39</v>
      </c>
      <c r="I4">
        <v>2</v>
      </c>
      <c r="J4" t="s">
        <v>18</v>
      </c>
      <c r="K4" s="5">
        <v>145.58000000000001</v>
      </c>
      <c r="M4">
        <v>2</v>
      </c>
      <c r="N4" t="s">
        <v>163</v>
      </c>
      <c r="O4" s="5">
        <v>87.39</v>
      </c>
      <c r="Q4">
        <v>2</v>
      </c>
      <c r="R4" t="s">
        <v>180</v>
      </c>
      <c r="S4" s="5">
        <v>47.88</v>
      </c>
      <c r="U4">
        <v>2</v>
      </c>
      <c r="V4" t="s">
        <v>49</v>
      </c>
      <c r="W4">
        <v>18</v>
      </c>
    </row>
    <row r="5" spans="1:30" x14ac:dyDescent="0.2">
      <c r="E5">
        <v>3</v>
      </c>
      <c r="F5" t="s">
        <v>71</v>
      </c>
      <c r="G5" s="5">
        <v>57.04999999999999</v>
      </c>
      <c r="I5">
        <v>3</v>
      </c>
      <c r="J5" t="s">
        <v>41</v>
      </c>
      <c r="K5" s="5">
        <v>100.82</v>
      </c>
      <c r="M5">
        <v>3</v>
      </c>
      <c r="N5" t="s">
        <v>71</v>
      </c>
      <c r="O5" s="5">
        <v>57.04999999999999</v>
      </c>
      <c r="Q5">
        <v>3</v>
      </c>
      <c r="R5" t="s">
        <v>216</v>
      </c>
      <c r="S5" s="5">
        <v>46.78</v>
      </c>
      <c r="U5">
        <v>3</v>
      </c>
      <c r="V5" t="s">
        <v>163</v>
      </c>
      <c r="W5">
        <v>14</v>
      </c>
    </row>
    <row r="6" spans="1:30" x14ac:dyDescent="0.2">
      <c r="E6">
        <v>4</v>
      </c>
      <c r="F6" t="s">
        <v>181</v>
      </c>
      <c r="G6" s="5">
        <v>47.88</v>
      </c>
      <c r="I6">
        <v>4</v>
      </c>
      <c r="J6" t="s">
        <v>153</v>
      </c>
      <c r="K6" s="5">
        <v>48.12</v>
      </c>
      <c r="M6">
        <v>4</v>
      </c>
      <c r="N6" t="s">
        <v>181</v>
      </c>
      <c r="O6" s="5">
        <v>47.88</v>
      </c>
      <c r="Q6">
        <v>4</v>
      </c>
      <c r="R6" t="s">
        <v>267</v>
      </c>
      <c r="S6" s="5">
        <v>28.54</v>
      </c>
      <c r="U6">
        <v>4</v>
      </c>
      <c r="V6" t="s">
        <v>169</v>
      </c>
      <c r="W6">
        <v>10</v>
      </c>
    </row>
    <row r="7" spans="1:30" x14ac:dyDescent="0.2">
      <c r="E7">
        <v>5</v>
      </c>
      <c r="F7" t="s">
        <v>24</v>
      </c>
      <c r="G7" s="5">
        <v>45.360000000000007</v>
      </c>
      <c r="I7">
        <v>5</v>
      </c>
      <c r="J7" t="s">
        <v>137</v>
      </c>
      <c r="K7" s="5">
        <v>30.24</v>
      </c>
      <c r="M7">
        <v>5</v>
      </c>
      <c r="N7" t="s">
        <v>24</v>
      </c>
      <c r="O7" s="5">
        <v>45.360000000000007</v>
      </c>
      <c r="Q7">
        <v>5</v>
      </c>
      <c r="R7" t="s">
        <v>162</v>
      </c>
      <c r="S7" s="5">
        <v>24.88</v>
      </c>
      <c r="U7">
        <v>5</v>
      </c>
      <c r="V7" t="s">
        <v>24</v>
      </c>
      <c r="W7">
        <v>6</v>
      </c>
    </row>
    <row r="8" spans="1:30" x14ac:dyDescent="0.2">
      <c r="E8">
        <v>6</v>
      </c>
      <c r="F8" t="s">
        <v>49</v>
      </c>
      <c r="G8" s="5">
        <v>39.150000000000013</v>
      </c>
      <c r="M8">
        <v>6</v>
      </c>
      <c r="N8" t="s">
        <v>49</v>
      </c>
      <c r="O8" s="5">
        <v>39.150000000000013</v>
      </c>
      <c r="Q8">
        <v>6</v>
      </c>
      <c r="R8" t="s">
        <v>214</v>
      </c>
      <c r="S8" s="5">
        <v>19.96</v>
      </c>
      <c r="U8">
        <v>6</v>
      </c>
      <c r="V8" t="s">
        <v>37</v>
      </c>
      <c r="W8">
        <v>5</v>
      </c>
    </row>
    <row r="9" spans="1:30" x14ac:dyDescent="0.2">
      <c r="E9">
        <v>7</v>
      </c>
      <c r="F9" t="s">
        <v>159</v>
      </c>
      <c r="G9" s="5">
        <v>31.2</v>
      </c>
      <c r="M9">
        <v>7</v>
      </c>
      <c r="N9" t="s">
        <v>159</v>
      </c>
      <c r="O9" s="5">
        <v>31.2</v>
      </c>
      <c r="Q9">
        <v>7</v>
      </c>
      <c r="R9" t="s">
        <v>199</v>
      </c>
      <c r="S9" s="5">
        <v>19.88</v>
      </c>
      <c r="U9">
        <v>7</v>
      </c>
      <c r="V9" t="s">
        <v>184</v>
      </c>
      <c r="W9">
        <v>5</v>
      </c>
    </row>
    <row r="10" spans="1:30" x14ac:dyDescent="0.2">
      <c r="E10">
        <v>8</v>
      </c>
      <c r="F10" t="s">
        <v>268</v>
      </c>
      <c r="G10" s="5">
        <v>28.54</v>
      </c>
      <c r="M10">
        <v>8</v>
      </c>
      <c r="N10" t="s">
        <v>268</v>
      </c>
      <c r="O10" s="5">
        <v>28.54</v>
      </c>
      <c r="Q10">
        <v>8</v>
      </c>
      <c r="R10" t="s">
        <v>206</v>
      </c>
      <c r="S10" s="5">
        <v>19.34</v>
      </c>
      <c r="U10">
        <v>8</v>
      </c>
      <c r="V10" t="s">
        <v>175</v>
      </c>
      <c r="W10">
        <v>4</v>
      </c>
    </row>
    <row r="11" spans="1:30" x14ac:dyDescent="0.2">
      <c r="E11">
        <v>9</v>
      </c>
      <c r="F11" t="s">
        <v>37</v>
      </c>
      <c r="G11" s="5">
        <v>26.91</v>
      </c>
      <c r="M11">
        <v>9</v>
      </c>
      <c r="N11" t="s">
        <v>37</v>
      </c>
      <c r="O11" s="5">
        <v>26.91</v>
      </c>
      <c r="Q11">
        <v>9</v>
      </c>
      <c r="R11" t="s">
        <v>36</v>
      </c>
      <c r="S11" s="5">
        <v>18.57</v>
      </c>
      <c r="U11">
        <v>9</v>
      </c>
      <c r="V11" t="s">
        <v>200</v>
      </c>
      <c r="W11">
        <v>4</v>
      </c>
    </row>
    <row r="12" spans="1:30" x14ac:dyDescent="0.2">
      <c r="E12">
        <v>10</v>
      </c>
      <c r="F12" t="s">
        <v>175</v>
      </c>
      <c r="G12" s="5">
        <v>26.66</v>
      </c>
      <c r="M12">
        <v>10</v>
      </c>
      <c r="N12" t="s">
        <v>175</v>
      </c>
      <c r="O12" s="5">
        <v>26.66</v>
      </c>
      <c r="Q12">
        <v>10</v>
      </c>
      <c r="R12" t="s">
        <v>174</v>
      </c>
      <c r="S12" s="5">
        <v>16.739999999999998</v>
      </c>
      <c r="U12">
        <v>10</v>
      </c>
      <c r="V12" t="s">
        <v>98</v>
      </c>
      <c r="W12">
        <v>4</v>
      </c>
    </row>
    <row r="13" spans="1:30" x14ac:dyDescent="0.2">
      <c r="E13">
        <v>11</v>
      </c>
      <c r="F13" t="s">
        <v>200</v>
      </c>
      <c r="G13" s="5">
        <v>19.88</v>
      </c>
      <c r="M13">
        <v>11</v>
      </c>
      <c r="N13" t="s">
        <v>200</v>
      </c>
      <c r="O13" s="5">
        <v>19.88</v>
      </c>
      <c r="U13">
        <v>11</v>
      </c>
      <c r="V13" t="s">
        <v>301</v>
      </c>
      <c r="W13">
        <v>4</v>
      </c>
    </row>
    <row r="14" spans="1:30" x14ac:dyDescent="0.2">
      <c r="E14">
        <v>12</v>
      </c>
      <c r="F14" t="s">
        <v>301</v>
      </c>
      <c r="G14" s="5">
        <v>18.88</v>
      </c>
      <c r="M14">
        <v>12</v>
      </c>
      <c r="N14" t="s">
        <v>301</v>
      </c>
      <c r="O14" s="5">
        <v>18.88</v>
      </c>
      <c r="U14">
        <v>12</v>
      </c>
      <c r="V14" t="s">
        <v>178</v>
      </c>
      <c r="W14">
        <v>3</v>
      </c>
    </row>
    <row r="15" spans="1:30" x14ac:dyDescent="0.2">
      <c r="E15">
        <v>13</v>
      </c>
      <c r="F15" t="s">
        <v>178</v>
      </c>
      <c r="G15" s="5">
        <v>18.489999999999998</v>
      </c>
      <c r="M15">
        <v>13</v>
      </c>
      <c r="N15" t="s">
        <v>178</v>
      </c>
      <c r="O15" s="5">
        <v>18.489999999999998</v>
      </c>
      <c r="U15">
        <v>13</v>
      </c>
      <c r="V15" t="s">
        <v>46</v>
      </c>
      <c r="W15">
        <v>3</v>
      </c>
    </row>
    <row r="16" spans="1:30" x14ac:dyDescent="0.2">
      <c r="E16">
        <v>14</v>
      </c>
      <c r="F16" t="s">
        <v>184</v>
      </c>
      <c r="G16" s="5">
        <v>18.190000000000001</v>
      </c>
      <c r="M16">
        <v>14</v>
      </c>
      <c r="N16" t="s">
        <v>184</v>
      </c>
      <c r="O16" s="5">
        <v>18.190000000000001</v>
      </c>
      <c r="U16">
        <v>14</v>
      </c>
      <c r="V16" t="s">
        <v>314</v>
      </c>
      <c r="W16">
        <v>3</v>
      </c>
    </row>
    <row r="17" spans="5:23" x14ac:dyDescent="0.2">
      <c r="E17">
        <v>15</v>
      </c>
      <c r="F17" t="s">
        <v>46</v>
      </c>
      <c r="G17" s="5">
        <v>16.14</v>
      </c>
      <c r="M17">
        <v>15</v>
      </c>
      <c r="N17" t="s">
        <v>46</v>
      </c>
      <c r="O17" s="5">
        <v>16.14</v>
      </c>
      <c r="U17">
        <v>15</v>
      </c>
      <c r="V17" t="s">
        <v>93</v>
      </c>
      <c r="W17">
        <v>3</v>
      </c>
    </row>
    <row r="18" spans="5:23" x14ac:dyDescent="0.2">
      <c r="E18">
        <v>16</v>
      </c>
      <c r="F18" t="s">
        <v>251</v>
      </c>
      <c r="G18" s="5">
        <v>14.46</v>
      </c>
      <c r="M18">
        <v>16</v>
      </c>
      <c r="N18" t="s">
        <v>251</v>
      </c>
      <c r="O18" s="5">
        <v>14.46</v>
      </c>
      <c r="U18">
        <v>16</v>
      </c>
      <c r="V18" t="s">
        <v>181</v>
      </c>
      <c r="W18">
        <v>2</v>
      </c>
    </row>
    <row r="19" spans="5:23" x14ac:dyDescent="0.2">
      <c r="E19">
        <v>17</v>
      </c>
      <c r="F19" t="s">
        <v>308</v>
      </c>
      <c r="G19" s="5">
        <v>14.29</v>
      </c>
      <c r="M19">
        <v>17</v>
      </c>
      <c r="N19" t="s">
        <v>308</v>
      </c>
      <c r="O19" s="5">
        <v>14.29</v>
      </c>
      <c r="U19">
        <v>17</v>
      </c>
      <c r="V19" t="s">
        <v>204</v>
      </c>
      <c r="W19">
        <v>2</v>
      </c>
    </row>
    <row r="20" spans="5:23" x14ac:dyDescent="0.2">
      <c r="E20">
        <v>18</v>
      </c>
      <c r="F20" t="s">
        <v>141</v>
      </c>
      <c r="G20" s="5">
        <v>13.98</v>
      </c>
      <c r="M20">
        <v>18</v>
      </c>
      <c r="N20" t="s">
        <v>141</v>
      </c>
      <c r="O20" s="5">
        <v>13.98</v>
      </c>
      <c r="U20">
        <v>18</v>
      </c>
      <c r="V20" t="s">
        <v>251</v>
      </c>
      <c r="W20">
        <v>2</v>
      </c>
    </row>
    <row r="21" spans="5:23" x14ac:dyDescent="0.2">
      <c r="E21">
        <v>19</v>
      </c>
      <c r="F21" t="s">
        <v>172</v>
      </c>
      <c r="G21" s="5">
        <v>13.92</v>
      </c>
      <c r="M21">
        <v>19</v>
      </c>
      <c r="N21" t="s">
        <v>172</v>
      </c>
      <c r="O21" s="5">
        <v>13.92</v>
      </c>
      <c r="U21">
        <v>19</v>
      </c>
      <c r="V21" t="s">
        <v>56</v>
      </c>
      <c r="W21">
        <v>2</v>
      </c>
    </row>
    <row r="22" spans="5:23" x14ac:dyDescent="0.2">
      <c r="E22">
        <v>20</v>
      </c>
      <c r="F22" t="s">
        <v>248</v>
      </c>
      <c r="G22" s="5">
        <v>11.93</v>
      </c>
      <c r="M22">
        <v>20</v>
      </c>
      <c r="N22" t="s">
        <v>248</v>
      </c>
      <c r="O22" s="5">
        <v>11.93</v>
      </c>
      <c r="U22">
        <v>20</v>
      </c>
      <c r="V22" t="s">
        <v>141</v>
      </c>
      <c r="W22">
        <v>2</v>
      </c>
    </row>
    <row r="23" spans="5:23" x14ac:dyDescent="0.2">
      <c r="E23">
        <v>21</v>
      </c>
      <c r="F23" t="s">
        <v>227</v>
      </c>
      <c r="G23" s="5">
        <v>11.76</v>
      </c>
      <c r="M23">
        <v>21</v>
      </c>
      <c r="N23" t="s">
        <v>227</v>
      </c>
      <c r="O23" s="5">
        <v>11.76</v>
      </c>
      <c r="U23">
        <v>21</v>
      </c>
      <c r="V23" t="s">
        <v>32</v>
      </c>
      <c r="W23">
        <v>2</v>
      </c>
    </row>
    <row r="24" spans="5:23" x14ac:dyDescent="0.2">
      <c r="E24">
        <v>22</v>
      </c>
      <c r="F24" t="s">
        <v>155</v>
      </c>
      <c r="G24" s="5">
        <v>11</v>
      </c>
      <c r="M24">
        <v>22</v>
      </c>
      <c r="N24" t="s">
        <v>155</v>
      </c>
      <c r="O24" s="5">
        <v>11</v>
      </c>
      <c r="U24">
        <v>22</v>
      </c>
      <c r="V24" t="s">
        <v>172</v>
      </c>
      <c r="W24">
        <v>2</v>
      </c>
    </row>
    <row r="25" spans="5:23" x14ac:dyDescent="0.2">
      <c r="E25">
        <v>23</v>
      </c>
      <c r="F25" t="s">
        <v>195</v>
      </c>
      <c r="G25" s="5">
        <v>10.64</v>
      </c>
      <c r="M25">
        <v>23</v>
      </c>
      <c r="N25" t="s">
        <v>195</v>
      </c>
      <c r="O25" s="5">
        <v>10.64</v>
      </c>
      <c r="U25">
        <v>23</v>
      </c>
      <c r="V25" t="s">
        <v>195</v>
      </c>
      <c r="W25">
        <v>2</v>
      </c>
    </row>
    <row r="26" spans="5:23" x14ac:dyDescent="0.2">
      <c r="E26">
        <v>24</v>
      </c>
      <c r="F26" t="s">
        <v>314</v>
      </c>
      <c r="G26" s="5">
        <v>10</v>
      </c>
      <c r="M26">
        <v>24</v>
      </c>
      <c r="N26" t="s">
        <v>314</v>
      </c>
      <c r="O26" s="5">
        <v>10</v>
      </c>
      <c r="U26">
        <v>24</v>
      </c>
      <c r="V26" t="s">
        <v>311</v>
      </c>
      <c r="W26">
        <v>2</v>
      </c>
    </row>
    <row r="27" spans="5:23" x14ac:dyDescent="0.2">
      <c r="E27">
        <v>25</v>
      </c>
      <c r="F27" t="s">
        <v>277</v>
      </c>
      <c r="G27" s="5">
        <v>9.98</v>
      </c>
      <c r="M27">
        <v>25</v>
      </c>
      <c r="N27" t="s">
        <v>277</v>
      </c>
      <c r="O27" s="5">
        <v>9.98</v>
      </c>
      <c r="U27">
        <v>25</v>
      </c>
      <c r="V27" t="s">
        <v>155</v>
      </c>
      <c r="W27">
        <v>2</v>
      </c>
    </row>
    <row r="28" spans="5:23" x14ac:dyDescent="0.2">
      <c r="E28">
        <v>26</v>
      </c>
      <c r="F28" t="s">
        <v>93</v>
      </c>
      <c r="G28" s="5">
        <v>9.9499999999999993</v>
      </c>
      <c r="M28">
        <v>26</v>
      </c>
      <c r="N28" t="s">
        <v>93</v>
      </c>
      <c r="O28" s="5">
        <v>9.9499999999999993</v>
      </c>
      <c r="U28">
        <v>26</v>
      </c>
      <c r="V28" t="s">
        <v>159</v>
      </c>
      <c r="W28">
        <v>2</v>
      </c>
    </row>
    <row r="29" spans="5:23" x14ac:dyDescent="0.2">
      <c r="E29">
        <v>27</v>
      </c>
      <c r="F29" t="s">
        <v>204</v>
      </c>
      <c r="G29" s="5">
        <v>9.76</v>
      </c>
      <c r="M29">
        <v>27</v>
      </c>
      <c r="N29" t="s">
        <v>204</v>
      </c>
      <c r="O29" s="5">
        <v>9.76</v>
      </c>
      <c r="U29">
        <v>27</v>
      </c>
      <c r="V29" t="s">
        <v>130</v>
      </c>
      <c r="W29">
        <v>2</v>
      </c>
    </row>
    <row r="30" spans="5:23" x14ac:dyDescent="0.2">
      <c r="E30">
        <v>28</v>
      </c>
      <c r="F30" t="s">
        <v>64</v>
      </c>
      <c r="G30" s="5">
        <v>8.2899999999999991</v>
      </c>
      <c r="M30">
        <v>28</v>
      </c>
      <c r="N30" t="s">
        <v>64</v>
      </c>
      <c r="O30" s="5">
        <v>8.2899999999999991</v>
      </c>
      <c r="U30">
        <v>28</v>
      </c>
      <c r="V30" t="s">
        <v>277</v>
      </c>
      <c r="W30">
        <v>1</v>
      </c>
    </row>
    <row r="31" spans="5:23" x14ac:dyDescent="0.2">
      <c r="E31">
        <v>29</v>
      </c>
      <c r="F31" t="s">
        <v>32</v>
      </c>
      <c r="G31" s="5">
        <v>7.78</v>
      </c>
      <c r="M31">
        <v>29</v>
      </c>
      <c r="N31" t="s">
        <v>32</v>
      </c>
      <c r="O31" s="5">
        <v>7.78</v>
      </c>
      <c r="U31">
        <v>29</v>
      </c>
      <c r="V31" t="s">
        <v>248</v>
      </c>
      <c r="W31">
        <v>1</v>
      </c>
    </row>
    <row r="32" spans="5:23" x14ac:dyDescent="0.2">
      <c r="E32">
        <v>30</v>
      </c>
      <c r="F32" t="s">
        <v>320</v>
      </c>
      <c r="G32" s="5">
        <v>7.19</v>
      </c>
      <c r="M32">
        <v>30</v>
      </c>
      <c r="N32" t="s">
        <v>320</v>
      </c>
      <c r="O32" s="5">
        <v>7.19</v>
      </c>
      <c r="U32">
        <v>30</v>
      </c>
      <c r="V32" t="s">
        <v>127</v>
      </c>
      <c r="W32">
        <v>1</v>
      </c>
    </row>
    <row r="33" spans="5:23" x14ac:dyDescent="0.2">
      <c r="E33">
        <v>31</v>
      </c>
      <c r="F33" t="s">
        <v>29</v>
      </c>
      <c r="G33" s="5">
        <v>6.99</v>
      </c>
      <c r="M33">
        <v>31</v>
      </c>
      <c r="N33" t="s">
        <v>29</v>
      </c>
      <c r="O33" s="5">
        <v>6.99</v>
      </c>
      <c r="U33">
        <v>31</v>
      </c>
      <c r="V33" t="s">
        <v>40</v>
      </c>
      <c r="W33">
        <v>1</v>
      </c>
    </row>
    <row r="34" spans="5:23" x14ac:dyDescent="0.2">
      <c r="E34">
        <v>32</v>
      </c>
      <c r="F34" t="s">
        <v>234</v>
      </c>
      <c r="G34" s="5">
        <v>6.88</v>
      </c>
      <c r="M34">
        <v>32</v>
      </c>
      <c r="N34" t="s">
        <v>234</v>
      </c>
      <c r="O34" s="5">
        <v>6.88</v>
      </c>
      <c r="U34">
        <v>32</v>
      </c>
      <c r="V34" t="s">
        <v>112</v>
      </c>
      <c r="W34">
        <v>1</v>
      </c>
    </row>
    <row r="35" spans="5:23" x14ac:dyDescent="0.2">
      <c r="E35">
        <v>33</v>
      </c>
      <c r="F35" t="s">
        <v>237</v>
      </c>
      <c r="G35" s="5">
        <v>6.48</v>
      </c>
      <c r="M35">
        <v>33</v>
      </c>
      <c r="N35" t="s">
        <v>237</v>
      </c>
      <c r="O35" s="5">
        <v>6.48</v>
      </c>
      <c r="U35">
        <v>33</v>
      </c>
      <c r="V35" t="s">
        <v>237</v>
      </c>
      <c r="W35">
        <v>1</v>
      </c>
    </row>
    <row r="36" spans="5:23" x14ac:dyDescent="0.2">
      <c r="E36">
        <v>34</v>
      </c>
      <c r="F36" t="s">
        <v>280</v>
      </c>
      <c r="G36" s="5">
        <v>6.24</v>
      </c>
      <c r="M36">
        <v>34</v>
      </c>
      <c r="N36" t="s">
        <v>280</v>
      </c>
      <c r="O36" s="5">
        <v>6.24</v>
      </c>
      <c r="U36">
        <v>34</v>
      </c>
      <c r="V36" t="s">
        <v>85</v>
      </c>
      <c r="W36">
        <v>1</v>
      </c>
    </row>
    <row r="37" spans="5:23" x14ac:dyDescent="0.2">
      <c r="E37">
        <v>35</v>
      </c>
      <c r="F37" t="s">
        <v>152</v>
      </c>
      <c r="G37" s="5">
        <v>5.99</v>
      </c>
      <c r="M37">
        <v>35</v>
      </c>
      <c r="N37" t="s">
        <v>152</v>
      </c>
      <c r="O37" s="5">
        <v>5.99</v>
      </c>
      <c r="U37">
        <v>35</v>
      </c>
      <c r="V37" t="s">
        <v>274</v>
      </c>
      <c r="W37">
        <v>1</v>
      </c>
    </row>
    <row r="38" spans="5:23" x14ac:dyDescent="0.2">
      <c r="E38">
        <v>36</v>
      </c>
      <c r="F38" t="s">
        <v>136</v>
      </c>
      <c r="G38" s="5">
        <v>5.99</v>
      </c>
      <c r="M38">
        <v>36</v>
      </c>
      <c r="N38" t="s">
        <v>136</v>
      </c>
      <c r="O38" s="5">
        <v>5.99</v>
      </c>
      <c r="U38">
        <v>36</v>
      </c>
      <c r="V38" t="s">
        <v>116</v>
      </c>
      <c r="W38">
        <v>1</v>
      </c>
    </row>
    <row r="39" spans="5:23" x14ac:dyDescent="0.2">
      <c r="E39">
        <v>37</v>
      </c>
      <c r="F39" t="s">
        <v>123</v>
      </c>
      <c r="G39" s="5">
        <v>5.99</v>
      </c>
      <c r="M39">
        <v>37</v>
      </c>
      <c r="N39" t="s">
        <v>123</v>
      </c>
      <c r="O39" s="5">
        <v>5.99</v>
      </c>
      <c r="U39">
        <v>37</v>
      </c>
      <c r="V39" t="s">
        <v>308</v>
      </c>
      <c r="W39">
        <v>1</v>
      </c>
    </row>
    <row r="40" spans="5:23" x14ac:dyDescent="0.2">
      <c r="E40">
        <v>38</v>
      </c>
      <c r="F40" t="s">
        <v>40</v>
      </c>
      <c r="G40" s="5">
        <v>5.89</v>
      </c>
      <c r="M40">
        <v>38</v>
      </c>
      <c r="N40" t="s">
        <v>40</v>
      </c>
      <c r="O40" s="5">
        <v>5.89</v>
      </c>
      <c r="U40">
        <v>38</v>
      </c>
      <c r="V40" t="s">
        <v>77</v>
      </c>
      <c r="W40">
        <v>1</v>
      </c>
    </row>
    <row r="41" spans="5:23" x14ac:dyDescent="0.2">
      <c r="E41">
        <v>39</v>
      </c>
      <c r="F41" t="s">
        <v>240</v>
      </c>
      <c r="G41" s="5">
        <v>5.74</v>
      </c>
      <c r="M41">
        <v>39</v>
      </c>
      <c r="N41" t="s">
        <v>240</v>
      </c>
      <c r="O41" s="5">
        <v>5.74</v>
      </c>
      <c r="U41">
        <v>39</v>
      </c>
      <c r="V41" t="s">
        <v>227</v>
      </c>
      <c r="W41">
        <v>1</v>
      </c>
    </row>
    <row r="42" spans="5:23" x14ac:dyDescent="0.2">
      <c r="E42">
        <v>40</v>
      </c>
      <c r="F42" t="s">
        <v>311</v>
      </c>
      <c r="G42" s="5">
        <v>5.65</v>
      </c>
      <c r="M42">
        <v>40</v>
      </c>
      <c r="N42" t="s">
        <v>311</v>
      </c>
      <c r="O42" s="5">
        <v>5.65</v>
      </c>
      <c r="U42">
        <v>40</v>
      </c>
      <c r="V42" t="s">
        <v>64</v>
      </c>
      <c r="W42">
        <v>1</v>
      </c>
    </row>
    <row r="43" spans="5:23" x14ac:dyDescent="0.2">
      <c r="E43">
        <v>41</v>
      </c>
      <c r="F43" t="s">
        <v>116</v>
      </c>
      <c r="G43" s="5">
        <v>5.25</v>
      </c>
      <c r="M43">
        <v>41</v>
      </c>
      <c r="N43" t="s">
        <v>116</v>
      </c>
      <c r="O43" s="5">
        <v>5.25</v>
      </c>
      <c r="U43">
        <v>41</v>
      </c>
      <c r="V43" t="s">
        <v>245</v>
      </c>
      <c r="W43">
        <v>1</v>
      </c>
    </row>
    <row r="44" spans="5:23" x14ac:dyDescent="0.2">
      <c r="E44">
        <v>42</v>
      </c>
      <c r="F44" t="s">
        <v>130</v>
      </c>
      <c r="G44" s="5">
        <v>4.88</v>
      </c>
      <c r="M44">
        <v>42</v>
      </c>
      <c r="N44" t="s">
        <v>130</v>
      </c>
      <c r="O44" s="5">
        <v>4.88</v>
      </c>
      <c r="U44">
        <v>42</v>
      </c>
      <c r="V44" t="s">
        <v>268</v>
      </c>
      <c r="W44">
        <v>1</v>
      </c>
    </row>
    <row r="45" spans="5:23" x14ac:dyDescent="0.2">
      <c r="E45">
        <v>43</v>
      </c>
      <c r="F45" t="s">
        <v>274</v>
      </c>
      <c r="G45" s="5">
        <v>4.46</v>
      </c>
      <c r="M45">
        <v>43</v>
      </c>
      <c r="N45" t="s">
        <v>274</v>
      </c>
      <c r="O45" s="5">
        <v>4.46</v>
      </c>
      <c r="U45">
        <v>43</v>
      </c>
      <c r="V45" t="s">
        <v>240</v>
      </c>
      <c r="W45">
        <v>1</v>
      </c>
    </row>
    <row r="46" spans="5:23" x14ac:dyDescent="0.2">
      <c r="E46">
        <v>44</v>
      </c>
      <c r="F46" t="s">
        <v>77</v>
      </c>
      <c r="G46" s="5">
        <v>3.89</v>
      </c>
      <c r="M46">
        <v>44</v>
      </c>
      <c r="N46" t="s">
        <v>77</v>
      </c>
      <c r="O46" s="5">
        <v>3.89</v>
      </c>
      <c r="U46">
        <v>44</v>
      </c>
      <c r="V46" t="s">
        <v>280</v>
      </c>
      <c r="W46">
        <v>1</v>
      </c>
    </row>
    <row r="47" spans="5:23" x14ac:dyDescent="0.2">
      <c r="E47">
        <v>45</v>
      </c>
      <c r="F47" t="s">
        <v>287</v>
      </c>
      <c r="G47" s="5">
        <v>3.69</v>
      </c>
      <c r="M47">
        <v>45</v>
      </c>
      <c r="N47" t="s">
        <v>287</v>
      </c>
      <c r="O47" s="5">
        <v>3.69</v>
      </c>
      <c r="U47">
        <v>45</v>
      </c>
      <c r="V47" t="s">
        <v>320</v>
      </c>
      <c r="W47">
        <v>1</v>
      </c>
    </row>
    <row r="48" spans="5:23" x14ac:dyDescent="0.2">
      <c r="E48">
        <v>46</v>
      </c>
      <c r="F48" t="s">
        <v>98</v>
      </c>
      <c r="G48" s="5">
        <v>3.68</v>
      </c>
      <c r="M48">
        <v>46</v>
      </c>
      <c r="N48" t="s">
        <v>98</v>
      </c>
      <c r="O48" s="5">
        <v>3.68</v>
      </c>
      <c r="U48">
        <v>46</v>
      </c>
      <c r="V48" t="s">
        <v>146</v>
      </c>
      <c r="W48">
        <v>1</v>
      </c>
    </row>
    <row r="49" spans="5:23" x14ac:dyDescent="0.2">
      <c r="E49">
        <v>47</v>
      </c>
      <c r="F49" t="s">
        <v>85</v>
      </c>
      <c r="G49" s="5">
        <v>3.45</v>
      </c>
      <c r="M49">
        <v>47</v>
      </c>
      <c r="N49" t="s">
        <v>85</v>
      </c>
      <c r="O49" s="5">
        <v>3.45</v>
      </c>
      <c r="U49">
        <v>47</v>
      </c>
      <c r="V49" t="s">
        <v>258</v>
      </c>
      <c r="W49">
        <v>1</v>
      </c>
    </row>
    <row r="50" spans="5:23" x14ac:dyDescent="0.2">
      <c r="E50">
        <v>48</v>
      </c>
      <c r="F50" t="s">
        <v>146</v>
      </c>
      <c r="G50" s="5">
        <v>3.29</v>
      </c>
      <c r="M50">
        <v>48</v>
      </c>
      <c r="N50" t="s">
        <v>146</v>
      </c>
      <c r="O50" s="5">
        <v>3.29</v>
      </c>
      <c r="U50">
        <v>48</v>
      </c>
      <c r="V50" t="s">
        <v>152</v>
      </c>
      <c r="W50">
        <v>1</v>
      </c>
    </row>
    <row r="51" spans="5:23" x14ac:dyDescent="0.2">
      <c r="E51">
        <v>49</v>
      </c>
      <c r="F51" t="s">
        <v>296</v>
      </c>
      <c r="G51" s="5">
        <v>3.19</v>
      </c>
      <c r="M51">
        <v>49</v>
      </c>
      <c r="N51" t="s">
        <v>296</v>
      </c>
      <c r="O51" s="5">
        <v>3.19</v>
      </c>
      <c r="U51">
        <v>49</v>
      </c>
      <c r="V51" t="s">
        <v>149</v>
      </c>
      <c r="W51">
        <v>1</v>
      </c>
    </row>
    <row r="52" spans="5:23" x14ac:dyDescent="0.2">
      <c r="E52">
        <v>50</v>
      </c>
      <c r="F52" t="s">
        <v>258</v>
      </c>
      <c r="G52" s="5">
        <v>3.16</v>
      </c>
      <c r="M52">
        <v>50</v>
      </c>
      <c r="N52" t="s">
        <v>258</v>
      </c>
      <c r="O52" s="5">
        <v>3.16</v>
      </c>
      <c r="U52">
        <v>50</v>
      </c>
      <c r="V52" t="s">
        <v>287</v>
      </c>
      <c r="W52">
        <v>1</v>
      </c>
    </row>
    <row r="53" spans="5:23" x14ac:dyDescent="0.2">
      <c r="E53">
        <v>51</v>
      </c>
      <c r="F53" t="s">
        <v>149</v>
      </c>
      <c r="G53" s="5">
        <v>2.99</v>
      </c>
      <c r="M53">
        <v>51</v>
      </c>
      <c r="N53" t="s">
        <v>149</v>
      </c>
      <c r="O53" s="5">
        <v>2.99</v>
      </c>
      <c r="U53">
        <v>51</v>
      </c>
      <c r="V53" t="s">
        <v>87</v>
      </c>
      <c r="W53">
        <v>1</v>
      </c>
    </row>
    <row r="54" spans="5:23" x14ac:dyDescent="0.2">
      <c r="E54">
        <v>52</v>
      </c>
      <c r="F54" t="s">
        <v>105</v>
      </c>
      <c r="G54" s="5">
        <v>2.99</v>
      </c>
      <c r="M54">
        <v>52</v>
      </c>
      <c r="N54" t="s">
        <v>105</v>
      </c>
      <c r="O54" s="5">
        <v>2.99</v>
      </c>
      <c r="U54">
        <v>52</v>
      </c>
      <c r="V54" t="s">
        <v>29</v>
      </c>
      <c r="W54">
        <v>1</v>
      </c>
    </row>
    <row r="55" spans="5:23" x14ac:dyDescent="0.2">
      <c r="E55">
        <v>53</v>
      </c>
      <c r="F55" t="s">
        <v>127</v>
      </c>
      <c r="G55" s="5">
        <v>2.79</v>
      </c>
      <c r="M55">
        <v>53</v>
      </c>
      <c r="N55" t="s">
        <v>127</v>
      </c>
      <c r="O55" s="5">
        <v>2.79</v>
      </c>
      <c r="U55">
        <v>53</v>
      </c>
      <c r="V55" t="s">
        <v>234</v>
      </c>
      <c r="W55">
        <v>1</v>
      </c>
    </row>
    <row r="56" spans="5:23" x14ac:dyDescent="0.2">
      <c r="E56">
        <v>54</v>
      </c>
      <c r="F56" t="s">
        <v>87</v>
      </c>
      <c r="G56" s="5">
        <v>2.39</v>
      </c>
      <c r="M56">
        <v>54</v>
      </c>
      <c r="N56" t="s">
        <v>87</v>
      </c>
      <c r="O56" s="5">
        <v>2.39</v>
      </c>
      <c r="U56">
        <v>54</v>
      </c>
      <c r="V56" t="s">
        <v>105</v>
      </c>
      <c r="W56">
        <v>1</v>
      </c>
    </row>
    <row r="57" spans="5:23" x14ac:dyDescent="0.2">
      <c r="E57">
        <v>55</v>
      </c>
      <c r="F57" t="s">
        <v>112</v>
      </c>
      <c r="G57" s="5">
        <v>1.99</v>
      </c>
      <c r="M57">
        <v>55</v>
      </c>
      <c r="N57" t="s">
        <v>112</v>
      </c>
      <c r="O57" s="5">
        <v>1.99</v>
      </c>
      <c r="U57">
        <v>55</v>
      </c>
      <c r="V57" t="s">
        <v>296</v>
      </c>
      <c r="W57">
        <v>1</v>
      </c>
    </row>
    <row r="58" spans="5:23" x14ac:dyDescent="0.2">
      <c r="E58">
        <v>56</v>
      </c>
      <c r="F58" t="s">
        <v>56</v>
      </c>
      <c r="G58" s="5">
        <v>1.84</v>
      </c>
      <c r="M58">
        <v>56</v>
      </c>
      <c r="N58" t="s">
        <v>56</v>
      </c>
      <c r="O58" s="5">
        <v>1.84</v>
      </c>
      <c r="U58">
        <v>56</v>
      </c>
      <c r="V58" t="s">
        <v>136</v>
      </c>
      <c r="W58">
        <v>1</v>
      </c>
    </row>
    <row r="59" spans="5:23" x14ac:dyDescent="0.2">
      <c r="E59">
        <v>57</v>
      </c>
      <c r="F59" t="s">
        <v>245</v>
      </c>
      <c r="G59" s="5">
        <v>1.27</v>
      </c>
      <c r="M59">
        <v>57</v>
      </c>
      <c r="N59" t="s">
        <v>245</v>
      </c>
      <c r="O59" s="5">
        <v>1.27</v>
      </c>
      <c r="U59">
        <v>57</v>
      </c>
      <c r="V59" t="s">
        <v>123</v>
      </c>
      <c r="W59">
        <v>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"/>
  <sheetViews>
    <sheetView tabSelected="1" workbookViewId="0">
      <selection activeCell="E46" sqref="E46"/>
    </sheetView>
  </sheetViews>
  <sheetFormatPr baseColWidth="10" defaultRowHeight="15" x14ac:dyDescent="0.2"/>
  <cols>
    <col min="4" max="4" width="45.33203125" customWidth="1"/>
    <col min="5" max="5" width="38.5" customWidth="1"/>
    <col min="6" max="6" width="34.83203125" customWidth="1"/>
  </cols>
  <sheetData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D11"/>
  <sheetViews>
    <sheetView workbookViewId="0">
      <pane ySplit="1" topLeftCell="A2" activePane="bottomLeft" state="frozen"/>
      <selection pane="bottomLeft"/>
    </sheetView>
  </sheetViews>
  <sheetFormatPr baseColWidth="10" defaultColWidth="8.83203125" defaultRowHeight="15" x14ac:dyDescent="0.2"/>
  <cols>
    <col min="1" max="1" width="32" customWidth="1"/>
    <col min="2" max="3" width="16" customWidth="1"/>
    <col min="4" max="4" width="22" customWidth="1"/>
  </cols>
  <sheetData>
    <row r="1" spans="1:4" x14ac:dyDescent="0.2">
      <c r="A1" s="7" t="s">
        <v>524</v>
      </c>
      <c r="B1" s="7" t="s">
        <v>5</v>
      </c>
      <c r="C1" s="7" t="s">
        <v>525</v>
      </c>
      <c r="D1" s="7" t="s">
        <v>526</v>
      </c>
    </row>
    <row r="2" spans="1:4" x14ac:dyDescent="0.2">
      <c r="A2" t="s">
        <v>527</v>
      </c>
      <c r="B2" t="s">
        <v>22</v>
      </c>
      <c r="C2" s="2">
        <v>46259</v>
      </c>
      <c r="D2" s="3">
        <v>46260.753207858797</v>
      </c>
    </row>
    <row r="3" spans="1:4" x14ac:dyDescent="0.2">
      <c r="A3" t="s">
        <v>528</v>
      </c>
      <c r="B3" t="s">
        <v>44</v>
      </c>
      <c r="C3" s="2">
        <v>46257</v>
      </c>
      <c r="D3" s="3">
        <v>46260.873204756943</v>
      </c>
    </row>
    <row r="4" spans="1:4" x14ac:dyDescent="0.2">
      <c r="A4" t="s">
        <v>529</v>
      </c>
      <c r="B4" t="s">
        <v>139</v>
      </c>
      <c r="C4" s="2">
        <v>46258</v>
      </c>
      <c r="D4" s="3">
        <v>46261.509354467591</v>
      </c>
    </row>
    <row r="5" spans="1:4" x14ac:dyDescent="0.2">
      <c r="A5" t="s">
        <v>530</v>
      </c>
      <c r="B5" t="s">
        <v>19</v>
      </c>
      <c r="C5" s="2">
        <v>46261</v>
      </c>
      <c r="D5" s="3">
        <v>46261.69623483796</v>
      </c>
    </row>
    <row r="6" spans="1:4" x14ac:dyDescent="0.2">
      <c r="A6" t="s">
        <v>531</v>
      </c>
      <c r="B6" t="s">
        <v>167</v>
      </c>
      <c r="C6" s="2">
        <v>46240</v>
      </c>
      <c r="D6" s="3">
        <v>46261.874585370373</v>
      </c>
    </row>
    <row r="7" spans="1:4" x14ac:dyDescent="0.2">
      <c r="A7" t="s">
        <v>532</v>
      </c>
      <c r="B7" t="s">
        <v>167</v>
      </c>
      <c r="C7" s="2">
        <v>46241</v>
      </c>
      <c r="D7" s="3">
        <v>46262.598739479166</v>
      </c>
    </row>
    <row r="8" spans="1:4" x14ac:dyDescent="0.2">
      <c r="A8" t="s">
        <v>533</v>
      </c>
      <c r="B8" t="s">
        <v>167</v>
      </c>
      <c r="C8" s="2">
        <v>46247</v>
      </c>
      <c r="D8" s="3">
        <v>46262.65887388889</v>
      </c>
    </row>
    <row r="9" spans="1:4" x14ac:dyDescent="0.2">
      <c r="A9" t="s">
        <v>534</v>
      </c>
      <c r="B9" t="s">
        <v>167</v>
      </c>
      <c r="C9" s="2">
        <v>46247</v>
      </c>
      <c r="D9" s="3">
        <v>46262.660042743053</v>
      </c>
    </row>
    <row r="10" spans="1:4" x14ac:dyDescent="0.2">
      <c r="A10" t="s">
        <v>535</v>
      </c>
      <c r="B10" t="s">
        <v>167</v>
      </c>
      <c r="C10" s="2">
        <v>46260</v>
      </c>
      <c r="D10" s="3">
        <v>46262.676458125003</v>
      </c>
    </row>
    <row r="11" spans="1:4" x14ac:dyDescent="0.2">
      <c r="A11" t="s">
        <v>536</v>
      </c>
      <c r="B11" t="s">
        <v>285</v>
      </c>
      <c r="C11" s="2">
        <v>46262</v>
      </c>
      <c r="D11" s="3">
        <v>46262.700758634259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Purchase History</vt:lpstr>
      <vt:lpstr>Category Manager</vt:lpstr>
      <vt:lpstr>Analytics</vt:lpstr>
      <vt:lpstr>_AnalyticsData</vt:lpstr>
      <vt:lpstr>Sheet1</vt:lpstr>
      <vt:lpstr>Imported Receipts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garzoncarlosandres@gmail.com</cp:lastModifiedBy>
  <dcterms:created xsi:type="dcterms:W3CDTF">2026-08-26T22:04:37Z</dcterms:created>
  <dcterms:modified xsi:type="dcterms:W3CDTF">2026-08-30T13:44:33Z</dcterms:modified>
</cp:coreProperties>
</file>