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w1_Aug 26" sheetId="9" state="visible" r:id="rId9"/>
  </sheets>
  <definedNames>
    <definedName name="_xlnm._FilterDatabase" localSheetId="0" hidden="1">'Purchase History'!$A$1:$S$151</definedName>
    <definedName name="_xlnm._FilterDatabase" localSheetId="1" hidden="1">'Category Manager'!$A$1:$T$66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yyyy-mm-dd"/>
    <numFmt numFmtId="169" formatCode="$#,##0.00"/>
  </numFmts>
  <fonts count="20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b val="1"/>
      <sz val="18"/>
    </font>
    <font>
      <b val="1"/>
    </font>
    <font>
      <b val="1"/>
      <sz val="14"/>
    </font>
  </fonts>
  <fills count="3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0" borderId="0" applyAlignment="1" pivotButton="0" quotePrefix="0" xfId="0">
      <alignment horizontal="center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/>
    </xf>
    <xf numFmtId="167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vertical="center"/>
    </xf>
    <xf numFmtId="0" fontId="0" fillId="18" borderId="0" pivotButton="0" quotePrefix="0" xfId="0"/>
    <xf numFmtId="0" fontId="13" fillId="0" borderId="0" applyAlignment="1" pivotButton="0" quotePrefix="0" xfId="0">
      <alignment horizontal="center"/>
    </xf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13" fillId="0" borderId="0" pivotButton="0" quotePrefix="0" xfId="0"/>
    <xf numFmtId="0" fontId="16" fillId="17" borderId="1" applyAlignment="1" pivotButton="0" quotePrefix="0" xfId="0">
      <alignment horizontal="center" vertical="center" wrapText="1"/>
    </xf>
    <xf numFmtId="0" fontId="13" fillId="30" borderId="1" applyAlignment="1" pivotButton="0" quotePrefix="0" xfId="0">
      <alignment vertical="top" wrapText="1"/>
    </xf>
    <xf numFmtId="0" fontId="0" fillId="30" borderId="1" applyAlignment="1" pivotButton="0" quotePrefix="0" xfId="0">
      <alignment vertical="top" wrapText="1"/>
    </xf>
    <xf numFmtId="0" fontId="13" fillId="31" borderId="1" applyAlignment="1" pivotButton="0" quotePrefix="0" xfId="0">
      <alignment vertical="top" wrapText="1"/>
    </xf>
    <xf numFmtId="0" fontId="0" fillId="31" borderId="1" applyAlignment="1" pivotButton="0" quotePrefix="0" xfId="0">
      <alignment vertical="top" wrapText="1"/>
    </xf>
    <xf numFmtId="0" fontId="13" fillId="32" borderId="1" applyAlignment="1" pivotButton="0" quotePrefix="0" xfId="0">
      <alignment vertical="top" wrapText="1"/>
    </xf>
    <xf numFmtId="0" fontId="0" fillId="32" borderId="1" applyAlignment="1" pivotButton="0" quotePrefix="0" xfId="0">
      <alignment vertical="top" wrapText="1"/>
    </xf>
    <xf numFmtId="0" fontId="13" fillId="33" borderId="1" applyAlignment="1" pivotButton="0" quotePrefix="0" xfId="0">
      <alignment vertical="top" wrapText="1"/>
    </xf>
    <xf numFmtId="0" fontId="0" fillId="33" borderId="1" applyAlignment="1" pivotButton="0" quotePrefix="0" xfId="0">
      <alignment vertical="top" wrapText="1"/>
    </xf>
    <xf numFmtId="0" fontId="13" fillId="34" borderId="1" applyAlignment="1" pivotButton="0" quotePrefix="0" xfId="0">
      <alignment vertical="top" wrapText="1"/>
    </xf>
    <xf numFmtId="0" fontId="0" fillId="34" borderId="1" applyAlignment="1" pivotButton="0" quotePrefix="0" xfId="0">
      <alignment vertical="top" wrapText="1"/>
    </xf>
    <xf numFmtId="0" fontId="13" fillId="35" borderId="1" applyAlignment="1" pivotButton="0" quotePrefix="0" xfId="0">
      <alignment vertical="top" wrapText="1"/>
    </xf>
    <xf numFmtId="0" fontId="0" fillId="3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4" fillId="17" borderId="0" applyAlignment="1" pivotButton="0" quotePrefix="0" xfId="0">
      <alignment horizontal="left" vertical="center"/>
    </xf>
    <xf numFmtId="0" fontId="15" fillId="0" borderId="0" pivotButton="0" quotePrefix="0" xfId="0"/>
    <xf numFmtId="0" fontId="10" fillId="17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7" fillId="3" borderId="0" pivotButton="0" quotePrefix="0" xfId="0"/>
    <xf numFmtId="0" fontId="1" fillId="31" borderId="1" applyAlignment="1" pivotButton="0" quotePrefix="0" xfId="0">
      <alignment vertical="top" wrapText="1"/>
    </xf>
    <xf numFmtId="0" fontId="1" fillId="34" borderId="1" applyAlignment="1" pivotButton="0" quotePrefix="0" xfId="0">
      <alignment vertical="top" wrapText="1"/>
    </xf>
    <xf numFmtId="0" fontId="1" fillId="32" borderId="1" applyAlignment="1" pivotButton="0" quotePrefix="0" xfId="0">
      <alignment vertical="top" wrapText="1"/>
    </xf>
    <xf numFmtId="0" fontId="1" fillId="33" borderId="1" applyAlignment="1" pivotButton="0" quotePrefix="0" xfId="0">
      <alignment vertical="top" wrapText="1"/>
    </xf>
    <xf numFmtId="0" fontId="17" fillId="36" borderId="0" pivotButton="0" quotePrefix="0" xfId="0"/>
    <xf numFmtId="0" fontId="18" fillId="0" borderId="0" pivotButton="0" quotePrefix="0" xfId="0"/>
    <xf numFmtId="169" fontId="0" fillId="0" borderId="0" pivotButton="0" quotePrefix="0" xfId="0"/>
    <xf numFmtId="0" fontId="18" fillId="37" borderId="0" pivotButton="0" quotePrefix="0" xfId="0"/>
    <xf numFmtId="0" fontId="1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Burndown</a:t>
            </a:r>
          </a:p>
        </rich>
      </tx>
    </title>
    <plotArea>
      <lineChart>
        <grouping val="standard"/>
        <ser>
          <idx val="0"/>
          <order val="0"/>
          <tx>
            <strRef>
              <f>'BP w1_Aug 26'!M1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'BP w1_Aug 26'!$L$2:$L$8</f>
            </numRef>
          </cat>
          <val>
            <numRef>
              <f>'BP w1_Aug 26'!$M$2:$M$8</f>
            </numRef>
          </val>
        </ser>
        <ser>
          <idx val="1"/>
          <order val="1"/>
          <tx>
            <strRef>
              <f>'BP w1_Aug 26'!N1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'BP w1_Aug 26'!$L$2:$L$8</f>
            </numRef>
          </cat>
          <val>
            <numRef>
              <f>'BP w1_Aug 26'!$N$2:$N$8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Remaining Budget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2"/>
  <sheetViews>
    <sheetView workbookViewId="0">
      <pane ySplit="1" topLeftCell="A102" activePane="bottomLeft" state="frozen"/>
      <selection pane="bottomLeft" activeCell="G154" sqref="G154"/>
    </sheetView>
  </sheetViews>
  <sheetFormatPr baseColWidth="10" defaultColWidth="8.83203125" defaultRowHeight="15"/>
  <cols>
    <col width="14" customWidth="1" style="62" min="1" max="1"/>
    <col width="3" customWidth="1" style="62" min="2" max="2"/>
    <col width="18" customWidth="1" style="62" min="3" max="4"/>
    <col width="34" customWidth="1" style="62" min="5" max="5"/>
    <col width="14" customWidth="1" style="62" min="6" max="6"/>
    <col width="16" customWidth="1" style="62" min="7" max="7"/>
    <col width="28" bestFit="1" customWidth="1" style="62" min="8" max="8"/>
    <col width="22" customWidth="1" style="62" min="9" max="9"/>
    <col width="14" customWidth="1" style="62" min="10" max="19"/>
  </cols>
  <sheetData>
    <row r="1">
      <c r="A1" s="25" t="inlineStr">
        <is>
          <t>Total</t>
        </is>
      </c>
      <c r="B1" s="25" t="n"/>
      <c r="C1" s="25" t="inlineStr">
        <is>
          <t>Store</t>
        </is>
      </c>
      <c r="D1" s="25" t="inlineStr">
        <is>
          <t>Six-Digit SKU</t>
        </is>
      </c>
      <c r="E1" s="25" t="inlineStr">
        <is>
          <t>Product</t>
        </is>
      </c>
      <c r="F1" s="25" t="inlineStr">
        <is>
          <t>Tax Code</t>
        </is>
      </c>
      <c r="G1" s="25" t="inlineStr">
        <is>
          <t>Store Number</t>
        </is>
      </c>
      <c r="H1" s="25" t="inlineStr">
        <is>
          <t>Common Name</t>
        </is>
      </c>
      <c r="I1" s="25" t="inlineStr">
        <is>
          <t>Sub-Category</t>
        </is>
      </c>
      <c r="J1" s="25" t="inlineStr">
        <is>
          <t>Date 1</t>
        </is>
      </c>
      <c r="K1" s="25" t="inlineStr">
        <is>
          <t>Price 1</t>
        </is>
      </c>
      <c r="L1" s="25" t="inlineStr">
        <is>
          <t>Date 2</t>
        </is>
      </c>
      <c r="M1" s="25" t="inlineStr">
        <is>
          <t>Price 2</t>
        </is>
      </c>
      <c r="N1" s="25" t="inlineStr">
        <is>
          <t>Date 3</t>
        </is>
      </c>
      <c r="O1" s="25" t="inlineStr">
        <is>
          <t>Price 3</t>
        </is>
      </c>
      <c r="P1" s="25" t="inlineStr">
        <is>
          <t>Date 4</t>
        </is>
      </c>
      <c r="Q1" s="25" t="inlineStr">
        <is>
          <t>Price 4</t>
        </is>
      </c>
      <c r="R1" s="25" t="inlineStr">
        <is>
          <t>Date 5</t>
        </is>
      </c>
      <c r="S1" s="25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</row>
    <row r="119">
      <c r="A119" s="1">
        <f>SUM(K119,M119,O119,Q119,S119)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SUM(K125,M125,O125,Q125,S125)</f>
        <v/>
      </c>
      <c r="C125" t="inlineStr">
        <is>
          <t>Aldi</t>
        </is>
      </c>
      <c r="D125" t="inlineStr">
        <is>
          <t>356661</t>
        </is>
      </c>
      <c r="E125" t="inlineStr">
        <is>
          <t>Sweet Potatoes</t>
        </is>
      </c>
      <c r="F125" t="inlineStr">
        <is>
          <t>FA</t>
        </is>
      </c>
      <c r="G125" t="inlineStr">
        <is>
          <t>238</t>
        </is>
      </c>
      <c r="H125" t="inlineStr">
        <is>
          <t>Sweet Potatoes</t>
        </is>
      </c>
      <c r="I125" t="inlineStr">
        <is>
          <t>Fresh Vegetables</t>
        </is>
      </c>
      <c r="J125" s="2" t="n">
        <v>46264</v>
      </c>
      <c r="K125" s="1" t="n">
        <v>2.99</v>
      </c>
    </row>
    <row r="126">
      <c r="A126" s="1">
        <f>SUM(K126,M126,O126,Q126,S126)</f>
        <v/>
      </c>
      <c r="C126" t="inlineStr">
        <is>
          <t>Aldi</t>
        </is>
      </c>
      <c r="D126" t="inlineStr">
        <is>
          <t>356377</t>
        </is>
      </c>
      <c r="E126" t="inlineStr">
        <is>
          <t>Grape Tomatoes</t>
        </is>
      </c>
      <c r="F126" t="inlineStr">
        <is>
          <t>FA</t>
        </is>
      </c>
      <c r="G126" t="inlineStr">
        <is>
          <t>238</t>
        </is>
      </c>
      <c r="H126" t="inlineStr">
        <is>
          <t>Grape Tomatoes</t>
        </is>
      </c>
      <c r="I126" t="inlineStr">
        <is>
          <t>Fresh Vegetables</t>
        </is>
      </c>
      <c r="J126" s="2" t="n">
        <v>46264</v>
      </c>
      <c r="K126" s="1" t="n">
        <v>1.99</v>
      </c>
    </row>
    <row r="127">
      <c r="A127" s="1">
        <f>SUM(K127,M127,O127,Q127,S127)</f>
        <v/>
      </c>
      <c r="C127" t="inlineStr">
        <is>
          <t>Aldi</t>
        </is>
      </c>
      <c r="D127" t="inlineStr">
        <is>
          <t>382278</t>
        </is>
      </c>
      <c r="E127" t="inlineStr">
        <is>
          <t>Assort beans</t>
        </is>
      </c>
      <c r="F127" t="inlineStr">
        <is>
          <t>FA</t>
        </is>
      </c>
      <c r="G127" t="inlineStr">
        <is>
          <t>238</t>
        </is>
      </c>
      <c r="H127" t="inlineStr">
        <is>
          <t>Assorted Beans</t>
        </is>
      </c>
      <c r="I127" t="inlineStr">
        <is>
          <t>Canned Beans &amp; Legumes</t>
        </is>
      </c>
      <c r="J127" s="2" t="n">
        <v>46264</v>
      </c>
      <c r="K127" s="1" t="n">
        <v>0.89</v>
      </c>
    </row>
    <row r="128">
      <c r="A128" s="1">
        <f>SUM(K128,M128,O128,Q128,S128)</f>
        <v/>
      </c>
      <c r="C128" t="inlineStr">
        <is>
          <t>Aldi</t>
        </is>
      </c>
      <c r="D128" t="inlineStr">
        <is>
          <t>381843</t>
        </is>
      </c>
      <c r="E128" t="inlineStr">
        <is>
          <t>Dark Red Kidney</t>
        </is>
      </c>
      <c r="F128" t="inlineStr">
        <is>
          <t>FA</t>
        </is>
      </c>
      <c r="G128" t="inlineStr">
        <is>
          <t>238</t>
        </is>
      </c>
      <c r="H128" t="inlineStr">
        <is>
          <t>Dark Red Kidney Beans</t>
        </is>
      </c>
      <c r="I128" t="inlineStr">
        <is>
          <t>Canned Beans &amp; Legumes</t>
        </is>
      </c>
      <c r="J128" s="2" t="n">
        <v>46264</v>
      </c>
      <c r="K128" s="1" t="n">
        <v>0.85</v>
      </c>
    </row>
    <row r="129">
      <c r="A129" s="1">
        <f>SUM(K129,M129,O129,Q129,S129)</f>
        <v/>
      </c>
      <c r="C129" t="inlineStr">
        <is>
          <t>Aldi</t>
        </is>
      </c>
      <c r="D129" t="inlineStr">
        <is>
          <t>383038</t>
        </is>
      </c>
      <c r="E129" t="inlineStr">
        <is>
          <t>Dice Tom w/GrnChl</t>
        </is>
      </c>
      <c r="F129" t="inlineStr">
        <is>
          <t>FA</t>
        </is>
      </c>
      <c r="G129" t="inlineStr">
        <is>
          <t>238</t>
        </is>
      </c>
      <c r="H129" t="inlineStr">
        <is>
          <t>Diced Tomatoes with Green Chiles</t>
        </is>
      </c>
      <c r="I129" t="inlineStr">
        <is>
          <t>Canned Tomatoes</t>
        </is>
      </c>
      <c r="J129" s="2" t="n">
        <v>46264</v>
      </c>
      <c r="K129" s="1" t="n">
        <v>0.95</v>
      </c>
    </row>
    <row r="130">
      <c r="A130" s="1">
        <f>SUM(K130,M130,O130,Q130,S130)</f>
        <v/>
      </c>
      <c r="C130" t="inlineStr">
        <is>
          <t>Aldi</t>
        </is>
      </c>
      <c r="D130" t="inlineStr">
        <is>
          <t>356417</t>
        </is>
      </c>
      <c r="E130" t="inlineStr">
        <is>
          <t>Mandarins</t>
        </is>
      </c>
      <c r="F130" t="inlineStr">
        <is>
          <t>FA</t>
        </is>
      </c>
      <c r="G130" t="inlineStr">
        <is>
          <t>238</t>
        </is>
      </c>
      <c r="H130" t="inlineStr">
        <is>
          <t>Mandarin Oranges</t>
        </is>
      </c>
      <c r="I130" t="inlineStr">
        <is>
          <t>Fresh Fruit</t>
        </is>
      </c>
      <c r="J130" s="2" t="n">
        <v>46264</v>
      </c>
      <c r="K130" s="1" t="n">
        <v>3.99</v>
      </c>
    </row>
    <row r="131">
      <c r="A131" s="1">
        <f>SUM(K131,M131,O131,Q131,S131)</f>
        <v/>
      </c>
      <c r="C131" t="inlineStr">
        <is>
          <t>Aldi</t>
        </is>
      </c>
      <c r="D131" t="inlineStr">
        <is>
          <t>383178</t>
        </is>
      </c>
      <c r="E131" t="inlineStr">
        <is>
          <t>Olive Oil Spray</t>
        </is>
      </c>
      <c r="F131" t="inlineStr">
        <is>
          <t>FA</t>
        </is>
      </c>
      <c r="G131" t="inlineStr">
        <is>
          <t>238</t>
        </is>
      </c>
      <c r="H131" t="inlineStr">
        <is>
          <t>Olive Oil Cooking Spray</t>
        </is>
      </c>
      <c r="I131" t="inlineStr">
        <is>
          <t>Cooking Oils &amp; Sprays</t>
        </is>
      </c>
      <c r="J131" s="2" t="n">
        <v>46264</v>
      </c>
      <c r="K131" s="1" t="n">
        <v>4.49</v>
      </c>
    </row>
    <row r="132">
      <c r="A132" s="1">
        <f>SUM(K132,M132,O132,Q132,S132)</f>
        <v/>
      </c>
      <c r="C132" t="inlineStr">
        <is>
          <t>Aldi</t>
        </is>
      </c>
      <c r="D132" t="inlineStr">
        <is>
          <t>356562</t>
        </is>
      </c>
      <c r="E132" t="inlineStr">
        <is>
          <t>Flat Leaf Spinach</t>
        </is>
      </c>
      <c r="F132" t="inlineStr">
        <is>
          <t>FA</t>
        </is>
      </c>
      <c r="G132" t="inlineStr">
        <is>
          <t>238</t>
        </is>
      </c>
      <c r="H132" t="inlineStr">
        <is>
          <t>Flat Leaf Spinach</t>
        </is>
      </c>
      <c r="I132" t="inlineStr">
        <is>
          <t>Fresh Vegetables</t>
        </is>
      </c>
      <c r="J132" s="2" t="n">
        <v>46264</v>
      </c>
      <c r="K132" s="1" t="n">
        <v>1.89</v>
      </c>
    </row>
    <row r="133">
      <c r="A133" s="1">
        <f>SUM(K133,M133,O133,Q133,S133)</f>
        <v/>
      </c>
      <c r="C133" t="inlineStr">
        <is>
          <t>Aldi</t>
        </is>
      </c>
      <c r="D133" t="inlineStr">
        <is>
          <t>465110</t>
        </is>
      </c>
      <c r="E133" t="inlineStr">
        <is>
          <t>Chiquita Maduros</t>
        </is>
      </c>
      <c r="F133" t="inlineStr">
        <is>
          <t>FA</t>
        </is>
      </c>
      <c r="G133" t="inlineStr">
        <is>
          <t>238</t>
        </is>
      </c>
      <c r="H133" t="inlineStr">
        <is>
          <t>Chiquita Maduros Sweet Plantains</t>
        </is>
      </c>
      <c r="I133" t="inlineStr">
        <is>
          <t>Frozen Plantains</t>
        </is>
      </c>
      <c r="J133" s="2" t="n">
        <v>46264</v>
      </c>
      <c r="K133" s="1" t="n">
        <v>6.29</v>
      </c>
    </row>
    <row r="134">
      <c r="A134" s="1">
        <f>SUM(K134,M134,O134,Q134,S134)</f>
        <v/>
      </c>
      <c r="C134" t="inlineStr">
        <is>
          <t>Aldi</t>
        </is>
      </c>
      <c r="D134" t="inlineStr">
        <is>
          <t>401280</t>
        </is>
      </c>
      <c r="E134" t="inlineStr">
        <is>
          <t>Organic Peas/Corn</t>
        </is>
      </c>
      <c r="F134" t="inlineStr">
        <is>
          <t>FA</t>
        </is>
      </c>
      <c r="G134" t="inlineStr">
        <is>
          <t>238</t>
        </is>
      </c>
      <c r="H134" t="inlineStr">
        <is>
          <t>Organic Peas &amp; Corn</t>
        </is>
      </c>
      <c r="I134" t="inlineStr">
        <is>
          <t>Frozen Vegetables</t>
        </is>
      </c>
      <c r="J134" s="2" t="n">
        <v>46264</v>
      </c>
      <c r="K134" s="1" t="n">
        <v>1.59</v>
      </c>
    </row>
    <row r="135">
      <c r="A135" s="1">
        <f>SUM(K135,M135,O135,Q135,S135)</f>
        <v/>
      </c>
      <c r="C135" t="inlineStr">
        <is>
          <t>Aldi</t>
        </is>
      </c>
      <c r="D135" t="inlineStr">
        <is>
          <t>356612</t>
        </is>
      </c>
      <c r="E135" t="inlineStr">
        <is>
          <t>Red Potatoes</t>
        </is>
      </c>
      <c r="F135" t="inlineStr">
        <is>
          <t>FA</t>
        </is>
      </c>
      <c r="G135" t="inlineStr">
        <is>
          <t>238</t>
        </is>
      </c>
      <c r="H135" t="inlineStr">
        <is>
          <t>Red Potatoes</t>
        </is>
      </c>
      <c r="I135" t="inlineStr">
        <is>
          <t>Fresh Vegetables</t>
        </is>
      </c>
      <c r="J135" s="2" t="n">
        <v>46264</v>
      </c>
      <c r="K135" s="1" t="n">
        <v>4.29</v>
      </c>
    </row>
    <row r="136">
      <c r="A136" s="1">
        <f>SUM(K136,M136,O136,Q136,S136)</f>
        <v/>
      </c>
      <c r="C136" t="inlineStr">
        <is>
          <t>Aldi</t>
        </is>
      </c>
      <c r="D136" t="inlineStr">
        <is>
          <t>382696</t>
        </is>
      </c>
      <c r="E136" t="inlineStr">
        <is>
          <t>Whipped Crm Cheese</t>
        </is>
      </c>
      <c r="F136" t="inlineStr">
        <is>
          <t>FA</t>
        </is>
      </c>
      <c r="G136" t="inlineStr">
        <is>
          <t>238</t>
        </is>
      </c>
      <c r="H136" t="inlineStr">
        <is>
          <t>Whipped Cream Cheese</t>
        </is>
      </c>
      <c r="I136" t="inlineStr">
        <is>
          <t>Cream Cheese</t>
        </is>
      </c>
      <c r="J136" s="2" t="n">
        <v>46264</v>
      </c>
      <c r="K136" s="1" t="n">
        <v>1.79</v>
      </c>
    </row>
    <row r="137">
      <c r="A137" s="1">
        <f>SUM(K137,M137,O137,Q137,S137)</f>
        <v/>
      </c>
      <c r="C137" t="inlineStr">
        <is>
          <t>Aldi</t>
        </is>
      </c>
      <c r="D137" t="inlineStr">
        <is>
          <t>383252</t>
        </is>
      </c>
      <c r="E137" t="inlineStr">
        <is>
          <t>Deli Sliced Cheese</t>
        </is>
      </c>
      <c r="F137" t="inlineStr">
        <is>
          <t>FA</t>
        </is>
      </c>
      <c r="G137" t="inlineStr">
        <is>
          <t>238</t>
        </is>
      </c>
      <c r="H137" t="inlineStr">
        <is>
          <t>Deli Sliced Cheese</t>
        </is>
      </c>
      <c r="I137" t="inlineStr">
        <is>
          <t>Cheese</t>
        </is>
      </c>
      <c r="J137" s="2" t="n">
        <v>46264</v>
      </c>
      <c r="K137" s="1" t="n">
        <v>1.49</v>
      </c>
    </row>
    <row r="138">
      <c r="A138" s="1">
        <f>SUM(K138,M138,O138,Q138,S138)</f>
        <v/>
      </c>
      <c r="C138" t="inlineStr">
        <is>
          <t>Aldi</t>
        </is>
      </c>
      <c r="D138" t="inlineStr">
        <is>
          <t>384215</t>
        </is>
      </c>
      <c r="E138" t="inlineStr">
        <is>
          <t>HiFiber Tortilla</t>
        </is>
      </c>
      <c r="F138" t="inlineStr">
        <is>
          <t>FA</t>
        </is>
      </c>
      <c r="G138" t="inlineStr">
        <is>
          <t>238</t>
        </is>
      </c>
      <c r="H138" t="inlineStr">
        <is>
          <t>High-Fiber Tortillas</t>
        </is>
      </c>
      <c r="I138" t="inlineStr">
        <is>
          <t>Tortillas</t>
        </is>
      </c>
      <c r="J138" s="2" t="n">
        <v>46264</v>
      </c>
      <c r="K138" s="1" t="n">
        <v>4.57</v>
      </c>
    </row>
    <row r="139">
      <c r="A139" s="1">
        <f>SUM(K139,M139,O139,Q139,S139)</f>
        <v/>
      </c>
      <c r="C139" t="inlineStr">
        <is>
          <t>Aldi</t>
        </is>
      </c>
      <c r="D139" t="inlineStr">
        <is>
          <t>356646</t>
        </is>
      </c>
      <c r="E139" t="inlineStr">
        <is>
          <t>Strawberries</t>
        </is>
      </c>
      <c r="F139" t="inlineStr">
        <is>
          <t>FA</t>
        </is>
      </c>
      <c r="G139" t="inlineStr">
        <is>
          <t>238</t>
        </is>
      </c>
      <c r="H139" t="inlineStr">
        <is>
          <t>Strawberries</t>
        </is>
      </c>
      <c r="I139" t="inlineStr">
        <is>
          <t>Fresh Fruit</t>
        </is>
      </c>
      <c r="J139" s="2" t="n">
        <v>46264</v>
      </c>
      <c r="K139" s="1" t="n">
        <v>2.29</v>
      </c>
    </row>
    <row r="140">
      <c r="A140" s="1">
        <f>SUM(K140,M140,O140,Q140,S140)</f>
        <v/>
      </c>
      <c r="C140" t="inlineStr">
        <is>
          <t>Aldi</t>
        </is>
      </c>
      <c r="D140" t="inlineStr">
        <is>
          <t>356425</t>
        </is>
      </c>
      <c r="E140" t="inlineStr">
        <is>
          <t>Mini Cucumbers</t>
        </is>
      </c>
      <c r="F140" t="inlineStr">
        <is>
          <t>FA</t>
        </is>
      </c>
      <c r="G140" t="inlineStr">
        <is>
          <t>238</t>
        </is>
      </c>
      <c r="H140" t="inlineStr">
        <is>
          <t>Mini Cucumbers</t>
        </is>
      </c>
      <c r="I140" t="inlineStr">
        <is>
          <t>Fresh Vegetables</t>
        </is>
      </c>
      <c r="J140" s="2" t="n">
        <v>46264</v>
      </c>
      <c r="K140" s="1" t="n">
        <v>1.89</v>
      </c>
    </row>
    <row r="141">
      <c r="A141" s="1">
        <f>SUM(K141,M141,O141,Q141,S141)</f>
        <v/>
      </c>
      <c r="C141" t="inlineStr">
        <is>
          <t>Aldi</t>
        </is>
      </c>
      <c r="D141" t="inlineStr">
        <is>
          <t>382129</t>
        </is>
      </c>
      <c r="E141" t="inlineStr">
        <is>
          <t>Canola Oil</t>
        </is>
      </c>
      <c r="F141" t="inlineStr">
        <is>
          <t>FA</t>
        </is>
      </c>
      <c r="G141" t="inlineStr">
        <is>
          <t>238</t>
        </is>
      </c>
      <c r="H141" t="inlineStr">
        <is>
          <t>Canola Oil</t>
        </is>
      </c>
      <c r="I141" t="inlineStr">
        <is>
          <t>Cooking Oils &amp; Sprays</t>
        </is>
      </c>
      <c r="J141" s="2" t="n">
        <v>46264</v>
      </c>
      <c r="K141" s="1" t="n">
        <v>3.89</v>
      </c>
    </row>
    <row r="142">
      <c r="A142" s="1">
        <f>SUM(K142,M142,O142,Q142,S142)</f>
        <v/>
      </c>
      <c r="C142" t="inlineStr">
        <is>
          <t>Aldi</t>
        </is>
      </c>
      <c r="D142" t="inlineStr">
        <is>
          <t>383168</t>
        </is>
      </c>
      <c r="E142" t="inlineStr">
        <is>
          <t>White Corn Meal</t>
        </is>
      </c>
      <c r="F142" t="inlineStr">
        <is>
          <t>FA</t>
        </is>
      </c>
      <c r="G142" t="inlineStr">
        <is>
          <t>238</t>
        </is>
      </c>
      <c r="H142" t="inlineStr">
        <is>
          <t>White Cornmeal</t>
        </is>
      </c>
      <c r="I142" t="inlineStr">
        <is>
          <t>Baking Ingredients</t>
        </is>
      </c>
      <c r="J142" s="2" t="n">
        <v>46264</v>
      </c>
      <c r="K142" s="1" t="n">
        <v>2.85</v>
      </c>
    </row>
    <row r="143">
      <c r="A143" s="1">
        <f>SUM(K143,M143,O143,Q143,S143)</f>
        <v/>
      </c>
      <c r="C143" t="inlineStr">
        <is>
          <t>Aldi</t>
        </is>
      </c>
      <c r="D143" t="inlineStr">
        <is>
          <t>484162</t>
        </is>
      </c>
      <c r="E143" t="inlineStr">
        <is>
          <t>Crustless PB&amp;J</t>
        </is>
      </c>
      <c r="F143" t="inlineStr">
        <is>
          <t>FA</t>
        </is>
      </c>
      <c r="G143" t="inlineStr">
        <is>
          <t>238</t>
        </is>
      </c>
      <c r="H143" t="inlineStr">
        <is>
          <t>Crustless Peanut Butter &amp; Jelly Sandwiches</t>
        </is>
      </c>
      <c r="I143" t="inlineStr">
        <is>
          <t>Frozen Sandwiches</t>
        </is>
      </c>
      <c r="J143" s="2" t="n">
        <v>46264</v>
      </c>
      <c r="K143" s="1" t="n">
        <v>2.99</v>
      </c>
    </row>
    <row r="144">
      <c r="A144" s="1">
        <f>SUM(K144,M144,O144,Q144,S144)</f>
        <v/>
      </c>
      <c r="C144" t="inlineStr">
        <is>
          <t>Aldi</t>
        </is>
      </c>
      <c r="D144" t="inlineStr">
        <is>
          <t>344280</t>
        </is>
      </c>
      <c r="E144" t="inlineStr">
        <is>
          <t>Cauli Crust Pizza</t>
        </is>
      </c>
      <c r="F144" t="inlineStr">
        <is>
          <t>FA</t>
        </is>
      </c>
      <c r="G144" t="inlineStr">
        <is>
          <t>238</t>
        </is>
      </c>
      <c r="H144" t="inlineStr">
        <is>
          <t>Cauliflower Crust Pizza</t>
        </is>
      </c>
      <c r="I144" t="inlineStr">
        <is>
          <t>Frozen Pizza</t>
        </is>
      </c>
      <c r="J144" s="2" t="n">
        <v>46264</v>
      </c>
      <c r="K144" s="1" t="n">
        <v>8.289999999999999</v>
      </c>
    </row>
    <row r="145">
      <c r="A145" s="1">
        <f>SUM(K145,M145,O145,Q145,S145)</f>
        <v/>
      </c>
      <c r="C145" t="inlineStr">
        <is>
          <t>Aldi</t>
        </is>
      </c>
      <c r="D145" t="inlineStr">
        <is>
          <t>356486</t>
        </is>
      </c>
      <c r="E145" t="inlineStr">
        <is>
          <t>Avocados</t>
        </is>
      </c>
      <c r="F145" t="inlineStr">
        <is>
          <t>FA</t>
        </is>
      </c>
      <c r="G145" t="inlineStr">
        <is>
          <t>238</t>
        </is>
      </c>
      <c r="H145" t="inlineStr">
        <is>
          <t>Avocados</t>
        </is>
      </c>
      <c r="I145" t="inlineStr">
        <is>
          <t>Fresh Fruit</t>
        </is>
      </c>
      <c r="J145" s="2" t="n">
        <v>46264</v>
      </c>
      <c r="K145" s="1" t="n">
        <v>0.65</v>
      </c>
    </row>
    <row r="146">
      <c r="A146" s="1">
        <f>SUM(K146,M146,O146,Q146,S146)</f>
        <v/>
      </c>
      <c r="C146" t="inlineStr">
        <is>
          <t>Aldi</t>
        </is>
      </c>
      <c r="D146" t="inlineStr">
        <is>
          <t>383231</t>
        </is>
      </c>
      <c r="E146" t="inlineStr">
        <is>
          <t>Wht Corn Tortillas</t>
        </is>
      </c>
      <c r="F146" t="inlineStr">
        <is>
          <t>FA</t>
        </is>
      </c>
      <c r="G146" t="inlineStr">
        <is>
          <t>238</t>
        </is>
      </c>
      <c r="H146" t="inlineStr">
        <is>
          <t>White Corn Tortillas</t>
        </is>
      </c>
      <c r="I146" t="inlineStr">
        <is>
          <t>Tortillas</t>
        </is>
      </c>
      <c r="J146" s="2" t="n">
        <v>46264</v>
      </c>
      <c r="K146" s="1" t="n">
        <v>2.44</v>
      </c>
    </row>
    <row r="147">
      <c r="A147" s="1">
        <f>SUM(K147,M147,O147,Q147,S147)</f>
        <v/>
      </c>
      <c r="C147" t="inlineStr">
        <is>
          <t>Aldi</t>
        </is>
      </c>
      <c r="D147" t="inlineStr">
        <is>
          <t>356440</t>
        </is>
      </c>
      <c r="E147" t="inlineStr">
        <is>
          <t>Org Baby Carrots</t>
        </is>
      </c>
      <c r="F147" t="inlineStr">
        <is>
          <t>FA</t>
        </is>
      </c>
      <c r="G147" t="inlineStr">
        <is>
          <t>238</t>
        </is>
      </c>
      <c r="H147" t="inlineStr">
        <is>
          <t>Organic Baby Carrots</t>
        </is>
      </c>
      <c r="I147" t="inlineStr">
        <is>
          <t>Fresh Vegetables</t>
        </is>
      </c>
      <c r="J147" s="2" t="n">
        <v>46264</v>
      </c>
      <c r="K147" s="1" t="n">
        <v>1.79</v>
      </c>
    </row>
    <row r="148">
      <c r="A148" s="1">
        <f>SUM(K148,M148,O148,Q148,S148)</f>
        <v/>
      </c>
      <c r="C148" t="inlineStr">
        <is>
          <t>Aldi</t>
        </is>
      </c>
      <c r="D148" t="inlineStr">
        <is>
          <t>356490</t>
        </is>
      </c>
      <c r="E148" t="inlineStr">
        <is>
          <t>Bagged Avocados</t>
        </is>
      </c>
      <c r="F148" t="inlineStr">
        <is>
          <t>FA</t>
        </is>
      </c>
      <c r="G148" t="inlineStr">
        <is>
          <t>238</t>
        </is>
      </c>
      <c r="H148" t="inlineStr">
        <is>
          <t>Bagged Avocados</t>
        </is>
      </c>
      <c r="I148" t="inlineStr">
        <is>
          <t>Fresh Fruit</t>
        </is>
      </c>
      <c r="J148" s="2" t="n">
        <v>46264</v>
      </c>
      <c r="K148" s="1" t="n">
        <v>3.15</v>
      </c>
    </row>
    <row r="149">
      <c r="A149" s="1">
        <f>SUM(K149,M149,O149,Q149,S149)</f>
        <v/>
      </c>
      <c r="C149" t="inlineStr">
        <is>
          <t>Aldi</t>
        </is>
      </c>
      <c r="D149" t="inlineStr">
        <is>
          <t>356504</t>
        </is>
      </c>
      <c r="E149" t="inlineStr">
        <is>
          <t>Blueberries</t>
        </is>
      </c>
      <c r="F149" t="inlineStr">
        <is>
          <t>FA</t>
        </is>
      </c>
      <c r="G149" t="inlineStr">
        <is>
          <t>238</t>
        </is>
      </c>
      <c r="H149" t="inlineStr">
        <is>
          <t>Blueberries</t>
        </is>
      </c>
      <c r="I149" t="inlineStr">
        <is>
          <t>Fresh Fruit</t>
        </is>
      </c>
      <c r="J149" s="2" t="n">
        <v>46264</v>
      </c>
      <c r="K149" s="1" t="n">
        <v>2.59</v>
      </c>
    </row>
    <row r="150">
      <c r="A150" s="1">
        <f>SUM(K150,M150,O150,Q150,S150)</f>
        <v/>
      </c>
      <c r="C150" t="inlineStr">
        <is>
          <t>Aldi</t>
        </is>
      </c>
      <c r="D150" t="inlineStr">
        <is>
          <t>382773</t>
        </is>
      </c>
      <c r="E150" t="inlineStr">
        <is>
          <t>Cosmic Brewnies</t>
        </is>
      </c>
      <c r="F150" t="inlineStr">
        <is>
          <t>FA</t>
        </is>
      </c>
      <c r="G150" t="inlineStr">
        <is>
          <t>238</t>
        </is>
      </c>
      <c r="H150" t="inlineStr">
        <is>
          <t>Cosmic Brownies</t>
        </is>
      </c>
      <c r="I150" t="inlineStr">
        <is>
          <t>Snack Cakes</t>
        </is>
      </c>
      <c r="J150" s="2" t="n">
        <v>46264</v>
      </c>
      <c r="K150" s="1" t="n">
        <v>3.12</v>
      </c>
    </row>
    <row r="151">
      <c r="A151" s="1">
        <f>SUM(K151,M151,O151,Q151,S151)</f>
        <v/>
      </c>
      <c r="C151" t="inlineStr">
        <is>
          <t>Aldi</t>
        </is>
      </c>
      <c r="D151" t="inlineStr">
        <is>
          <t>388137</t>
        </is>
      </c>
      <c r="E151" t="inlineStr">
        <is>
          <t>Large Eggs</t>
        </is>
      </c>
      <c r="F151" t="inlineStr">
        <is>
          <t>FA</t>
        </is>
      </c>
      <c r="G151" t="inlineStr">
        <is>
          <t>238</t>
        </is>
      </c>
      <c r="H151" t="inlineStr">
        <is>
          <t>Large Eggs</t>
        </is>
      </c>
      <c r="I151" t="inlineStr">
        <is>
          <t>Eggs</t>
        </is>
      </c>
      <c r="J151" s="2" t="n">
        <v>46264</v>
      </c>
      <c r="K151" s="1" t="n">
        <v>1.66</v>
      </c>
      <c r="L151" s="2" t="n">
        <v>46264</v>
      </c>
      <c r="M151" s="1" t="n">
        <v>1.66</v>
      </c>
    </row>
    <row r="152">
      <c r="A152" s="1">
        <f>SUM(K152,M152,O152,Q152,S152)</f>
        <v/>
      </c>
      <c r="C152" t="inlineStr">
        <is>
          <t>Aldi</t>
        </is>
      </c>
      <c r="D152" t="inlineStr">
        <is>
          <t>388137</t>
        </is>
      </c>
      <c r="E152" t="inlineStr">
        <is>
          <t>4 lb. Sugar</t>
        </is>
      </c>
      <c r="F152" t="inlineStr">
        <is>
          <t>FA</t>
        </is>
      </c>
      <c r="G152" t="inlineStr">
        <is>
          <t>238</t>
        </is>
      </c>
      <c r="H152" t="inlineStr">
        <is>
          <t>Granulated Sugar, 4 lb</t>
        </is>
      </c>
      <c r="I152" t="inlineStr">
        <is>
          <t>Baking Ingredients</t>
        </is>
      </c>
      <c r="J152" s="2" t="n">
        <v>46264</v>
      </c>
      <c r="K152" s="1" t="n">
        <v>2.75</v>
      </c>
      <c r="L152" s="2" t="n"/>
      <c r="M152" s="1" t="n"/>
    </row>
  </sheetData>
  <autoFilter ref="A1:S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6"/>
  <sheetViews>
    <sheetView showGridLines="0"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10" defaultColWidth="8.83203125" defaultRowHeight="15"/>
  <cols>
    <col width="24" customWidth="1" style="62" min="1" max="1"/>
    <col width="28" customWidth="1" style="62" min="2" max="2"/>
    <col width="34" customWidth="1" style="62" min="3" max="20"/>
  </cols>
  <sheetData>
    <row r="1" ht="24" customHeight="1" s="62">
      <c r="A1" s="48" t="inlineStr">
        <is>
          <t>Category</t>
        </is>
      </c>
      <c r="B1" s="48" t="inlineStr">
        <is>
          <t>Sub-Category</t>
        </is>
      </c>
      <c r="C1" s="48" t="inlineStr">
        <is>
          <t>Product 1</t>
        </is>
      </c>
      <c r="D1" s="48" t="inlineStr">
        <is>
          <t>Product 2</t>
        </is>
      </c>
      <c r="E1" s="48" t="inlineStr">
        <is>
          <t>Product 3</t>
        </is>
      </c>
      <c r="F1" s="48" t="inlineStr">
        <is>
          <t>Product 4</t>
        </is>
      </c>
      <c r="G1" s="48" t="inlineStr">
        <is>
          <t>Product 5</t>
        </is>
      </c>
      <c r="H1" s="48" t="inlineStr">
        <is>
          <t>Product 6</t>
        </is>
      </c>
      <c r="I1" s="48" t="inlineStr">
        <is>
          <t>Product 7</t>
        </is>
      </c>
      <c r="J1" s="48" t="inlineStr">
        <is>
          <t>Product 8</t>
        </is>
      </c>
      <c r="K1" s="48" t="inlineStr">
        <is>
          <t>Product 9</t>
        </is>
      </c>
      <c r="L1" s="48" t="inlineStr">
        <is>
          <t>Product 10</t>
        </is>
      </c>
      <c r="M1" s="48" t="inlineStr">
        <is>
          <t>Product 11</t>
        </is>
      </c>
      <c r="N1" s="48" t="inlineStr">
        <is>
          <t>Product 12</t>
        </is>
      </c>
      <c r="O1" s="48" t="inlineStr">
        <is>
          <t>Product 13</t>
        </is>
      </c>
      <c r="P1" s="48" t="inlineStr">
        <is>
          <t>Product 14</t>
        </is>
      </c>
      <c r="Q1" s="48" t="inlineStr">
        <is>
          <t>Product 15</t>
        </is>
      </c>
      <c r="R1" s="48" t="inlineStr">
        <is>
          <t>Product 16</t>
        </is>
      </c>
      <c r="S1" s="48" t="inlineStr">
        <is>
          <t>Product 17</t>
        </is>
      </c>
      <c r="T1" s="48" t="inlineStr">
        <is>
          <t>Product 18</t>
        </is>
      </c>
    </row>
    <row r="2" ht="36" customHeight="1" s="62">
      <c r="A2" s="49" t="inlineStr">
        <is>
          <t>Baby Care</t>
        </is>
      </c>
      <c r="B2" s="49" t="inlineStr">
        <is>
          <t>Baby &amp; Toddler Food</t>
        </is>
      </c>
      <c r="C2" s="50" t="inlineStr">
        <is>
          <t>Once Upon a Farm Tractor Wheels Toddler Bars</t>
        </is>
      </c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  <c r="P2" s="50" t="n"/>
      <c r="Q2" s="50" t="n"/>
      <c r="R2" s="50" t="n"/>
      <c r="S2" s="50" t="n"/>
      <c r="T2" s="50" t="n"/>
    </row>
    <row r="3" ht="36" customHeight="1" s="62">
      <c r="A3" s="51" t="inlineStr">
        <is>
          <t>Baby Care</t>
        </is>
      </c>
      <c r="B3" s="51" t="inlineStr">
        <is>
          <t>Baby Care</t>
        </is>
      </c>
      <c r="C3" s="52" t="inlineStr">
        <is>
          <t>CeraVe Baby Healing Ointment</t>
        </is>
      </c>
      <c r="D3" s="52" t="inlineStr">
        <is>
          <t>Desitin Maximum Strength Diaper Rash Cream</t>
        </is>
      </c>
      <c r="E3" s="52" t="inlineStr">
        <is>
          <t>Huggies Natural Care Baby Wipes</t>
        </is>
      </c>
      <c r="F3" s="52" t="inlineStr">
        <is>
          <t>Pampers Swaddlers Size 5 Diapers</t>
        </is>
      </c>
      <c r="G3" s="52" t="inlineStr">
        <is>
          <t>Safety 1st Soft Grip Brush &amp; Comb</t>
        </is>
      </c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</row>
    <row r="4" ht="36" customHeight="1" s="62">
      <c r="A4" s="53" t="inlineStr">
        <is>
          <t>Pantry</t>
        </is>
      </c>
      <c r="B4" s="53" t="inlineStr">
        <is>
          <t>Baking Ingredients</t>
        </is>
      </c>
      <c r="C4" s="54" t="inlineStr">
        <is>
          <t>Granulated Sugar, 4 lb</t>
        </is>
      </c>
      <c r="D4" s="54" t="inlineStr">
        <is>
          <t>Nestle Toll House Allergen-Free Dark Chocolate Baking Chips</t>
        </is>
      </c>
      <c r="E4" s="54" t="inlineStr">
        <is>
          <t>Nestle Toll House Dark Chocolate Baking Chips</t>
        </is>
      </c>
      <c r="F4" s="54" t="inlineStr">
        <is>
          <t>White Cornmeal</t>
        </is>
      </c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</row>
    <row r="5" ht="36" customHeight="1" s="62">
      <c r="A5" s="55" t="inlineStr">
        <is>
          <t>Dessert</t>
        </is>
      </c>
      <c r="B5" s="55" t="inlineStr">
        <is>
          <t>Baking Mixes</t>
        </is>
      </c>
      <c r="C5" s="56" t="inlineStr">
        <is>
          <t>Ghirardelli Gluten-Free Double Chocolate Brownie Mix</t>
        </is>
      </c>
      <c r="D5" s="56" t="inlineStr">
        <is>
          <t>King Arthur Gluten-Free Pancake Mix</t>
        </is>
      </c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</row>
    <row r="6" ht="36" customHeight="1" s="62">
      <c r="A6" s="57" t="inlineStr">
        <is>
          <t>Toiletries, Cleaning and Disposables</t>
        </is>
      </c>
      <c r="B6" s="57" t="inlineStr">
        <is>
          <t>Body Wash</t>
        </is>
      </c>
      <c r="C6" s="58" t="inlineStr">
        <is>
          <t>Dove Sensitive Skin Body Wash</t>
        </is>
      </c>
      <c r="D6" s="58" t="n"/>
      <c r="E6" s="58" t="n"/>
      <c r="F6" s="58" t="n"/>
      <c r="G6" s="58" t="n"/>
      <c r="H6" s="58" t="n"/>
      <c r="I6" s="58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</row>
    <row r="7" ht="36" customHeight="1" s="62">
      <c r="A7" s="59" t="inlineStr">
        <is>
          <t>Bakery</t>
        </is>
      </c>
      <c r="B7" s="59" t="inlineStr">
        <is>
          <t>Bread</t>
        </is>
      </c>
      <c r="C7" s="60" t="inlineStr">
        <is>
          <t>Dave's Killer Bread Oats &amp; Blues</t>
        </is>
      </c>
      <c r="D7" s="60" t="inlineStr">
        <is>
          <t>Gluten-Free Wide Pan Bread</t>
        </is>
      </c>
      <c r="E7" s="60" t="inlineStr">
        <is>
          <t>No [or possibly Nature's Own] Honey Wheat Bread</t>
        </is>
      </c>
      <c r="F7" s="60" t="n"/>
      <c r="G7" s="60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</row>
    <row r="8" ht="36" customHeight="1" s="62">
      <c r="A8" s="49" t="inlineStr">
        <is>
          <t>Pantry</t>
        </is>
      </c>
      <c r="B8" s="49" t="inlineStr">
        <is>
          <t>Canned Beans &amp; Legumes</t>
        </is>
      </c>
      <c r="C8" s="50" t="inlineStr">
        <is>
          <t>Assorted Beans</t>
        </is>
      </c>
      <c r="D8" s="50" t="inlineStr">
        <is>
          <t>Dark Red Kidney Beans</t>
        </is>
      </c>
      <c r="E8" s="50" t="inlineStr">
        <is>
          <t>Organic Chickpeas</t>
        </is>
      </c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</row>
    <row r="9" ht="36" customHeight="1" s="62">
      <c r="A9" s="70" t="inlineStr">
        <is>
          <t>Pantry</t>
        </is>
      </c>
      <c r="B9" s="51" t="inlineStr">
        <is>
          <t>Canned Tomatoes</t>
        </is>
      </c>
      <c r="C9" s="52" t="inlineStr">
        <is>
          <t>Diced Tomatoes with Green Chiles</t>
        </is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</row>
    <row r="10" ht="36" customHeight="1" s="62">
      <c r="A10" s="53" t="inlineStr">
        <is>
          <t>Pets</t>
        </is>
      </c>
      <c r="B10" s="53" t="inlineStr">
        <is>
          <t>Cat Litter</t>
        </is>
      </c>
      <c r="C10" s="54" t="inlineStr">
        <is>
          <t>Purina Tidy Cats Clumping Cat Litter</t>
        </is>
      </c>
      <c r="D10" s="54" t="n"/>
      <c r="E10" s="54" t="n"/>
      <c r="F10" s="54" t="n"/>
      <c r="G10" s="54" t="n"/>
      <c r="H10" s="54" t="n"/>
      <c r="I10" s="54" t="n"/>
      <c r="J10" s="54" t="n"/>
      <c r="K10" s="54" t="n"/>
      <c r="L10" s="54" t="n"/>
      <c r="M10" s="54" t="n"/>
      <c r="N10" s="54" t="n"/>
      <c r="O10" s="54" t="n"/>
      <c r="P10" s="54" t="n"/>
      <c r="Q10" s="54" t="n"/>
      <c r="R10" s="54" t="n"/>
      <c r="S10" s="54" t="n"/>
      <c r="T10" s="54" t="n"/>
    </row>
    <row r="11" ht="36" customHeight="1" s="62">
      <c r="A11" s="55" t="inlineStr">
        <is>
          <t>Dairy</t>
        </is>
      </c>
      <c r="B11" s="55" t="inlineStr">
        <is>
          <t>Cheese</t>
        </is>
      </c>
      <c r="C11" s="56" t="inlineStr">
        <is>
          <t>Cabot Mexican Shredded Cheese</t>
        </is>
      </c>
      <c r="D11" s="56" t="inlineStr">
        <is>
          <t>Deli Sliced Cheese</t>
        </is>
      </c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</row>
    <row r="12" ht="36" customHeight="1" s="62">
      <c r="A12" s="71" t="inlineStr">
        <is>
          <t>Condiments &amp; Seasonings</t>
        </is>
      </c>
      <c r="B12" s="57" t="inlineStr">
        <is>
          <t>Cooking Oils &amp; Sprays</t>
        </is>
      </c>
      <c r="C12" s="58" t="inlineStr">
        <is>
          <t>Canola Oil</t>
        </is>
      </c>
      <c r="D12" s="58" t="inlineStr">
        <is>
          <t>Olive Oil Cooking Spray</t>
        </is>
      </c>
      <c r="E12" s="58" t="n"/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58" t="n"/>
      <c r="T12" s="58" t="n"/>
    </row>
    <row r="13" ht="36" customHeight="1" s="62">
      <c r="A13" s="59" t="inlineStr">
        <is>
          <t>Pantry</t>
        </is>
      </c>
      <c r="B13" s="59" t="inlineStr">
        <is>
          <t>Crackers</t>
        </is>
      </c>
      <c r="C13" s="60" t="inlineStr">
        <is>
          <t>Peanut Butter Toast Crackers</t>
        </is>
      </c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</row>
    <row r="14" ht="36" customHeight="1" s="62">
      <c r="A14" s="49" t="inlineStr">
        <is>
          <t>Dairy</t>
        </is>
      </c>
      <c r="B14" s="49" t="inlineStr">
        <is>
          <t>Cream &amp; Half-and-Half</t>
        </is>
      </c>
      <c r="C14" s="50" t="inlineStr">
        <is>
          <t>Publix Half &amp; Half, Half Gallon</t>
        </is>
      </c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</row>
    <row r="15" ht="36" customHeight="1" s="62">
      <c r="A15" s="70" t="inlineStr">
        <is>
          <t>Dairy</t>
        </is>
      </c>
      <c r="B15" s="51" t="inlineStr">
        <is>
          <t>Cream Cheese</t>
        </is>
      </c>
      <c r="C15" s="52" t="inlineStr">
        <is>
          <t>Whipped Cream Cheese</t>
        </is>
      </c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</row>
    <row r="16" ht="36" customHeight="1" s="62">
      <c r="A16" s="53" t="inlineStr">
        <is>
          <t>Pantry</t>
        </is>
      </c>
      <c r="B16" s="53" t="inlineStr">
        <is>
          <t>Croutons</t>
        </is>
      </c>
      <c r="C16" s="54" t="inlineStr">
        <is>
          <t>Organic Croutons</t>
        </is>
      </c>
      <c r="D16" s="54" t="n"/>
      <c r="E16" s="54" t="n"/>
      <c r="F16" s="54" t="n"/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  <c r="P16" s="54" t="n"/>
      <c r="Q16" s="54" t="n"/>
      <c r="R16" s="54" t="n"/>
      <c r="S16" s="54" t="n"/>
      <c r="T16" s="54" t="n"/>
    </row>
    <row r="17" ht="36" customHeight="1" s="62">
      <c r="A17" s="55" t="inlineStr">
        <is>
          <t>Meat</t>
        </is>
      </c>
      <c r="B17" s="55" t="inlineStr">
        <is>
          <t>Deli Meat</t>
        </is>
      </c>
      <c r="C17" s="56" t="inlineStr">
        <is>
          <t>Hillshire Farm Oven Roasted Turkey Breast</t>
        </is>
      </c>
      <c r="D17" s="56" t="n"/>
      <c r="E17" s="56" t="n"/>
      <c r="F17" s="56" t="n"/>
      <c r="G17" s="56" t="n"/>
      <c r="H17" s="56" t="n"/>
      <c r="I17" s="56" t="n"/>
      <c r="J17" s="56" t="n"/>
      <c r="K17" s="56" t="n"/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</row>
    <row r="18" ht="36" customHeight="1" s="62">
      <c r="A18" s="57" t="inlineStr">
        <is>
          <t>Toiletries, Cleaning and Disposables</t>
        </is>
      </c>
      <c r="B18" s="57" t="inlineStr">
        <is>
          <t>Deodorant</t>
        </is>
      </c>
      <c r="C18" s="58" t="inlineStr">
        <is>
          <t>Dove Men+Care Antiperspirant</t>
        </is>
      </c>
      <c r="D18" s="58" t="n"/>
      <c r="E18" s="58" t="n"/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8" t="n"/>
    </row>
    <row r="19" ht="36" customHeight="1" s="62">
      <c r="A19" s="59" t="inlineStr">
        <is>
          <t>Condiments &amp; Seasonings</t>
        </is>
      </c>
      <c r="B19" s="59" t="inlineStr">
        <is>
          <t>Dips &amp; Spreads</t>
        </is>
      </c>
      <c r="C19" s="60" t="inlineStr">
        <is>
          <t>Hummus Mini Cups</t>
        </is>
      </c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</row>
    <row r="20" ht="36" customHeight="1" s="62">
      <c r="A20" s="49" t="inlineStr">
        <is>
          <t>Toiletries, Cleaning and Disposables</t>
        </is>
      </c>
      <c r="B20" s="49" t="inlineStr">
        <is>
          <t>Dishwashing Supplies</t>
        </is>
      </c>
      <c r="C20" s="50" t="inlineStr">
        <is>
          <t>Dawn Dish Cleaning Brush Wand</t>
        </is>
      </c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0" t="n"/>
    </row>
    <row r="21" ht="36" customHeight="1" s="62">
      <c r="A21" s="51" t="inlineStr">
        <is>
          <t>Toiletries, Cleaning and Disposables</t>
        </is>
      </c>
      <c r="B21" s="51" t="inlineStr">
        <is>
          <t>Disposable Tableware</t>
        </is>
      </c>
      <c r="C21" s="52" t="inlineStr">
        <is>
          <t>Everyday Paper Plates, 8.5 Inch</t>
        </is>
      </c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</row>
    <row r="22" ht="36" customHeight="1" s="62">
      <c r="A22" s="53" t="inlineStr">
        <is>
          <t>Eggs</t>
        </is>
      </c>
      <c r="B22" s="53" t="inlineStr">
        <is>
          <t>Eggs</t>
        </is>
      </c>
      <c r="C22" s="54" t="inlineStr">
        <is>
          <t>Great Value Large White Eggs</t>
        </is>
      </c>
      <c r="D22" s="54" t="inlineStr">
        <is>
          <t>Large Eggs</t>
        </is>
      </c>
      <c r="E22" s="54" t="n"/>
      <c r="F22" s="54" t="n"/>
      <c r="G22" s="54" t="n"/>
      <c r="H22" s="54" t="n"/>
      <c r="I22" s="54" t="n"/>
      <c r="J22" s="54" t="n"/>
      <c r="K22" s="54" t="n"/>
      <c r="L22" s="54" t="n"/>
      <c r="M22" s="54" t="n"/>
      <c r="N22" s="54" t="n"/>
      <c r="O22" s="54" t="n"/>
      <c r="P22" s="54" t="n"/>
      <c r="Q22" s="54" t="n"/>
      <c r="R22" s="54" t="n"/>
      <c r="S22" s="54" t="n"/>
      <c r="T22" s="54" t="n"/>
    </row>
    <row r="23" ht="36" customHeight="1" s="62">
      <c r="A23" s="55" t="inlineStr">
        <is>
          <t>Fees</t>
        </is>
      </c>
      <c r="B23" s="55" t="inlineStr">
        <is>
          <t>Fees &amp; Charges</t>
        </is>
      </c>
      <c r="C23" s="56" t="inlineStr">
        <is>
          <t>Driver Tip</t>
        </is>
      </c>
      <c r="D23" s="56" t="inlineStr">
        <is>
          <t>Express Delivery Fee</t>
        </is>
      </c>
      <c r="E23" s="56" t="inlineStr">
        <is>
          <t>Price Adjustment</t>
        </is>
      </c>
      <c r="F23" s="56" t="inlineStr">
        <is>
          <t>Tax</t>
        </is>
      </c>
      <c r="G23" s="56" t="inlineStr">
        <is>
          <t>Tip</t>
        </is>
      </c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</row>
    <row r="24" ht="36" customHeight="1" s="62">
      <c r="A24" s="57" t="inlineStr">
        <is>
          <t>Toiletries, Cleaning and Disposables</t>
        </is>
      </c>
      <c r="B24" s="57" t="inlineStr">
        <is>
          <t>Food Storage</t>
        </is>
      </c>
      <c r="C24" s="58" t="inlineStr">
        <is>
          <t>Ziploc Gallon Freezer Bags</t>
        </is>
      </c>
      <c r="D24" s="58" t="inlineStr">
        <is>
          <t>Ziploc Quart Freezer Bags</t>
        </is>
      </c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8" t="n"/>
    </row>
    <row r="25" ht="36" customHeight="1" s="62">
      <c r="A25" s="59" t="inlineStr">
        <is>
          <t>Produce</t>
        </is>
      </c>
      <c r="B25" s="59" t="inlineStr">
        <is>
          <t>Fresh Fruit</t>
        </is>
      </c>
      <c r="C25" s="60" t="inlineStr">
        <is>
          <t>Avocados</t>
        </is>
      </c>
      <c r="D25" s="60" t="inlineStr">
        <is>
          <t>Bagged Avocados</t>
        </is>
      </c>
      <c r="E25" s="60" t="inlineStr">
        <is>
          <t>Bananas</t>
        </is>
      </c>
      <c r="F25" s="60" t="inlineStr">
        <is>
          <t>Blueberries</t>
        </is>
      </c>
      <c r="G25" s="60" t="inlineStr">
        <is>
          <t>Golden Kiwi</t>
        </is>
      </c>
      <c r="H25" s="60" t="inlineStr">
        <is>
          <t>Mandarin Oranges</t>
        </is>
      </c>
      <c r="I25" s="60" t="inlineStr">
        <is>
          <t>Pink Lady Apples</t>
        </is>
      </c>
      <c r="J25" s="60" t="inlineStr">
        <is>
          <t>Strawberries</t>
        </is>
      </c>
      <c r="K25" s="60" t="inlineStr">
        <is>
          <t>Strawberries, 1 lb</t>
        </is>
      </c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</row>
    <row r="26" ht="36" customHeight="1" s="62">
      <c r="A26" s="49" t="inlineStr">
        <is>
          <t>Produce</t>
        </is>
      </c>
      <c r="B26" s="49" t="inlineStr">
        <is>
          <t>Fresh Herbs</t>
        </is>
      </c>
      <c r="C26" s="50" t="inlineStr">
        <is>
          <t>Cilantro</t>
        </is>
      </c>
      <c r="D26" s="50" t="inlineStr">
        <is>
          <t>Parsley</t>
        </is>
      </c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0" t="n"/>
    </row>
    <row r="27" ht="36" customHeight="1" s="62">
      <c r="A27" s="51" t="inlineStr">
        <is>
          <t>Meat</t>
        </is>
      </c>
      <c r="B27" s="51" t="inlineStr">
        <is>
          <t>Fresh Poultry</t>
        </is>
      </c>
      <c r="C27" s="52" t="inlineStr">
        <is>
          <t>Empire Kosher Ground Turkey</t>
        </is>
      </c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</row>
    <row r="28" ht="36" customHeight="1" s="62">
      <c r="A28" s="53" t="inlineStr">
        <is>
          <t>Fish</t>
        </is>
      </c>
      <c r="B28" s="53" t="inlineStr">
        <is>
          <t>Fresh Seafood</t>
        </is>
      </c>
      <c r="C28" s="54" t="inlineStr">
        <is>
          <t>GreenWise Keta Salmon Fillet</t>
        </is>
      </c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</row>
    <row r="29" ht="36" customHeight="1" s="62">
      <c r="A29" s="55" t="inlineStr">
        <is>
          <t>Produce</t>
        </is>
      </c>
      <c r="B29" s="55" t="inlineStr">
        <is>
          <t>Fresh Vegetables</t>
        </is>
      </c>
      <c r="C29" s="56" t="inlineStr">
        <is>
          <t>Baby Carrots</t>
        </is>
      </c>
      <c r="D29" s="56" t="inlineStr">
        <is>
          <t>Beefsteak Tomatoes</t>
        </is>
      </c>
      <c r="E29" s="56" t="inlineStr">
        <is>
          <t>Broccoli Crowns</t>
        </is>
      </c>
      <c r="F29" s="56" t="inlineStr">
        <is>
          <t>Flat Leaf Spinach</t>
        </is>
      </c>
      <c r="G29" s="56" t="inlineStr">
        <is>
          <t>Grape Tomatoes</t>
        </is>
      </c>
      <c r="H29" s="56" t="inlineStr">
        <is>
          <t>Green Beans</t>
        </is>
      </c>
      <c r="I29" s="56" t="inlineStr">
        <is>
          <t>Medley Potatoes</t>
        </is>
      </c>
      <c r="J29" s="56" t="inlineStr">
        <is>
          <t>Mini Cucumbers</t>
        </is>
      </c>
      <c r="K29" s="56" t="inlineStr">
        <is>
          <t>Multi-Color Peppers, 3-Pack</t>
        </is>
      </c>
      <c r="L29" s="56" t="inlineStr">
        <is>
          <t>Organic Baby Carrots</t>
        </is>
      </c>
      <c r="M29" s="56" t="inlineStr">
        <is>
          <t>Red Onion</t>
        </is>
      </c>
      <c r="N29" s="56" t="inlineStr">
        <is>
          <t>Red Onions</t>
        </is>
      </c>
      <c r="O29" s="56" t="inlineStr">
        <is>
          <t>Red Potatoes</t>
        </is>
      </c>
      <c r="P29" s="56" t="inlineStr">
        <is>
          <t>Ruby Sensation Potato Nibbles</t>
        </is>
      </c>
      <c r="Q29" s="56" t="inlineStr">
        <is>
          <t>Sweet Potatoes</t>
        </is>
      </c>
      <c r="R29" s="56" t="inlineStr">
        <is>
          <t>Tomatoes on the Vine</t>
        </is>
      </c>
      <c r="S29" s="56" t="inlineStr">
        <is>
          <t>Yellow Squash</t>
        </is>
      </c>
      <c r="T29" s="56" t="inlineStr">
        <is>
          <t>Zucchini</t>
        </is>
      </c>
    </row>
    <row r="30" ht="36" customHeight="1" s="62">
      <c r="A30" s="57" t="inlineStr">
        <is>
          <t>Produce</t>
        </is>
      </c>
      <c r="B30" s="57" t="inlineStr">
        <is>
          <t>Fresh-Cut Fruit</t>
        </is>
      </c>
      <c r="C30" s="58" t="inlineStr">
        <is>
          <t>Pineapple &amp; Watermelon Spears</t>
        </is>
      </c>
      <c r="D30" s="58" t="n"/>
      <c r="E30" s="58" t="n"/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8" t="n"/>
    </row>
    <row r="31" ht="36" customHeight="1" s="62">
      <c r="A31" s="59" t="inlineStr">
        <is>
          <t>Frozen</t>
        </is>
      </c>
      <c r="B31" s="59" t="inlineStr">
        <is>
          <t>Frozen Breakfast</t>
        </is>
      </c>
      <c r="C31" s="60" t="inlineStr">
        <is>
          <t>Van's Gluten Free Blueberry Waffles</t>
        </is>
      </c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</row>
    <row r="32" ht="36" customHeight="1" s="62">
      <c r="A32" s="49" t="inlineStr">
        <is>
          <t>Meat</t>
        </is>
      </c>
      <c r="B32" s="49" t="inlineStr">
        <is>
          <t>Frozen Meat</t>
        </is>
      </c>
      <c r="C32" s="50" t="inlineStr">
        <is>
          <t>Applegate Chicken &amp; Maple Breakfast Sausage</t>
        </is>
      </c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</row>
    <row r="33" ht="36" customHeight="1" s="62">
      <c r="A33" s="51" t="inlineStr">
        <is>
          <t>Frozen Food</t>
        </is>
      </c>
      <c r="B33" s="51" t="inlineStr">
        <is>
          <t>Frozen Pizza</t>
        </is>
      </c>
      <c r="C33" s="52" t="inlineStr">
        <is>
          <t>Cauliflower Crust Pizza</t>
        </is>
      </c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</row>
    <row r="34" ht="36" customHeight="1" s="62">
      <c r="A34" s="72" t="inlineStr">
        <is>
          <t>Frozen Food</t>
        </is>
      </c>
      <c r="B34" s="53" t="inlineStr">
        <is>
          <t>Frozen Plantains</t>
        </is>
      </c>
      <c r="C34" s="54" t="inlineStr">
        <is>
          <t>Chiquita Maduros Sweet Plantains</t>
        </is>
      </c>
      <c r="D34" s="54" t="n"/>
      <c r="E34" s="54" t="n"/>
      <c r="F34" s="54" t="n"/>
      <c r="G34" s="54" t="n"/>
      <c r="H34" s="54" t="n"/>
      <c r="I34" s="54" t="n"/>
      <c r="J34" s="54" t="n"/>
      <c r="K34" s="54" t="n"/>
      <c r="L34" s="54" t="n"/>
      <c r="M34" s="54" t="n"/>
      <c r="N34" s="54" t="n"/>
      <c r="O34" s="54" t="n"/>
      <c r="P34" s="54" t="n"/>
      <c r="Q34" s="54" t="n"/>
      <c r="R34" s="54" t="n"/>
      <c r="S34" s="54" t="n"/>
      <c r="T34" s="54" t="n"/>
    </row>
    <row r="35" ht="36" customHeight="1" s="62">
      <c r="A35" s="73" t="inlineStr">
        <is>
          <t>Frozen Food</t>
        </is>
      </c>
      <c r="B35" s="55" t="inlineStr">
        <is>
          <t>Frozen Sandwiches</t>
        </is>
      </c>
      <c r="C35" s="56" t="inlineStr">
        <is>
          <t>Crustless Peanut Butter &amp; Jelly Sandwiches</t>
        </is>
      </c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</row>
    <row r="36" ht="36" customHeight="1" s="62">
      <c r="A36" s="57" t="inlineStr">
        <is>
          <t>Frozen Food</t>
        </is>
      </c>
      <c r="B36" s="57" t="inlineStr">
        <is>
          <t>Frozen Vegetables</t>
        </is>
      </c>
      <c r="C36" s="58" t="inlineStr">
        <is>
          <t>Birds Eye Steamfresh Sweet Peas</t>
        </is>
      </c>
      <c r="D36" s="58" t="inlineStr">
        <is>
          <t>Organic Peas &amp; Corn</t>
        </is>
      </c>
      <c r="E36" s="58" t="n"/>
      <c r="F36" s="58" t="n"/>
      <c r="G36" s="58" t="n"/>
      <c r="H36" s="58" t="n"/>
      <c r="I36" s="58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8" t="n"/>
    </row>
    <row r="37" ht="36" customHeight="1" s="62">
      <c r="A37" s="59" t="inlineStr">
        <is>
          <t>Self Care</t>
        </is>
      </c>
      <c r="B37" s="59" t="inlineStr">
        <is>
          <t>Hair Care</t>
        </is>
      </c>
      <c r="C37" s="60" t="inlineStr">
        <is>
          <t>Honest Company Conditioning Detangler</t>
        </is>
      </c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</row>
    <row r="38" ht="36" customHeight="1" s="62">
      <c r="A38" s="49" t="inlineStr">
        <is>
          <t>Home Improvement</t>
        </is>
      </c>
      <c r="B38" s="49" t="inlineStr">
        <is>
          <t>Home Improvement</t>
        </is>
      </c>
      <c r="C38" s="50" t="inlineStr">
        <is>
          <t>Command Heavy Duty Picture Hangers</t>
        </is>
      </c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</row>
    <row r="39" ht="36" customHeight="1" s="62">
      <c r="A39" s="51" t="inlineStr">
        <is>
          <t>Meat</t>
        </is>
      </c>
      <c r="B39" s="51" t="inlineStr">
        <is>
          <t>Hot Dogs &amp; Sausages</t>
        </is>
      </c>
      <c r="C39" s="52" t="inlineStr">
        <is>
          <t>Hebrew National Beef Franks</t>
        </is>
      </c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</row>
    <row r="40" ht="36" customHeight="1" s="62">
      <c r="A40" s="53" t="inlineStr">
        <is>
          <t>Toiletries, Cleaning and Disposables</t>
        </is>
      </c>
      <c r="B40" s="53" t="inlineStr">
        <is>
          <t>Household Cleaners</t>
        </is>
      </c>
      <c r="C40" s="54" t="inlineStr">
        <is>
          <t>Weiman Granite &amp; Stone Cleaner &amp; Polish</t>
        </is>
      </c>
      <c r="D40" s="54" t="n"/>
      <c r="E40" s="54" t="n"/>
      <c r="F40" s="54" t="n"/>
      <c r="G40" s="54" t="n"/>
      <c r="H40" s="54" t="n"/>
      <c r="I40" s="54" t="n"/>
      <c r="J40" s="54" t="n"/>
      <c r="K40" s="54" t="n"/>
      <c r="L40" s="54" t="n"/>
      <c r="M40" s="54" t="n"/>
      <c r="N40" s="54" t="n"/>
      <c r="O40" s="54" t="n"/>
      <c r="P40" s="54" t="n"/>
      <c r="Q40" s="54" t="n"/>
      <c r="R40" s="54" t="n"/>
      <c r="S40" s="54" t="n"/>
      <c r="T40" s="54" t="n"/>
    </row>
    <row r="41" ht="36" customHeight="1" s="62">
      <c r="A41" s="55" t="inlineStr">
        <is>
          <t>Pantry</t>
        </is>
      </c>
      <c r="B41" s="55" t="inlineStr">
        <is>
          <t>Jarred Vegetables</t>
        </is>
      </c>
      <c r="C41" s="56" t="inlineStr">
        <is>
          <t>Fire Roasted Red Peppers</t>
        </is>
      </c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</row>
    <row r="42" ht="36" customHeight="1" s="62">
      <c r="A42" s="57" t="inlineStr">
        <is>
          <t>Torah</t>
        </is>
      </c>
      <c r="B42" s="57" t="inlineStr">
        <is>
          <t>Judaica</t>
        </is>
      </c>
      <c r="C42" s="58" t="inlineStr">
        <is>
          <t>Yehuda Sabbath Candles</t>
        </is>
      </c>
      <c r="D42" s="58" t="n"/>
      <c r="E42" s="58" t="n"/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</row>
    <row r="43" ht="36" customHeight="1" s="62">
      <c r="A43" s="59" t="inlineStr">
        <is>
          <t>Pantry</t>
        </is>
      </c>
      <c r="B43" s="59" t="inlineStr">
        <is>
          <t>Macaroni &amp; Cheese</t>
        </is>
      </c>
      <c r="C43" s="60" t="inlineStr">
        <is>
          <t>Annie's Gluten-Free Deluxe Shells &amp; Cheddar</t>
        </is>
      </c>
      <c r="D43" s="60" t="inlineStr">
        <is>
          <t>Banza White Cheddar Shells</t>
        </is>
      </c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</row>
    <row r="44" ht="36" customHeight="1" s="62">
      <c r="A44" s="49" t="inlineStr">
        <is>
          <t>Dairy</t>
        </is>
      </c>
      <c r="B44" s="49" t="inlineStr">
        <is>
          <t>Milk</t>
        </is>
      </c>
      <c r="C44" s="50" t="inlineStr">
        <is>
          <t>Fairlife Chocolate Milk</t>
        </is>
      </c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</row>
    <row r="45" ht="36" customHeight="1" s="62">
      <c r="A45" s="51" t="inlineStr">
        <is>
          <t>Bakery</t>
        </is>
      </c>
      <c r="B45" s="51" t="inlineStr">
        <is>
          <t>Muffins &amp; Pastries</t>
        </is>
      </c>
      <c r="C45" s="52" t="inlineStr">
        <is>
          <t>Gluten-Free Blueberry Muffins</t>
        </is>
      </c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</row>
    <row r="46" ht="36" customHeight="1" s="62">
      <c r="A46" s="53" t="inlineStr">
        <is>
          <t>Pantry</t>
        </is>
      </c>
      <c r="B46" s="53" t="inlineStr">
        <is>
          <t>Pasta</t>
        </is>
      </c>
      <c r="C46" s="54" t="inlineStr">
        <is>
          <t>Chickpea Fusilli Pasta</t>
        </is>
      </c>
      <c r="D46" s="54" t="n"/>
      <c r="E46" s="54" t="n"/>
      <c r="F46" s="54" t="n"/>
      <c r="G46" s="54" t="n"/>
      <c r="H46" s="54" t="n"/>
      <c r="I46" s="54" t="n"/>
      <c r="J46" s="54" t="n"/>
      <c r="K46" s="54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4" t="n"/>
    </row>
    <row r="47" ht="36" customHeight="1" s="62">
      <c r="A47" s="55" t="inlineStr">
        <is>
          <t>Pantry</t>
        </is>
      </c>
      <c r="B47" s="55" t="inlineStr">
        <is>
          <t>Peanut Butter</t>
        </is>
      </c>
      <c r="C47" s="56" t="inlineStr">
        <is>
          <t>Jif No Sugar Added Creamy Peanut Butter</t>
        </is>
      </c>
      <c r="D47" s="56" t="n"/>
      <c r="E47" s="56" t="n"/>
      <c r="F47" s="56" t="n"/>
      <c r="G47" s="56" t="n"/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6" t="n"/>
    </row>
    <row r="48" ht="36" customHeight="1" s="62">
      <c r="A48" s="57" t="inlineStr">
        <is>
          <t>Dairy</t>
        </is>
      </c>
      <c r="B48" s="57" t="inlineStr">
        <is>
          <t>Plant-Based Cheese</t>
        </is>
      </c>
      <c r="C48" s="58" t="inlineStr">
        <is>
          <t>Daiya Mexican Blend Shreds</t>
        </is>
      </c>
      <c r="D48" s="58" t="n"/>
      <c r="E48" s="58" t="n"/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8" t="n"/>
    </row>
    <row r="49" ht="36" customHeight="1" s="62">
      <c r="A49" s="59" t="inlineStr">
        <is>
          <t>Dairy</t>
        </is>
      </c>
      <c r="B49" s="59" t="inlineStr">
        <is>
          <t>Plant-Based Milk</t>
        </is>
      </c>
      <c r="C49" s="60" t="inlineStr">
        <is>
          <t>Chobani Extra Creamy Oatmilk</t>
        </is>
      </c>
      <c r="D49" s="60" t="inlineStr">
        <is>
          <t>Silk Organic Unsweet Soymilk, Half Gallon</t>
        </is>
      </c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</row>
    <row r="50" ht="36" customHeight="1" s="62">
      <c r="A50" s="49" t="inlineStr">
        <is>
          <t>Pantry</t>
        </is>
      </c>
      <c r="B50" s="49" t="inlineStr">
        <is>
          <t>Popcorn</t>
        </is>
      </c>
      <c r="C50" s="50" t="inlineStr">
        <is>
          <t>LesserEvil Popcorn</t>
        </is>
      </c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</row>
    <row r="51" ht="36" customHeight="1" s="62">
      <c r="A51" s="51" t="inlineStr">
        <is>
          <t>Prepared Eating</t>
        </is>
      </c>
      <c r="B51" s="51" t="inlineStr">
        <is>
          <t>Prepared Coffee</t>
        </is>
      </c>
      <c r="C51" s="52" t="inlineStr">
        <is>
          <t>1 Caramel Macchiato</t>
        </is>
      </c>
      <c r="D51" s="52" t="inlineStr">
        <is>
          <t>1 Iced Caramel Macchiato</t>
        </is>
      </c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</row>
    <row r="52" ht="36" customHeight="1" s="62">
      <c r="A52" s="53" t="inlineStr">
        <is>
          <t>Prepared Eating</t>
        </is>
      </c>
      <c r="B52" s="53" t="inlineStr">
        <is>
          <t>Prepared Meals</t>
        </is>
      </c>
      <c r="C52" s="54" t="inlineStr">
        <is>
          <t>1 Chicken N French Toast</t>
        </is>
      </c>
      <c r="D52" s="54" t="inlineStr">
        <is>
          <t>1 Frenchy Plate</t>
        </is>
      </c>
      <c r="E52" s="54" t="n"/>
      <c r="F52" s="54" t="n"/>
      <c r="G52" s="54" t="n"/>
      <c r="H52" s="54" t="n"/>
      <c r="I52" s="54" t="n"/>
      <c r="J52" s="54" t="n"/>
      <c r="K52" s="54" t="n"/>
      <c r="L52" s="54" t="n"/>
      <c r="M52" s="54" t="n"/>
      <c r="N52" s="54" t="n"/>
      <c r="O52" s="54" t="n"/>
      <c r="P52" s="54" t="n"/>
      <c r="Q52" s="54" t="n"/>
      <c r="R52" s="54" t="n"/>
      <c r="S52" s="54" t="n"/>
      <c r="T52" s="54" t="n"/>
    </row>
    <row r="53" ht="36" customHeight="1" s="62">
      <c r="A53" s="55" t="inlineStr">
        <is>
          <t>Dessert</t>
        </is>
      </c>
      <c r="B53" s="55" t="inlineStr">
        <is>
          <t>Refrigerated Dough</t>
        </is>
      </c>
      <c r="C53" s="56" t="inlineStr">
        <is>
          <t>Sweet Loren's Gluten Free Brownie Cookie Dough</t>
        </is>
      </c>
      <c r="D53" s="56" t="n"/>
      <c r="E53" s="56" t="n"/>
      <c r="F53" s="56" t="n"/>
      <c r="G53" s="56" t="n"/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6" t="n"/>
    </row>
    <row r="54" ht="36" customHeight="1" s="62">
      <c r="A54" s="57" t="inlineStr">
        <is>
          <t>Pantry</t>
        </is>
      </c>
      <c r="B54" s="57" t="inlineStr">
        <is>
          <t>Rice &amp; Grains</t>
        </is>
      </c>
      <c r="C54" s="58" t="inlineStr">
        <is>
          <t>Mahatma Jasmine Rice</t>
        </is>
      </c>
      <c r="D54" s="58" t="n"/>
      <c r="E54" s="58" t="n"/>
      <c r="F54" s="58" t="n"/>
      <c r="G54" s="58" t="n"/>
      <c r="H54" s="58" t="n"/>
      <c r="I54" s="58" t="n"/>
      <c r="J54" s="58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58" t="n"/>
      <c r="T54" s="58" t="n"/>
    </row>
    <row r="55" ht="36" customHeight="1" s="62">
      <c r="A55" s="59" t="inlineStr">
        <is>
          <t>Pantry</t>
        </is>
      </c>
      <c r="B55" s="59" t="inlineStr">
        <is>
          <t>Salad Dressing</t>
        </is>
      </c>
      <c r="C55" s="60" t="inlineStr">
        <is>
          <t>Vinaigrette Dressing</t>
        </is>
      </c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</row>
    <row r="56" ht="36" customHeight="1" s="62">
      <c r="A56" s="49" t="inlineStr">
        <is>
          <t>Produce</t>
        </is>
      </c>
      <c r="B56" s="49" t="inlineStr">
        <is>
          <t>Salad Kits</t>
        </is>
      </c>
      <c r="C56" s="50" t="inlineStr">
        <is>
          <t>Taylor Farms Chopped Caesar Salad Kit</t>
        </is>
      </c>
      <c r="D56" s="50" t="inlineStr">
        <is>
          <t>Taylor Farms Everything Chopped Salad Kit</t>
        </is>
      </c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</row>
    <row r="57" ht="36" customHeight="1" s="62">
      <c r="A57" s="51" t="inlineStr">
        <is>
          <t>Condiments &amp; Seasonings</t>
        </is>
      </c>
      <c r="B57" s="51" t="inlineStr">
        <is>
          <t>Sauces &amp; Condiments</t>
        </is>
      </c>
      <c r="C57" s="52" t="inlineStr">
        <is>
          <t>Cholula Cremosa Cilantro Lime Sauce</t>
        </is>
      </c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</row>
    <row r="58" ht="36" customHeight="1" s="62">
      <c r="A58" s="53" t="inlineStr">
        <is>
          <t>Condiments &amp; Seasonings</t>
        </is>
      </c>
      <c r="B58" s="53" t="inlineStr">
        <is>
          <t>Seasonings &amp; Spices</t>
        </is>
      </c>
      <c r="C58" s="54" t="inlineStr">
        <is>
          <t>Lawry's Garlic Salt</t>
        </is>
      </c>
      <c r="D58" s="54" t="inlineStr">
        <is>
          <t>McCormick Everything Bagel Seasoning</t>
        </is>
      </c>
      <c r="E58" s="54" t="inlineStr">
        <is>
          <t>McCormick Sea Salt Grinder</t>
        </is>
      </c>
      <c r="F58" s="54" t="n"/>
      <c r="G58" s="54" t="n"/>
      <c r="H58" s="54" t="n"/>
      <c r="I58" s="54" t="n"/>
      <c r="J58" s="54" t="n"/>
      <c r="K58" s="54" t="n"/>
      <c r="L58" s="54" t="n"/>
      <c r="M58" s="54" t="n"/>
      <c r="N58" s="54" t="n"/>
      <c r="O58" s="54" t="n"/>
      <c r="P58" s="54" t="n"/>
      <c r="Q58" s="54" t="n"/>
      <c r="R58" s="54" t="n"/>
      <c r="S58" s="54" t="n"/>
      <c r="T58" s="54" t="n"/>
    </row>
    <row r="59" ht="36" customHeight="1" s="62">
      <c r="A59" s="55" t="inlineStr">
        <is>
          <t>Pantry</t>
        </is>
      </c>
      <c r="B59" s="55" t="inlineStr">
        <is>
          <t>Snack Bars</t>
        </is>
      </c>
      <c r="C59" s="56" t="inlineStr">
        <is>
          <t>Fruit &amp; Grain Bars</t>
        </is>
      </c>
      <c r="D59" s="56" t="inlineStr">
        <is>
          <t>Nature's Bakery Gluten-Free Raspberry Fig Bars</t>
        </is>
      </c>
      <c r="E59" s="56" t="n"/>
      <c r="F59" s="56" t="n"/>
      <c r="G59" s="56" t="n"/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6" t="n"/>
    </row>
    <row r="60" ht="36" customHeight="1" s="62">
      <c r="A60" s="71" t="inlineStr">
        <is>
          <t>Dessert</t>
        </is>
      </c>
      <c r="B60" s="57" t="inlineStr">
        <is>
          <t>Snack Cakes</t>
        </is>
      </c>
      <c r="C60" s="58" t="inlineStr">
        <is>
          <t>Cosmic Brownies</t>
        </is>
      </c>
      <c r="D60" s="58" t="n"/>
      <c r="E60" s="58" t="n"/>
      <c r="F60" s="58" t="n"/>
      <c r="G60" s="58" t="n"/>
      <c r="H60" s="58" t="n"/>
      <c r="I60" s="58" t="n"/>
      <c r="J60" s="58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8" t="n"/>
    </row>
    <row r="61" ht="36" customHeight="1" s="62">
      <c r="A61" s="59" t="inlineStr">
        <is>
          <t>Dairy</t>
        </is>
      </c>
      <c r="B61" s="59" t="inlineStr">
        <is>
          <t>Specialty Cheese</t>
        </is>
      </c>
      <c r="C61" s="60" t="inlineStr">
        <is>
          <t>Feta Cheese Crumbles</t>
        </is>
      </c>
      <c r="D61" s="60" t="inlineStr">
        <is>
          <t>Goat Cheese Logs</t>
        </is>
      </c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</row>
    <row r="62" ht="36" customHeight="1" s="62">
      <c r="A62" s="49" t="inlineStr">
        <is>
          <t>Toiletries, Cleaning and Disposables</t>
        </is>
      </c>
      <c r="B62" s="49" t="inlineStr">
        <is>
          <t>Storage &amp; Organization</t>
        </is>
      </c>
      <c r="C62" s="50" t="inlineStr">
        <is>
          <t>Collapsible Storage Container/Bin</t>
        </is>
      </c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</row>
    <row r="63" ht="36" customHeight="1" s="62">
      <c r="A63" s="70" t="inlineStr">
        <is>
          <t>Pantry</t>
        </is>
      </c>
      <c r="B63" s="51" t="inlineStr">
        <is>
          <t>Tortillas</t>
        </is>
      </c>
      <c r="C63" s="52" t="inlineStr">
        <is>
          <t>High-Fiber Tortillas</t>
        </is>
      </c>
      <c r="D63" s="52" t="inlineStr">
        <is>
          <t>White Corn Tortillas</t>
        </is>
      </c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</row>
    <row r="64" ht="36" customHeight="1" s="62">
      <c r="A64" s="53" t="inlineStr">
        <is>
          <t>Wine</t>
        </is>
      </c>
      <c r="B64" s="53" t="inlineStr">
        <is>
          <t>Wine</t>
        </is>
      </c>
      <c r="C64" s="54" t="inlineStr">
        <is>
          <t>Häagen-Dazs Blackberry Ice Cream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54" t="n"/>
      <c r="P64" s="54" t="n"/>
      <c r="Q64" s="54" t="n"/>
      <c r="R64" s="54" t="n"/>
      <c r="S64" s="54" t="n"/>
      <c r="T64" s="54" t="n"/>
    </row>
    <row r="65" ht="36" customHeight="1" s="62">
      <c r="A65" s="55" t="inlineStr">
        <is>
          <t>Office Supplies</t>
        </is>
      </c>
      <c r="B65" s="55" t="inlineStr">
        <is>
          <t>Writing Supplies</t>
        </is>
      </c>
      <c r="C65" s="56" t="inlineStr">
        <is>
          <t>Gel Pens, 3-Pack</t>
        </is>
      </c>
      <c r="D65" s="56" t="n"/>
      <c r="E65" s="56" t="n"/>
      <c r="F65" s="56" t="n"/>
      <c r="G65" s="56" t="n"/>
      <c r="H65" s="56" t="n"/>
      <c r="I65" s="56" t="n"/>
      <c r="J65" s="56" t="n"/>
      <c r="K65" s="56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6" t="n"/>
    </row>
    <row r="66" ht="36" customHeight="1" s="62">
      <c r="A66" s="57" t="inlineStr">
        <is>
          <t>Dairy</t>
        </is>
      </c>
      <c r="B66" s="57" t="inlineStr">
        <is>
          <t>Yogurt</t>
        </is>
      </c>
      <c r="C66" s="58" t="inlineStr">
        <is>
          <t>Chobani Greek Yogurt 4-Pack, Hero Batch</t>
        </is>
      </c>
      <c r="D66" s="58" t="inlineStr">
        <is>
          <t>Chobani Protein Greek Yogurt Drink, Strawberries &amp; Cream</t>
        </is>
      </c>
      <c r="E66" s="58" t="inlineStr">
        <is>
          <t>Chobani Vanilla Mixed Berry Greek Yogurt</t>
        </is>
      </c>
      <c r="F66" s="58" t="inlineStr">
        <is>
          <t>Stonyfield Organic YoBaby Yogurt Pouch, Banana</t>
        </is>
      </c>
      <c r="G66" s="58" t="inlineStr">
        <is>
          <t>Stonyfield Organic YoBaby Yogurt Pouch, Peach</t>
        </is>
      </c>
      <c r="H66" s="58" t="n"/>
      <c r="I66" s="58" t="n"/>
      <c r="J66" s="58" t="n"/>
      <c r="K66" s="58" t="n"/>
      <c r="L66" s="58" t="n"/>
      <c r="M66" s="58" t="n"/>
      <c r="N66" s="58" t="n"/>
      <c r="O66" s="58" t="n"/>
      <c r="P66" s="58" t="n"/>
      <c r="Q66" s="58" t="n"/>
      <c r="R66" s="58" t="n"/>
      <c r="S66" s="58" t="n"/>
      <c r="T66" s="58" t="n"/>
    </row>
  </sheetData>
  <autoFilter ref="A1:T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62" min="1" max="15"/>
    <col width="2" customWidth="1" style="62" min="16" max="16"/>
    <col width="4" customWidth="1" style="62" min="17" max="17"/>
    <col width="5" customWidth="1" style="62" min="18" max="18"/>
    <col width="15" customWidth="1" style="62" min="19" max="22"/>
    <col width="14" customWidth="1" style="62" min="23" max="23"/>
    <col width="2" customWidth="1" style="62" min="24" max="24"/>
    <col width="13" customWidth="1" style="62" min="25" max="33"/>
  </cols>
  <sheetData>
    <row r="1" ht="28" customHeight="1" s="62">
      <c r="A1" s="65" t="inlineStr">
        <is>
          <t>ShopGraph Sub Analytics</t>
        </is>
      </c>
    </row>
    <row r="2" ht="28" customHeight="1" s="62"/>
    <row r="4">
      <c r="A4" s="29" t="inlineStr">
        <is>
          <t>Total Spending</t>
        </is>
      </c>
      <c r="G4" s="29" t="inlineStr">
        <is>
          <t>Purchase Observations</t>
        </is>
      </c>
      <c r="M4" s="29" t="inlineStr">
        <is>
          <t>Date Range</t>
        </is>
      </c>
      <c r="T4" s="29" t="inlineStr">
        <is>
          <t>Stores</t>
        </is>
      </c>
      <c r="Z4" s="29" t="inlineStr">
        <is>
          <t>Sub-Categories</t>
        </is>
      </c>
    </row>
    <row r="5" ht="16" customHeight="1" s="62">
      <c r="A5" s="30" t="n">
        <v>979.8000000000001</v>
      </c>
      <c r="G5" s="31" t="n">
        <v>187</v>
      </c>
      <c r="M5" s="31" t="inlineStr">
        <is>
          <t>08/06/2026 - 08/30/2026</t>
        </is>
      </c>
      <c r="T5" s="31" t="n">
        <v>5</v>
      </c>
      <c r="Z5" s="31" t="n">
        <v>64</v>
      </c>
    </row>
    <row r="8" ht="16" customHeight="1" s="62">
      <c r="Q8" s="63" t="inlineStr">
        <is>
          <t>Number / Month</t>
        </is>
      </c>
      <c r="Y8" s="63" t="inlineStr">
        <is>
          <t>How to Read This Graph</t>
        </is>
      </c>
    </row>
    <row r="9">
      <c r="Q9" s="32" t="n"/>
      <c r="R9" s="32" t="inlineStr">
        <is>
          <t>#</t>
        </is>
      </c>
      <c r="S9" s="32" t="inlineStr">
        <is>
          <t>Description</t>
        </is>
      </c>
      <c r="W9" s="32" t="inlineStr">
        <is>
          <t>Value</t>
        </is>
      </c>
    </row>
    <row r="10" ht="22" customHeight="1" s="62">
      <c r="Q10" s="33" t="n"/>
      <c r="R10" s="34" t="n">
        <v>1</v>
      </c>
      <c r="S10" s="61" t="inlineStr">
        <is>
          <t>August 2026</t>
        </is>
      </c>
      <c r="W10" s="6" t="inlineStr">
        <is>
          <t>$979.80</t>
        </is>
      </c>
      <c r="Y10" s="64" t="inlineStr">
        <is>
          <t>What it represents</t>
        </is>
      </c>
    </row>
    <row r="11">
      <c r="Y11" s="61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4" t="inlineStr">
        <is>
          <t>How to read it</t>
        </is>
      </c>
    </row>
    <row r="17">
      <c r="Y17" s="61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4" t="inlineStr">
        <is>
          <t>What it is useful for</t>
        </is>
      </c>
    </row>
    <row r="23">
      <c r="Y23" s="61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4" t="inlineStr">
        <is>
          <t>Notes</t>
        </is>
      </c>
    </row>
    <row r="29">
      <c r="Y29" s="61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2">
      <c r="Q44" s="63" t="inlineStr">
        <is>
          <t>Number / Sub-Category</t>
        </is>
      </c>
      <c r="Y44" s="63" t="inlineStr">
        <is>
          <t>How to Read This Graph</t>
        </is>
      </c>
    </row>
    <row r="45">
      <c r="Q45" s="32" t="n"/>
      <c r="R45" s="32" t="inlineStr">
        <is>
          <t>#</t>
        </is>
      </c>
      <c r="S45" s="32" t="inlineStr">
        <is>
          <t>Description</t>
        </is>
      </c>
      <c r="W45" s="32" t="inlineStr">
        <is>
          <t>Value</t>
        </is>
      </c>
    </row>
    <row r="46" ht="22" customHeight="1" s="62">
      <c r="Q46" s="33" t="n"/>
      <c r="R46" s="34" t="n">
        <v>1</v>
      </c>
      <c r="S46" s="61" t="inlineStr">
        <is>
          <t>Baby Care</t>
        </is>
      </c>
      <c r="W46" s="6" t="inlineStr">
        <is>
          <t>$136.04</t>
        </is>
      </c>
      <c r="Y46" s="64" t="inlineStr">
        <is>
          <t>What it represents</t>
        </is>
      </c>
    </row>
    <row r="47" ht="22" customHeight="1" s="62">
      <c r="Q47" s="35" t="n"/>
      <c r="R47" s="34" t="n">
        <v>2</v>
      </c>
      <c r="S47" s="61" t="inlineStr">
        <is>
          <t>Fees &amp; Charges</t>
        </is>
      </c>
      <c r="W47" s="6" t="inlineStr">
        <is>
          <t>$87.39</t>
        </is>
      </c>
      <c r="Y47" s="61" t="inlineStr">
        <is>
          <t>Compares total spending across every sub-category in Purchase History. No sub-categories are collapsed into an 'Other' group.</t>
        </is>
      </c>
    </row>
    <row r="48" ht="22" customHeight="1" s="62">
      <c r="Q48" s="36" t="n"/>
      <c r="R48" s="34" t="n">
        <v>3</v>
      </c>
      <c r="S48" s="61" t="inlineStr">
        <is>
          <t>Fresh Fruit</t>
        </is>
      </c>
      <c r="W48" s="6" t="inlineStr">
        <is>
          <t>$69.72</t>
        </is>
      </c>
    </row>
    <row r="49" ht="22" customHeight="1" s="62">
      <c r="Q49" s="37" t="n"/>
      <c r="R49" s="34" t="n">
        <v>4</v>
      </c>
      <c r="S49" s="61" t="inlineStr">
        <is>
          <t>Fresh Vegetables</t>
        </is>
      </c>
      <c r="W49" s="6" t="inlineStr">
        <is>
          <t>$53.99</t>
        </is>
      </c>
    </row>
    <row r="50" ht="22" customHeight="1" s="62">
      <c r="Q50" s="38" t="n"/>
      <c r="R50" s="34" t="n">
        <v>5</v>
      </c>
      <c r="S50" s="61" t="inlineStr">
        <is>
          <t>Cat Litter</t>
        </is>
      </c>
      <c r="W50" s="6" t="inlineStr">
        <is>
          <t>$47.88</t>
        </is>
      </c>
    </row>
    <row r="51" ht="22" customHeight="1" s="62">
      <c r="Q51" s="39" t="n"/>
      <c r="R51" s="34" t="n">
        <v>6</v>
      </c>
      <c r="S51" s="61" t="inlineStr">
        <is>
          <t>Yogurt</t>
        </is>
      </c>
      <c r="W51" s="6" t="inlineStr">
        <is>
          <t>$45.36</t>
        </is>
      </c>
    </row>
    <row r="52" ht="22" customHeight="1" s="62">
      <c r="Q52" s="40" t="n"/>
      <c r="R52" s="34" t="n">
        <v>7</v>
      </c>
      <c r="S52" s="61" t="inlineStr">
        <is>
          <t>Baking Ingredients</t>
        </is>
      </c>
      <c r="W52" s="6" t="inlineStr">
        <is>
          <t>$32.26</t>
        </is>
      </c>
      <c r="Y52" s="64" t="inlineStr">
        <is>
          <t>How to read it</t>
        </is>
      </c>
    </row>
    <row r="53" ht="22" customHeight="1" s="62">
      <c r="Q53" s="41" t="n"/>
      <c r="R53" s="34" t="n">
        <v>8</v>
      </c>
      <c r="S53" s="61" t="inlineStr">
        <is>
          <t>Prepared Meals</t>
        </is>
      </c>
      <c r="W53" s="6" t="inlineStr">
        <is>
          <t>$31.20</t>
        </is>
      </c>
      <c r="Y53" s="61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62">
      <c r="Q54" s="42" t="n"/>
      <c r="R54" s="34" t="n">
        <v>9</v>
      </c>
      <c r="S54" s="61" t="inlineStr">
        <is>
          <t>Home Improvement</t>
        </is>
      </c>
      <c r="W54" s="6" t="inlineStr">
        <is>
          <t>$28.54</t>
        </is>
      </c>
    </row>
    <row r="55" ht="22" customHeight="1" s="62">
      <c r="Q55" s="43" t="n"/>
      <c r="R55" s="34" t="n">
        <v>10</v>
      </c>
      <c r="S55" s="61" t="inlineStr">
        <is>
          <t>Plant-Based Milk</t>
        </is>
      </c>
      <c r="W55" s="6" t="inlineStr">
        <is>
          <t>$26.91</t>
        </is>
      </c>
    </row>
    <row r="56" ht="22" customHeight="1" s="62">
      <c r="Q56" s="44" t="n"/>
      <c r="R56" s="34" t="n">
        <v>11</v>
      </c>
      <c r="S56" s="61" t="inlineStr">
        <is>
          <t>Body Wash</t>
        </is>
      </c>
      <c r="W56" s="6" t="inlineStr">
        <is>
          <t>$19.88</t>
        </is>
      </c>
    </row>
    <row r="57" ht="22" customHeight="1" s="62">
      <c r="Q57" s="45" t="n"/>
      <c r="R57" s="34" t="n">
        <v>12</v>
      </c>
      <c r="S57" s="61" t="inlineStr">
        <is>
          <t>Macaroni &amp; Cheese</t>
        </is>
      </c>
      <c r="W57" s="6" t="inlineStr">
        <is>
          <t>$18.88</t>
        </is>
      </c>
    </row>
    <row r="58" ht="22" customHeight="1" s="62">
      <c r="Q58" s="33" t="n"/>
      <c r="R58" s="34" t="n">
        <v>13</v>
      </c>
      <c r="S58" s="61" t="inlineStr">
        <is>
          <t>Baking Mixes</t>
        </is>
      </c>
      <c r="W58" s="6" t="inlineStr">
        <is>
          <t>$18.49</t>
        </is>
      </c>
      <c r="Y58" s="64" t="inlineStr">
        <is>
          <t>What it is useful for</t>
        </is>
      </c>
    </row>
    <row r="59" ht="22" customHeight="1" s="62">
      <c r="Q59" s="35" t="n"/>
      <c r="R59" s="34" t="n">
        <v>14</v>
      </c>
      <c r="S59" s="61" t="inlineStr">
        <is>
          <t>Seasonings &amp; Spices</t>
        </is>
      </c>
      <c r="W59" s="6" t="inlineStr">
        <is>
          <t>$18.19</t>
        </is>
      </c>
      <c r="Y59" s="61" t="inlineStr">
        <is>
          <t>Use this to see which types of goods are the biggest drivers of household spending.</t>
        </is>
      </c>
    </row>
    <row r="60" ht="22" customHeight="1" s="62">
      <c r="Q60" s="36" t="n"/>
      <c r="R60" s="34" t="n">
        <v>15</v>
      </c>
      <c r="S60" s="61" t="inlineStr">
        <is>
          <t>Frozen Pizza</t>
        </is>
      </c>
      <c r="W60" s="6" t="inlineStr">
        <is>
          <t>$16.58</t>
        </is>
      </c>
    </row>
    <row r="61" ht="22" customHeight="1" s="62">
      <c r="Q61" s="37" t="n"/>
      <c r="R61" s="34" t="n">
        <v>16</v>
      </c>
      <c r="S61" s="61" t="inlineStr">
        <is>
          <t>Bread</t>
        </is>
      </c>
      <c r="W61" s="6" t="inlineStr">
        <is>
          <t>$16.14</t>
        </is>
      </c>
    </row>
    <row r="62" ht="22" customHeight="1" s="62">
      <c r="Q62" s="38" t="n"/>
      <c r="R62" s="34" t="n">
        <v>17</v>
      </c>
      <c r="S62" s="61" t="inlineStr">
        <is>
          <t>Food Storage</t>
        </is>
      </c>
      <c r="W62" s="6" t="inlineStr">
        <is>
          <t>$14.46</t>
        </is>
      </c>
    </row>
    <row r="63" ht="22" customHeight="1" s="62">
      <c r="Q63" s="39" t="n"/>
      <c r="R63" s="34" t="n">
        <v>18</v>
      </c>
      <c r="S63" s="61" t="inlineStr">
        <is>
          <t>Fresh Seafood</t>
        </is>
      </c>
      <c r="W63" s="6" t="inlineStr">
        <is>
          <t>$14.29</t>
        </is>
      </c>
    </row>
    <row r="64" ht="22" customHeight="1" s="62">
      <c r="Q64" s="40" t="n"/>
      <c r="R64" s="34" t="n">
        <v>19</v>
      </c>
      <c r="S64" s="61" t="inlineStr">
        <is>
          <t>Fresh Poultry</t>
        </is>
      </c>
      <c r="W64" s="6" t="inlineStr">
        <is>
          <t>$13.98</t>
        </is>
      </c>
    </row>
    <row r="65" ht="22" customHeight="1" s="62">
      <c r="Q65" s="41" t="n"/>
      <c r="R65" s="34" t="n">
        <v>20</v>
      </c>
      <c r="S65" s="61" t="inlineStr">
        <is>
          <t>Hair Care</t>
        </is>
      </c>
      <c r="W65" s="6" t="inlineStr">
        <is>
          <t>$13.92</t>
        </is>
      </c>
    </row>
    <row r="66" ht="22" customHeight="1" s="62">
      <c r="Q66" s="42" t="n"/>
      <c r="R66" s="34" t="n">
        <v>21</v>
      </c>
      <c r="S66" s="61" t="inlineStr">
        <is>
          <t>Cheese</t>
        </is>
      </c>
      <c r="W66" s="6" t="inlineStr">
        <is>
          <t>$13.42</t>
        </is>
      </c>
    </row>
    <row r="67" ht="22" customHeight="1" s="62">
      <c r="Q67" s="43" t="n"/>
      <c r="R67" s="34" t="n">
        <v>22</v>
      </c>
      <c r="S67" s="61" t="inlineStr">
        <is>
          <t>Eggs</t>
        </is>
      </c>
      <c r="W67" s="6" t="inlineStr">
        <is>
          <t>$13.08</t>
        </is>
      </c>
    </row>
    <row r="68" ht="22" customHeight="1" s="62">
      <c r="Q68" s="44" t="n"/>
      <c r="R68" s="34" t="n">
        <v>23</v>
      </c>
      <c r="S68" s="61" t="inlineStr">
        <is>
          <t>Frozen Meat</t>
        </is>
      </c>
      <c r="W68" s="6" t="inlineStr">
        <is>
          <t>$11.76</t>
        </is>
      </c>
    </row>
    <row r="69" ht="22" customHeight="1" s="62">
      <c r="Q69" s="45" t="n"/>
      <c r="R69" s="34" t="n">
        <v>24</v>
      </c>
      <c r="S69" s="61" t="inlineStr">
        <is>
          <t>Prepared Coffee</t>
        </is>
      </c>
      <c r="W69" s="6" t="inlineStr">
        <is>
          <t>$11.00</t>
        </is>
      </c>
    </row>
    <row r="70" ht="22" customHeight="1" s="62">
      <c r="Q70" s="33" t="n"/>
      <c r="R70" s="34" t="n">
        <v>25</v>
      </c>
      <c r="S70" s="61" t="inlineStr">
        <is>
          <t>Milk</t>
        </is>
      </c>
      <c r="W70" s="6" t="inlineStr">
        <is>
          <t>$10.64</t>
        </is>
      </c>
    </row>
    <row r="71" ht="22" customHeight="1" s="62">
      <c r="Q71" s="35" t="n"/>
      <c r="R71" s="34" t="n">
        <v>26</v>
      </c>
      <c r="S71" s="61" t="inlineStr">
        <is>
          <t>Salad Kits</t>
        </is>
      </c>
      <c r="W71" s="6" t="inlineStr">
        <is>
          <t>$10.00</t>
        </is>
      </c>
    </row>
    <row r="72" ht="22" customHeight="1" s="62">
      <c r="Q72" s="36" t="n"/>
      <c r="R72" s="34" t="n">
        <v>27</v>
      </c>
      <c r="S72" s="61" t="inlineStr">
        <is>
          <t>Baby &amp; Toddler Food</t>
        </is>
      </c>
      <c r="W72" s="6" t="inlineStr">
        <is>
          <t>$9.98</t>
        </is>
      </c>
    </row>
    <row r="73" ht="22" customHeight="1" s="62">
      <c r="Q73" s="37" t="n"/>
      <c r="R73" s="34" t="n">
        <v>28</v>
      </c>
      <c r="S73" s="61" t="inlineStr">
        <is>
          <t>Snack Bars</t>
        </is>
      </c>
      <c r="W73" s="6" t="inlineStr">
        <is>
          <t>$9.95</t>
        </is>
      </c>
    </row>
    <row r="74" ht="22" customHeight="1" s="62">
      <c r="Q74" s="38" t="n"/>
      <c r="R74" s="34" t="n">
        <v>29</v>
      </c>
      <c r="S74" s="61" t="inlineStr">
        <is>
          <t>Cooking Oils &amp; Sprays</t>
        </is>
      </c>
      <c r="W74" s="6" t="inlineStr">
        <is>
          <t>$8.38</t>
        </is>
      </c>
    </row>
    <row r="75" ht="22" customHeight="1" s="62">
      <c r="Q75" s="39" t="n"/>
      <c r="R75" s="34" t="n">
        <v>30</v>
      </c>
      <c r="S75" s="61" t="inlineStr">
        <is>
          <t>Frozen Breakfast</t>
        </is>
      </c>
      <c r="W75" s="6" t="inlineStr">
        <is>
          <t>$7.78</t>
        </is>
      </c>
    </row>
    <row r="76" ht="22" customHeight="1" s="62">
      <c r="Q76" s="40" t="n"/>
      <c r="R76" s="34" t="n">
        <v>31</v>
      </c>
      <c r="S76" s="61" t="inlineStr">
        <is>
          <t>Wine</t>
        </is>
      </c>
      <c r="W76" s="6" t="inlineStr">
        <is>
          <t>$7.19</t>
        </is>
      </c>
    </row>
    <row r="77" ht="22" customHeight="1" s="62">
      <c r="Q77" s="41" t="n"/>
      <c r="R77" s="34" t="n">
        <v>32</v>
      </c>
      <c r="S77" s="61" t="inlineStr">
        <is>
          <t>Tortillas</t>
        </is>
      </c>
      <c r="W77" s="6" t="inlineStr">
        <is>
          <t>$7.01</t>
        </is>
      </c>
    </row>
    <row r="78" ht="22" customHeight="1" s="62">
      <c r="Q78" s="42" t="n"/>
      <c r="R78" s="34" t="n">
        <v>33</v>
      </c>
      <c r="S78" s="61" t="inlineStr">
        <is>
          <t>Refrigerated Dough</t>
        </is>
      </c>
      <c r="W78" s="6" t="inlineStr">
        <is>
          <t>$6.99</t>
        </is>
      </c>
    </row>
    <row r="79" ht="22" customHeight="1" s="62">
      <c r="Q79" s="43" t="n"/>
      <c r="R79" s="34" t="n">
        <v>34</v>
      </c>
      <c r="S79" s="61" t="inlineStr">
        <is>
          <t>Rice &amp; Grains</t>
        </is>
      </c>
      <c r="W79" s="6" t="inlineStr">
        <is>
          <t>$6.88</t>
        </is>
      </c>
    </row>
    <row r="80" ht="22" customHeight="1" s="62">
      <c r="Q80" s="44" t="n"/>
      <c r="R80" s="34" t="n">
        <v>35</v>
      </c>
      <c r="S80" s="61" t="inlineStr">
        <is>
          <t>Deli Meat</t>
        </is>
      </c>
      <c r="W80" s="6" t="inlineStr">
        <is>
          <t>$6.48</t>
        </is>
      </c>
    </row>
    <row r="81" ht="22" customHeight="1" s="62">
      <c r="Q81" s="45" t="n"/>
      <c r="R81" s="34" t="n">
        <v>36</v>
      </c>
      <c r="S81" s="61" t="inlineStr">
        <is>
          <t>Frozen Plantains</t>
        </is>
      </c>
      <c r="W81" s="6" t="inlineStr">
        <is>
          <t>$6.29</t>
        </is>
      </c>
    </row>
    <row r="82" ht="22" customHeight="1" s="62">
      <c r="Q82" s="33" t="n"/>
      <c r="R82" s="34" t="n">
        <v>37</v>
      </c>
      <c r="S82" s="61" t="inlineStr">
        <is>
          <t>Household Cleaners</t>
        </is>
      </c>
      <c r="W82" s="6" t="inlineStr">
        <is>
          <t>$6.24</t>
        </is>
      </c>
    </row>
    <row r="83" ht="22" customHeight="1" s="62">
      <c r="Q83" s="35" t="n"/>
      <c r="R83" s="34" t="n">
        <v>38</v>
      </c>
      <c r="S83" s="61" t="inlineStr">
        <is>
          <t>Muffins &amp; Pastries</t>
        </is>
      </c>
      <c r="W83" s="6" t="inlineStr">
        <is>
          <t>$5.99</t>
        </is>
      </c>
    </row>
    <row r="84" ht="22" customHeight="1" s="62">
      <c r="Q84" s="36" t="n"/>
      <c r="R84" s="34" t="n">
        <v>39</v>
      </c>
      <c r="S84" s="61" t="inlineStr">
        <is>
          <t>Storage &amp; Organization</t>
        </is>
      </c>
      <c r="W84" s="6" t="inlineStr">
        <is>
          <t>$5.99</t>
        </is>
      </c>
    </row>
    <row r="85" ht="22" customHeight="1" s="62">
      <c r="Q85" s="37" t="n"/>
      <c r="R85" s="34" t="n">
        <v>40</v>
      </c>
      <c r="S85" s="61" t="inlineStr">
        <is>
          <t>Writing Supplies</t>
        </is>
      </c>
      <c r="W85" s="6" t="inlineStr">
        <is>
          <t>$5.99</t>
        </is>
      </c>
    </row>
    <row r="86" ht="22" customHeight="1" s="62">
      <c r="Q86" s="38" t="n"/>
      <c r="R86" s="34" t="n">
        <v>41</v>
      </c>
      <c r="S86" s="61" t="inlineStr">
        <is>
          <t>Cream &amp; Half-and-Half</t>
        </is>
      </c>
      <c r="W86" s="6" t="inlineStr">
        <is>
          <t>$5.89</t>
        </is>
      </c>
    </row>
    <row r="87" ht="22" customHeight="1" s="62">
      <c r="Q87" s="39" t="n"/>
      <c r="R87" s="34" t="n">
        <v>42</v>
      </c>
      <c r="S87" s="61" t="inlineStr">
        <is>
          <t>Hot Dogs &amp; Sausages</t>
        </is>
      </c>
      <c r="W87" s="6" t="inlineStr">
        <is>
          <t>$5.74</t>
        </is>
      </c>
    </row>
    <row r="88" ht="22" customHeight="1" s="62">
      <c r="Q88" s="40" t="n"/>
      <c r="R88" s="34" t="n">
        <v>43</v>
      </c>
      <c r="S88" s="61" t="inlineStr">
        <is>
          <t>Plant-Based Cheese</t>
        </is>
      </c>
      <c r="W88" s="6" t="inlineStr">
        <is>
          <t>$5.65</t>
        </is>
      </c>
    </row>
    <row r="89" ht="22" customHeight="1" s="62">
      <c r="Q89" s="41" t="n"/>
      <c r="R89" s="34" t="n">
        <v>44</v>
      </c>
      <c r="S89" s="61" t="inlineStr">
        <is>
          <t>Canned Beans &amp; Legumes</t>
        </is>
      </c>
      <c r="W89" s="6" t="inlineStr">
        <is>
          <t>$5.42</t>
        </is>
      </c>
    </row>
    <row r="90" ht="22" customHeight="1" s="62">
      <c r="Q90" s="42" t="n"/>
      <c r="R90" s="34" t="n">
        <v>45</v>
      </c>
      <c r="S90" s="61" t="inlineStr">
        <is>
          <t>Disposable Tableware</t>
        </is>
      </c>
      <c r="W90" s="6" t="inlineStr">
        <is>
          <t>$5.25</t>
        </is>
      </c>
    </row>
    <row r="91" ht="22" customHeight="1" s="62">
      <c r="Q91" s="43" t="n"/>
      <c r="R91" s="34" t="n">
        <v>46</v>
      </c>
      <c r="S91" s="61" t="inlineStr">
        <is>
          <t>Specialty Cheese</t>
        </is>
      </c>
      <c r="W91" s="6" t="inlineStr">
        <is>
          <t>$4.88</t>
        </is>
      </c>
    </row>
    <row r="92" ht="22" customHeight="1" s="62">
      <c r="Q92" s="44" t="n"/>
      <c r="R92" s="34" t="n">
        <v>47</v>
      </c>
      <c r="S92" s="61" t="inlineStr">
        <is>
          <t>Dishwashing Supplies</t>
        </is>
      </c>
      <c r="W92" s="6" t="inlineStr">
        <is>
          <t>$4.46</t>
        </is>
      </c>
    </row>
    <row r="93" ht="22" customHeight="1" s="62">
      <c r="Q93" s="45" t="n"/>
      <c r="R93" s="34" t="n">
        <v>48</v>
      </c>
      <c r="S93" s="61" t="inlineStr">
        <is>
          <t>Fresh-Cut Fruit</t>
        </is>
      </c>
      <c r="W93" s="6" t="inlineStr">
        <is>
          <t>$3.89</t>
        </is>
      </c>
    </row>
    <row r="94" ht="22" customHeight="1" s="62">
      <c r="Q94" s="33" t="n"/>
      <c r="R94" s="34" t="n">
        <v>49</v>
      </c>
      <c r="S94" s="61" t="inlineStr">
        <is>
          <t>Peanut Butter</t>
        </is>
      </c>
      <c r="W94" s="6" t="inlineStr">
        <is>
          <t>$3.69</t>
        </is>
      </c>
    </row>
    <row r="95" ht="22" customHeight="1" s="62">
      <c r="Q95" s="35" t="n"/>
      <c r="R95" s="34" t="n">
        <v>50</v>
      </c>
      <c r="S95" s="61" t="inlineStr">
        <is>
          <t>Dips &amp; Spreads</t>
        </is>
      </c>
      <c r="W95" s="6" t="inlineStr">
        <is>
          <t>$3.45</t>
        </is>
      </c>
    </row>
    <row r="96" ht="22" customHeight="1" s="62">
      <c r="Q96" s="36" t="n"/>
      <c r="R96" s="34" t="n">
        <v>51</v>
      </c>
      <c r="S96" s="61" t="inlineStr">
        <is>
          <t>Jarred Vegetables</t>
        </is>
      </c>
      <c r="W96" s="6" t="inlineStr">
        <is>
          <t>$3.29</t>
        </is>
      </c>
    </row>
    <row r="97" ht="22" customHeight="1" s="62">
      <c r="Q97" s="37" t="n"/>
      <c r="R97" s="34" t="n">
        <v>52</v>
      </c>
      <c r="S97" s="61" t="inlineStr">
        <is>
          <t>Sauces &amp; Condiments</t>
        </is>
      </c>
      <c r="W97" s="6" t="inlineStr">
        <is>
          <t>$3.19</t>
        </is>
      </c>
    </row>
    <row r="98" ht="22" customHeight="1" s="62">
      <c r="Q98" s="38" t="n"/>
      <c r="R98" s="34" t="n">
        <v>53</v>
      </c>
      <c r="S98" s="61" t="inlineStr">
        <is>
          <t>Judaica</t>
        </is>
      </c>
      <c r="W98" s="6" t="inlineStr">
        <is>
          <t>$3.16</t>
        </is>
      </c>
    </row>
    <row r="99" ht="22" customHeight="1" s="62">
      <c r="Q99" s="39" t="n"/>
      <c r="R99" s="34" t="n">
        <v>54</v>
      </c>
      <c r="S99" s="61" t="inlineStr">
        <is>
          <t>Snack Cakes</t>
        </is>
      </c>
      <c r="W99" s="6" t="inlineStr">
        <is>
          <t>$3.12</t>
        </is>
      </c>
    </row>
    <row r="100" ht="22" customHeight="1" s="62">
      <c r="Q100" s="40" t="n"/>
      <c r="R100" s="34" t="n">
        <v>55</v>
      </c>
      <c r="S100" s="61" t="inlineStr">
        <is>
          <t>Frozen Sandwiches</t>
        </is>
      </c>
      <c r="W100" s="6" t="inlineStr">
        <is>
          <t>$2.99</t>
        </is>
      </c>
    </row>
    <row r="101" ht="22" customHeight="1" s="62">
      <c r="Q101" s="41" t="n"/>
      <c r="R101" s="34" t="n">
        <v>56</v>
      </c>
      <c r="S101" s="61" t="inlineStr">
        <is>
          <t>Pasta</t>
        </is>
      </c>
      <c r="W101" s="6" t="inlineStr">
        <is>
          <t>$2.99</t>
        </is>
      </c>
    </row>
    <row r="102" ht="22" customHeight="1" s="62">
      <c r="Q102" s="42" t="n"/>
      <c r="R102" s="34" t="n">
        <v>57</v>
      </c>
      <c r="S102" s="61" t="inlineStr">
        <is>
          <t>Salad Dressing</t>
        </is>
      </c>
      <c r="W102" s="6" t="inlineStr">
        <is>
          <t>$2.99</t>
        </is>
      </c>
    </row>
    <row r="103" ht="22" customHeight="1" s="62">
      <c r="Q103" s="43" t="n"/>
      <c r="R103" s="34" t="n">
        <v>58</v>
      </c>
      <c r="S103" s="61" t="inlineStr">
        <is>
          <t>Frozen Vegetables</t>
        </is>
      </c>
      <c r="W103" s="6" t="inlineStr">
        <is>
          <t>$2.86</t>
        </is>
      </c>
    </row>
    <row r="104" ht="22" customHeight="1" s="62">
      <c r="Q104" s="44" t="n"/>
      <c r="R104" s="34" t="n">
        <v>59</v>
      </c>
      <c r="S104" s="61" t="inlineStr">
        <is>
          <t>Crackers</t>
        </is>
      </c>
      <c r="W104" s="6" t="inlineStr">
        <is>
          <t>$2.79</t>
        </is>
      </c>
    </row>
    <row r="105" ht="22" customHeight="1" s="62">
      <c r="Q105" s="45" t="n"/>
      <c r="R105" s="34" t="n">
        <v>60</v>
      </c>
      <c r="S105" s="61" t="inlineStr">
        <is>
          <t>Popcorn</t>
        </is>
      </c>
      <c r="W105" s="6" t="inlineStr">
        <is>
          <t>$2.39</t>
        </is>
      </c>
    </row>
    <row r="106" ht="22" customHeight="1" s="62">
      <c r="Q106" s="33" t="n"/>
      <c r="R106" s="34" t="n">
        <v>61</v>
      </c>
      <c r="S106" s="61" t="inlineStr">
        <is>
          <t>Croutons</t>
        </is>
      </c>
      <c r="W106" s="6" t="inlineStr">
        <is>
          <t>$1.99</t>
        </is>
      </c>
    </row>
    <row r="107" ht="22" customHeight="1" s="62">
      <c r="Q107" s="35" t="n"/>
      <c r="R107" s="34" t="n">
        <v>62</v>
      </c>
      <c r="S107" s="61" t="inlineStr">
        <is>
          <t>Fresh Herbs</t>
        </is>
      </c>
      <c r="W107" s="6" t="inlineStr">
        <is>
          <t>$1.84</t>
        </is>
      </c>
    </row>
    <row r="108" ht="22" customHeight="1" s="62">
      <c r="Q108" s="36" t="n"/>
      <c r="R108" s="34" t="n">
        <v>63</v>
      </c>
      <c r="S108" s="61" t="inlineStr">
        <is>
          <t>Cream Cheese</t>
        </is>
      </c>
      <c r="W108" s="6" t="inlineStr">
        <is>
          <t>$1.79</t>
        </is>
      </c>
    </row>
    <row r="109" ht="22" customHeight="1" s="62">
      <c r="Q109" s="37" t="n"/>
      <c r="R109" s="34" t="n">
        <v>64</v>
      </c>
      <c r="S109" s="61" t="inlineStr">
        <is>
          <t>Canned Tomatoes</t>
        </is>
      </c>
      <c r="W109" s="6" t="inlineStr">
        <is>
          <t>$0.95</t>
        </is>
      </c>
    </row>
    <row r="113" ht="16" customHeight="1" s="62">
      <c r="Q113" s="63" t="inlineStr">
        <is>
          <t>Number / Store</t>
        </is>
      </c>
      <c r="Y113" s="63" t="inlineStr">
        <is>
          <t>How to Read This Graph</t>
        </is>
      </c>
    </row>
    <row r="114">
      <c r="Q114" s="32" t="n"/>
      <c r="R114" s="32" t="inlineStr">
        <is>
          <t>#</t>
        </is>
      </c>
      <c r="S114" s="32" t="inlineStr">
        <is>
          <t>Description</t>
        </is>
      </c>
      <c r="W114" s="32" t="inlineStr">
        <is>
          <t>Value</t>
        </is>
      </c>
    </row>
    <row r="115" ht="22" customHeight="1" s="62">
      <c r="Q115" s="33" t="n"/>
      <c r="R115" s="34" t="n">
        <v>1</v>
      </c>
      <c r="S115" s="61" t="inlineStr">
        <is>
          <t>Walmart</t>
        </is>
      </c>
      <c r="W115" s="6" t="inlineStr">
        <is>
          <t>$574.97</t>
        </is>
      </c>
      <c r="Y115" s="64" t="inlineStr">
        <is>
          <t>What it represents</t>
        </is>
      </c>
    </row>
    <row r="116" ht="22" customHeight="1" s="62">
      <c r="Q116" s="35" t="n"/>
      <c r="R116" s="34" t="n">
        <v>2</v>
      </c>
      <c r="S116" s="61" t="inlineStr">
        <is>
          <t>Aldi</t>
        </is>
      </c>
      <c r="W116" s="6" t="inlineStr">
        <is>
          <t>$180.89</t>
        </is>
      </c>
      <c r="Y116" s="61" t="inlineStr">
        <is>
          <t>Compares how much money was spent at each retailer across the entire Purchase History.</t>
        </is>
      </c>
    </row>
    <row r="117" ht="22" customHeight="1" s="62">
      <c r="Q117" s="36" t="n"/>
      <c r="R117" s="34" t="n">
        <v>3</v>
      </c>
      <c r="S117" s="61" t="inlineStr">
        <is>
          <t>Publix</t>
        </is>
      </c>
      <c r="W117" s="6" t="inlineStr">
        <is>
          <t>$145.58</t>
        </is>
      </c>
    </row>
    <row r="118" ht="22" customHeight="1" s="62">
      <c r="Q118" s="37" t="n"/>
      <c r="R118" s="34" t="n">
        <v>4</v>
      </c>
      <c r="S118" s="61" t="inlineStr">
        <is>
          <t>Honey Pineapple</t>
        </is>
      </c>
      <c r="W118" s="6" t="inlineStr">
        <is>
          <t>$48.12</t>
        </is>
      </c>
    </row>
    <row r="119" ht="22" customHeight="1" s="62">
      <c r="Q119" s="38" t="n"/>
      <c r="R119" s="34" t="n">
        <v>5</v>
      </c>
      <c r="S119" s="61" t="inlineStr">
        <is>
          <t>Trader Joe's</t>
        </is>
      </c>
      <c r="W119" s="6" t="inlineStr">
        <is>
          <t>$30.24</t>
        </is>
      </c>
    </row>
    <row r="121">
      <c r="Y121" s="64" t="inlineStr">
        <is>
          <t>How to read it</t>
        </is>
      </c>
    </row>
    <row r="122">
      <c r="Y122" s="61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64" t="inlineStr">
        <is>
          <t>What it is useful for</t>
        </is>
      </c>
    </row>
    <row r="128">
      <c r="Y128" s="61" t="inlineStr">
        <is>
          <t>Use this to understand which retailers receive the largest share of your household shopping budget.</t>
        </is>
      </c>
    </row>
    <row r="129"/>
    <row r="130"/>
    <row r="131"/>
    <row r="133">
      <c r="Y133" s="64" t="inlineStr">
        <is>
          <t>Notes</t>
        </is>
      </c>
    </row>
    <row r="134">
      <c r="Y134" s="61" t="inlineStr">
        <is>
          <t>Store Number is intentionally ignored here; purchases are grouped by the Store name.</t>
        </is>
      </c>
    </row>
    <row r="135"/>
    <row r="136"/>
    <row r="137"/>
    <row r="149" ht="16" customHeight="1" s="62">
      <c r="Q149" s="63" t="inlineStr">
        <is>
          <t>Number / Sub-Category</t>
        </is>
      </c>
      <c r="Y149" s="63" t="inlineStr">
        <is>
          <t>How to Read This Graph</t>
        </is>
      </c>
    </row>
    <row r="150">
      <c r="Q150" s="32" t="n"/>
      <c r="R150" s="32" t="inlineStr">
        <is>
          <t>#</t>
        </is>
      </c>
      <c r="S150" s="32" t="inlineStr">
        <is>
          <t>Description</t>
        </is>
      </c>
      <c r="W150" s="32" t="inlineStr">
        <is>
          <t>Value</t>
        </is>
      </c>
    </row>
    <row r="151" ht="22" customHeight="1" s="62">
      <c r="Q151" s="33" t="n"/>
      <c r="R151" s="34" t="n">
        <v>1</v>
      </c>
      <c r="S151" s="61" t="inlineStr">
        <is>
          <t>Baby Care</t>
        </is>
      </c>
      <c r="W151" s="6" t="inlineStr">
        <is>
          <t>$136.04 (13.9%)</t>
        </is>
      </c>
      <c r="Y151" s="64" t="inlineStr">
        <is>
          <t>What it represents</t>
        </is>
      </c>
    </row>
    <row r="152" ht="22" customHeight="1" s="62">
      <c r="Q152" s="35" t="n"/>
      <c r="R152" s="34" t="n">
        <v>2</v>
      </c>
      <c r="S152" s="61" t="inlineStr">
        <is>
          <t>Fees &amp; Charges</t>
        </is>
      </c>
      <c r="W152" s="6" t="inlineStr">
        <is>
          <t>$87.39 (8.9%)</t>
        </is>
      </c>
      <c r="Y152" s="61" t="inlineStr">
        <is>
          <t>Shows each sub-category's share of total spending as part of the whole shopping budget.</t>
        </is>
      </c>
    </row>
    <row r="153" ht="22" customHeight="1" s="62">
      <c r="Q153" s="36" t="n"/>
      <c r="R153" s="34" t="n">
        <v>3</v>
      </c>
      <c r="S153" s="61" t="inlineStr">
        <is>
          <t>Fresh Fruit</t>
        </is>
      </c>
      <c r="W153" s="6" t="inlineStr">
        <is>
          <t>$69.72 (7.1%)</t>
        </is>
      </c>
    </row>
    <row r="154" ht="22" customHeight="1" s="62">
      <c r="Q154" s="37" t="n"/>
      <c r="R154" s="34" t="n">
        <v>4</v>
      </c>
      <c r="S154" s="61" t="inlineStr">
        <is>
          <t>Fresh Vegetables</t>
        </is>
      </c>
      <c r="W154" s="6" t="inlineStr">
        <is>
          <t>$53.99 (5.5%)</t>
        </is>
      </c>
    </row>
    <row r="155" ht="22" customHeight="1" s="62">
      <c r="Q155" s="38" t="n"/>
      <c r="R155" s="34" t="n">
        <v>5</v>
      </c>
      <c r="S155" s="61" t="inlineStr">
        <is>
          <t>Cat Litter</t>
        </is>
      </c>
      <c r="W155" s="6" t="inlineStr">
        <is>
          <t>$47.88 (4.9%)</t>
        </is>
      </c>
    </row>
    <row r="156" ht="22" customHeight="1" s="62">
      <c r="Q156" s="39" t="n"/>
      <c r="R156" s="34" t="n">
        <v>6</v>
      </c>
      <c r="S156" s="61" t="inlineStr">
        <is>
          <t>Yogurt</t>
        </is>
      </c>
      <c r="W156" s="6" t="inlineStr">
        <is>
          <t>$45.36 (4.6%)</t>
        </is>
      </c>
    </row>
    <row r="157" ht="22" customHeight="1" s="62">
      <c r="Q157" s="40" t="n"/>
      <c r="R157" s="34" t="n">
        <v>7</v>
      </c>
      <c r="S157" s="61" t="inlineStr">
        <is>
          <t>Baking Ingredients</t>
        </is>
      </c>
      <c r="W157" s="6" t="inlineStr">
        <is>
          <t>$32.26 (3.3%)</t>
        </is>
      </c>
      <c r="Y157" s="64" t="inlineStr">
        <is>
          <t>How to read it</t>
        </is>
      </c>
    </row>
    <row r="158" ht="22" customHeight="1" s="62">
      <c r="Q158" s="41" t="n"/>
      <c r="R158" s="34" t="n">
        <v>8</v>
      </c>
      <c r="S158" s="61" t="inlineStr">
        <is>
          <t>Prepared Meals</t>
        </is>
      </c>
      <c r="W158" s="6" t="inlineStr">
        <is>
          <t>$31.20 (3.2%)</t>
        </is>
      </c>
      <c r="Y158" s="61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62">
      <c r="Q159" s="42" t="n"/>
      <c r="R159" s="34" t="n">
        <v>9</v>
      </c>
      <c r="S159" s="61" t="inlineStr">
        <is>
          <t>Home Improvement</t>
        </is>
      </c>
      <c r="W159" s="6" t="inlineStr">
        <is>
          <t>$28.54 (2.9%)</t>
        </is>
      </c>
    </row>
    <row r="160" ht="22" customHeight="1" s="62">
      <c r="Q160" s="43" t="n"/>
      <c r="R160" s="34" t="n">
        <v>10</v>
      </c>
      <c r="S160" s="61" t="inlineStr">
        <is>
          <t>Plant-Based Milk</t>
        </is>
      </c>
      <c r="W160" s="6" t="inlineStr">
        <is>
          <t>$26.91 (2.7%)</t>
        </is>
      </c>
    </row>
    <row r="161" ht="22" customHeight="1" s="62">
      <c r="Q161" s="44" t="n"/>
      <c r="R161" s="34" t="n">
        <v>11</v>
      </c>
      <c r="S161" s="61" t="inlineStr">
        <is>
          <t>Body Wash</t>
        </is>
      </c>
      <c r="W161" s="6" t="inlineStr">
        <is>
          <t>$19.88 (2.0%)</t>
        </is>
      </c>
    </row>
    <row r="162" ht="22" customHeight="1" s="62">
      <c r="Q162" s="45" t="n"/>
      <c r="R162" s="34" t="n">
        <v>12</v>
      </c>
      <c r="S162" s="61" t="inlineStr">
        <is>
          <t>Macaroni &amp; Cheese</t>
        </is>
      </c>
      <c r="W162" s="6" t="inlineStr">
        <is>
          <t>$18.88 (1.9%)</t>
        </is>
      </c>
    </row>
    <row r="163" ht="22" customHeight="1" s="62">
      <c r="Q163" s="33" t="n"/>
      <c r="R163" s="34" t="n">
        <v>13</v>
      </c>
      <c r="S163" s="61" t="inlineStr">
        <is>
          <t>Baking Mixes</t>
        </is>
      </c>
      <c r="W163" s="6" t="inlineStr">
        <is>
          <t>$18.49 (1.9%)</t>
        </is>
      </c>
      <c r="Y163" s="64" t="inlineStr">
        <is>
          <t>What it is useful for</t>
        </is>
      </c>
    </row>
    <row r="164" ht="22" customHeight="1" s="62">
      <c r="Q164" s="35" t="n"/>
      <c r="R164" s="34" t="n">
        <v>14</v>
      </c>
      <c r="S164" s="61" t="inlineStr">
        <is>
          <t>Seasonings &amp; Spices</t>
        </is>
      </c>
      <c r="W164" s="6" t="inlineStr">
        <is>
          <t>$18.19 (1.9%)</t>
        </is>
      </c>
      <c r="Y164" s="61" t="inlineStr">
        <is>
          <t>Use this for a fast visual picture of the household spending mix—especially which sub-categories take the largest portion of the budget.</t>
        </is>
      </c>
    </row>
    <row r="165" ht="22" customHeight="1" s="62">
      <c r="Q165" s="36" t="n"/>
      <c r="R165" s="34" t="n">
        <v>15</v>
      </c>
      <c r="S165" s="61" t="inlineStr">
        <is>
          <t>Frozen Pizza</t>
        </is>
      </c>
      <c r="W165" s="6" t="inlineStr">
        <is>
          <t>$16.58 (1.7%)</t>
        </is>
      </c>
    </row>
    <row r="166" ht="22" customHeight="1" s="62">
      <c r="Q166" s="37" t="n"/>
      <c r="R166" s="34" t="n">
        <v>16</v>
      </c>
      <c r="S166" s="61" t="inlineStr">
        <is>
          <t>Bread</t>
        </is>
      </c>
      <c r="W166" s="6" t="inlineStr">
        <is>
          <t>$16.14 (1.6%)</t>
        </is>
      </c>
    </row>
    <row r="167" ht="22" customHeight="1" s="62">
      <c r="Q167" s="38" t="n"/>
      <c r="R167" s="34" t="n">
        <v>17</v>
      </c>
      <c r="S167" s="61" t="inlineStr">
        <is>
          <t>Food Storage</t>
        </is>
      </c>
      <c r="W167" s="6" t="inlineStr">
        <is>
          <t>$14.46 (1.5%)</t>
        </is>
      </c>
    </row>
    <row r="168" ht="22" customHeight="1" s="62">
      <c r="Q168" s="39" t="n"/>
      <c r="R168" s="34" t="n">
        <v>18</v>
      </c>
      <c r="S168" s="61" t="inlineStr">
        <is>
          <t>Fresh Seafood</t>
        </is>
      </c>
      <c r="W168" s="6" t="inlineStr">
        <is>
          <t>$14.29 (1.5%)</t>
        </is>
      </c>
    </row>
    <row r="169" ht="22" customHeight="1" s="62">
      <c r="Q169" s="40" t="n"/>
      <c r="R169" s="34" t="n">
        <v>19</v>
      </c>
      <c r="S169" s="61" t="inlineStr">
        <is>
          <t>Fresh Poultry</t>
        </is>
      </c>
      <c r="W169" s="6" t="inlineStr">
        <is>
          <t>$13.98 (1.4%)</t>
        </is>
      </c>
      <c r="Y169" s="64" t="inlineStr">
        <is>
          <t>Notes</t>
        </is>
      </c>
    </row>
    <row r="170" ht="22" customHeight="1" s="62">
      <c r="Q170" s="41" t="n"/>
      <c r="R170" s="34" t="n">
        <v>20</v>
      </c>
      <c r="S170" s="61" t="inlineStr">
        <is>
          <t>Hair Care</t>
        </is>
      </c>
      <c r="W170" s="6" t="inlineStr">
        <is>
          <t>$13.92 (1.4%)</t>
        </is>
      </c>
      <c r="Y170" s="61" t="inlineStr">
        <is>
          <t>Unlike the older dashboard, this graph does not create a large 'Other' slice. Every sub-category receives its own numbered segment.</t>
        </is>
      </c>
    </row>
    <row r="171" ht="22" customHeight="1" s="62">
      <c r="Q171" s="42" t="n"/>
      <c r="R171" s="34" t="n">
        <v>21</v>
      </c>
      <c r="S171" s="61" t="inlineStr">
        <is>
          <t>Cheese</t>
        </is>
      </c>
      <c r="W171" s="6" t="inlineStr">
        <is>
          <t>$13.42 (1.4%)</t>
        </is>
      </c>
    </row>
    <row r="172" ht="22" customHeight="1" s="62">
      <c r="Q172" s="43" t="n"/>
      <c r="R172" s="34" t="n">
        <v>22</v>
      </c>
      <c r="S172" s="61" t="inlineStr">
        <is>
          <t>Eggs</t>
        </is>
      </c>
      <c r="W172" s="6" t="inlineStr">
        <is>
          <t>$13.08 (1.3%)</t>
        </is>
      </c>
    </row>
    <row r="173" ht="22" customHeight="1" s="62">
      <c r="Q173" s="44" t="n"/>
      <c r="R173" s="34" t="n">
        <v>23</v>
      </c>
      <c r="S173" s="61" t="inlineStr">
        <is>
          <t>Frozen Meat</t>
        </is>
      </c>
      <c r="W173" s="6" t="inlineStr">
        <is>
          <t>$11.76 (1.2%)</t>
        </is>
      </c>
    </row>
    <row r="174" ht="22" customHeight="1" s="62">
      <c r="Q174" s="45" t="n"/>
      <c r="R174" s="34" t="n">
        <v>24</v>
      </c>
      <c r="S174" s="61" t="inlineStr">
        <is>
          <t>Prepared Coffee</t>
        </is>
      </c>
      <c r="W174" s="6" t="inlineStr">
        <is>
          <t>$11.00 (1.1%)</t>
        </is>
      </c>
    </row>
    <row r="175" ht="22" customHeight="1" s="62">
      <c r="Q175" s="33" t="n"/>
      <c r="R175" s="34" t="n">
        <v>25</v>
      </c>
      <c r="S175" s="61" t="inlineStr">
        <is>
          <t>Milk</t>
        </is>
      </c>
      <c r="W175" s="6" t="inlineStr">
        <is>
          <t>$10.64 (1.1%)</t>
        </is>
      </c>
    </row>
    <row r="176" ht="22" customHeight="1" s="62">
      <c r="Q176" s="35" t="n"/>
      <c r="R176" s="34" t="n">
        <v>26</v>
      </c>
      <c r="S176" s="61" t="inlineStr">
        <is>
          <t>Salad Kits</t>
        </is>
      </c>
      <c r="W176" s="6" t="inlineStr">
        <is>
          <t>$10.00 (1.0%)</t>
        </is>
      </c>
    </row>
    <row r="177" ht="22" customHeight="1" s="62">
      <c r="Q177" s="36" t="n"/>
      <c r="R177" s="34" t="n">
        <v>27</v>
      </c>
      <c r="S177" s="61" t="inlineStr">
        <is>
          <t>Baby &amp; Toddler Food</t>
        </is>
      </c>
      <c r="W177" s="6" t="inlineStr">
        <is>
          <t>$9.98 (1.0%)</t>
        </is>
      </c>
    </row>
    <row r="178" ht="22" customHeight="1" s="62">
      <c r="Q178" s="37" t="n"/>
      <c r="R178" s="34" t="n">
        <v>28</v>
      </c>
      <c r="S178" s="61" t="inlineStr">
        <is>
          <t>Snack Bars</t>
        </is>
      </c>
      <c r="W178" s="6" t="inlineStr">
        <is>
          <t>$9.95 (1.0%)</t>
        </is>
      </c>
    </row>
    <row r="179" ht="22" customHeight="1" s="62">
      <c r="Q179" s="38" t="n"/>
      <c r="R179" s="34" t="n">
        <v>29</v>
      </c>
      <c r="S179" s="61" t="inlineStr">
        <is>
          <t>Cooking Oils &amp; Sprays</t>
        </is>
      </c>
      <c r="W179" s="6" t="inlineStr">
        <is>
          <t>$8.38 (0.9%)</t>
        </is>
      </c>
    </row>
    <row r="180" ht="22" customHeight="1" s="62">
      <c r="Q180" s="39" t="n"/>
      <c r="R180" s="34" t="n">
        <v>30</v>
      </c>
      <c r="S180" s="61" t="inlineStr">
        <is>
          <t>Frozen Breakfast</t>
        </is>
      </c>
      <c r="W180" s="6" t="inlineStr">
        <is>
          <t>$7.78 (0.8%)</t>
        </is>
      </c>
    </row>
    <row r="181" ht="22" customHeight="1" s="62">
      <c r="Q181" s="40" t="n"/>
      <c r="R181" s="34" t="n">
        <v>31</v>
      </c>
      <c r="S181" s="61" t="inlineStr">
        <is>
          <t>Wine</t>
        </is>
      </c>
      <c r="W181" s="6" t="inlineStr">
        <is>
          <t>$7.19 (0.7%)</t>
        </is>
      </c>
    </row>
    <row r="182" ht="22" customHeight="1" s="62">
      <c r="Q182" s="41" t="n"/>
      <c r="R182" s="34" t="n">
        <v>32</v>
      </c>
      <c r="S182" s="61" t="inlineStr">
        <is>
          <t>Tortillas</t>
        </is>
      </c>
      <c r="W182" s="6" t="inlineStr">
        <is>
          <t>$7.01 (0.7%)</t>
        </is>
      </c>
    </row>
    <row r="183" ht="22" customHeight="1" s="62">
      <c r="Q183" s="42" t="n"/>
      <c r="R183" s="34" t="n">
        <v>33</v>
      </c>
      <c r="S183" s="61" t="inlineStr">
        <is>
          <t>Refrigerated Dough</t>
        </is>
      </c>
      <c r="W183" s="6" t="inlineStr">
        <is>
          <t>$6.99 (0.7%)</t>
        </is>
      </c>
    </row>
    <row r="184" ht="22" customHeight="1" s="62">
      <c r="Q184" s="43" t="n"/>
      <c r="R184" s="34" t="n">
        <v>34</v>
      </c>
      <c r="S184" s="61" t="inlineStr">
        <is>
          <t>Rice &amp; Grains</t>
        </is>
      </c>
      <c r="W184" s="6" t="inlineStr">
        <is>
          <t>$6.88 (0.7%)</t>
        </is>
      </c>
    </row>
    <row r="185" ht="22" customHeight="1" s="62">
      <c r="Q185" s="44" t="n"/>
      <c r="R185" s="34" t="n">
        <v>35</v>
      </c>
      <c r="S185" s="61" t="inlineStr">
        <is>
          <t>Deli Meat</t>
        </is>
      </c>
      <c r="W185" s="6" t="inlineStr">
        <is>
          <t>$6.48 (0.7%)</t>
        </is>
      </c>
    </row>
    <row r="186" ht="22" customHeight="1" s="62">
      <c r="Q186" s="45" t="n"/>
      <c r="R186" s="34" t="n">
        <v>36</v>
      </c>
      <c r="S186" s="61" t="inlineStr">
        <is>
          <t>Frozen Plantains</t>
        </is>
      </c>
      <c r="W186" s="6" t="inlineStr">
        <is>
          <t>$6.29 (0.6%)</t>
        </is>
      </c>
    </row>
    <row r="187" ht="22" customHeight="1" s="62">
      <c r="Q187" s="33" t="n"/>
      <c r="R187" s="34" t="n">
        <v>37</v>
      </c>
      <c r="S187" s="61" t="inlineStr">
        <is>
          <t>Household Cleaners</t>
        </is>
      </c>
      <c r="W187" s="6" t="inlineStr">
        <is>
          <t>$6.24 (0.6%)</t>
        </is>
      </c>
    </row>
    <row r="188" ht="22" customHeight="1" s="62">
      <c r="Q188" s="35" t="n"/>
      <c r="R188" s="34" t="n">
        <v>38</v>
      </c>
      <c r="S188" s="61" t="inlineStr">
        <is>
          <t>Muffins &amp; Pastries</t>
        </is>
      </c>
      <c r="W188" s="6" t="inlineStr">
        <is>
          <t>$5.99 (0.6%)</t>
        </is>
      </c>
    </row>
    <row r="189" ht="22" customHeight="1" s="62">
      <c r="Q189" s="36" t="n"/>
      <c r="R189" s="34" t="n">
        <v>39</v>
      </c>
      <c r="S189" s="61" t="inlineStr">
        <is>
          <t>Storage &amp; Organization</t>
        </is>
      </c>
      <c r="W189" s="6" t="inlineStr">
        <is>
          <t>$5.99 (0.6%)</t>
        </is>
      </c>
    </row>
    <row r="190" ht="22" customHeight="1" s="62">
      <c r="Q190" s="37" t="n"/>
      <c r="R190" s="34" t="n">
        <v>40</v>
      </c>
      <c r="S190" s="61" t="inlineStr">
        <is>
          <t>Writing Supplies</t>
        </is>
      </c>
      <c r="W190" s="6" t="inlineStr">
        <is>
          <t>$5.99 (0.6%)</t>
        </is>
      </c>
    </row>
    <row r="191" ht="22" customHeight="1" s="62">
      <c r="Q191" s="38" t="n"/>
      <c r="R191" s="34" t="n">
        <v>41</v>
      </c>
      <c r="S191" s="61" t="inlineStr">
        <is>
          <t>Cream &amp; Half-and-Half</t>
        </is>
      </c>
      <c r="W191" s="6" t="inlineStr">
        <is>
          <t>$5.89 (0.6%)</t>
        </is>
      </c>
    </row>
    <row r="192" ht="22" customHeight="1" s="62">
      <c r="Q192" s="39" t="n"/>
      <c r="R192" s="34" t="n">
        <v>42</v>
      </c>
      <c r="S192" s="61" t="inlineStr">
        <is>
          <t>Hot Dogs &amp; Sausages</t>
        </is>
      </c>
      <c r="W192" s="6" t="inlineStr">
        <is>
          <t>$5.74 (0.6%)</t>
        </is>
      </c>
    </row>
    <row r="193" ht="22" customHeight="1" s="62">
      <c r="Q193" s="40" t="n"/>
      <c r="R193" s="34" t="n">
        <v>43</v>
      </c>
      <c r="S193" s="61" t="inlineStr">
        <is>
          <t>Plant-Based Cheese</t>
        </is>
      </c>
      <c r="W193" s="6" t="inlineStr">
        <is>
          <t>$5.65 (0.6%)</t>
        </is>
      </c>
    </row>
    <row r="194" ht="22" customHeight="1" s="62">
      <c r="Q194" s="41" t="n"/>
      <c r="R194" s="34" t="n">
        <v>44</v>
      </c>
      <c r="S194" s="61" t="inlineStr">
        <is>
          <t>Canned Beans &amp; Legumes</t>
        </is>
      </c>
      <c r="W194" s="6" t="inlineStr">
        <is>
          <t>$5.42 (0.6%)</t>
        </is>
      </c>
    </row>
    <row r="195" ht="22" customHeight="1" s="62">
      <c r="Q195" s="42" t="n"/>
      <c r="R195" s="34" t="n">
        <v>45</v>
      </c>
      <c r="S195" s="61" t="inlineStr">
        <is>
          <t>Disposable Tableware</t>
        </is>
      </c>
      <c r="W195" s="6" t="inlineStr">
        <is>
          <t>$5.25 (0.5%)</t>
        </is>
      </c>
    </row>
    <row r="196" ht="22" customHeight="1" s="62">
      <c r="Q196" s="43" t="n"/>
      <c r="R196" s="34" t="n">
        <v>46</v>
      </c>
      <c r="S196" s="61" t="inlineStr">
        <is>
          <t>Specialty Cheese</t>
        </is>
      </c>
      <c r="W196" s="6" t="inlineStr">
        <is>
          <t>$4.88 (0.5%)</t>
        </is>
      </c>
    </row>
    <row r="197" ht="22" customHeight="1" s="62">
      <c r="Q197" s="44" t="n"/>
      <c r="R197" s="34" t="n">
        <v>47</v>
      </c>
      <c r="S197" s="61" t="inlineStr">
        <is>
          <t>Dishwashing Supplies</t>
        </is>
      </c>
      <c r="W197" s="6" t="inlineStr">
        <is>
          <t>$4.46 (0.5%)</t>
        </is>
      </c>
    </row>
    <row r="198" ht="22" customHeight="1" s="62">
      <c r="Q198" s="45" t="n"/>
      <c r="R198" s="34" t="n">
        <v>48</v>
      </c>
      <c r="S198" s="61" t="inlineStr">
        <is>
          <t>Fresh-Cut Fruit</t>
        </is>
      </c>
      <c r="W198" s="6" t="inlineStr">
        <is>
          <t>$3.89 (0.4%)</t>
        </is>
      </c>
    </row>
    <row r="199" ht="22" customHeight="1" s="62">
      <c r="Q199" s="33" t="n"/>
      <c r="R199" s="34" t="n">
        <v>49</v>
      </c>
      <c r="S199" s="61" t="inlineStr">
        <is>
          <t>Peanut Butter</t>
        </is>
      </c>
      <c r="W199" s="6" t="inlineStr">
        <is>
          <t>$3.69 (0.4%)</t>
        </is>
      </c>
    </row>
    <row r="200" ht="22" customHeight="1" s="62">
      <c r="Q200" s="35" t="n"/>
      <c r="R200" s="34" t="n">
        <v>50</v>
      </c>
      <c r="S200" s="61" t="inlineStr">
        <is>
          <t>Dips &amp; Spreads</t>
        </is>
      </c>
      <c r="W200" s="6" t="inlineStr">
        <is>
          <t>$3.45 (0.4%)</t>
        </is>
      </c>
    </row>
    <row r="201" ht="22" customHeight="1" s="62">
      <c r="Q201" s="36" t="n"/>
      <c r="R201" s="34" t="n">
        <v>51</v>
      </c>
      <c r="S201" s="61" t="inlineStr">
        <is>
          <t>Jarred Vegetables</t>
        </is>
      </c>
      <c r="W201" s="6" t="inlineStr">
        <is>
          <t>$3.29 (0.3%)</t>
        </is>
      </c>
    </row>
    <row r="202" ht="22" customHeight="1" s="62">
      <c r="Q202" s="37" t="n"/>
      <c r="R202" s="34" t="n">
        <v>52</v>
      </c>
      <c r="S202" s="61" t="inlineStr">
        <is>
          <t>Sauces &amp; Condiments</t>
        </is>
      </c>
      <c r="W202" s="6" t="inlineStr">
        <is>
          <t>$3.19 (0.3%)</t>
        </is>
      </c>
    </row>
    <row r="203" ht="22" customHeight="1" s="62">
      <c r="Q203" s="38" t="n"/>
      <c r="R203" s="34" t="n">
        <v>53</v>
      </c>
      <c r="S203" s="61" t="inlineStr">
        <is>
          <t>Judaica</t>
        </is>
      </c>
      <c r="W203" s="6" t="inlineStr">
        <is>
          <t>$3.16 (0.3%)</t>
        </is>
      </c>
    </row>
    <row r="204" ht="22" customHeight="1" s="62">
      <c r="Q204" s="39" t="n"/>
      <c r="R204" s="34" t="n">
        <v>54</v>
      </c>
      <c r="S204" s="61" t="inlineStr">
        <is>
          <t>Snack Cakes</t>
        </is>
      </c>
      <c r="W204" s="6" t="inlineStr">
        <is>
          <t>$3.12 (0.3%)</t>
        </is>
      </c>
    </row>
    <row r="205" ht="22" customHeight="1" s="62">
      <c r="Q205" s="40" t="n"/>
      <c r="R205" s="34" t="n">
        <v>55</v>
      </c>
      <c r="S205" s="61" t="inlineStr">
        <is>
          <t>Frozen Sandwiches</t>
        </is>
      </c>
      <c r="W205" s="6" t="inlineStr">
        <is>
          <t>$2.99 (0.3%)</t>
        </is>
      </c>
    </row>
    <row r="206" ht="22" customHeight="1" s="62">
      <c r="Q206" s="41" t="n"/>
      <c r="R206" s="34" t="n">
        <v>56</v>
      </c>
      <c r="S206" s="61" t="inlineStr">
        <is>
          <t>Pasta</t>
        </is>
      </c>
      <c r="W206" s="6" t="inlineStr">
        <is>
          <t>$2.99 (0.3%)</t>
        </is>
      </c>
    </row>
    <row r="207" ht="22" customHeight="1" s="62">
      <c r="Q207" s="42" t="n"/>
      <c r="R207" s="34" t="n">
        <v>57</v>
      </c>
      <c r="S207" s="61" t="inlineStr">
        <is>
          <t>Salad Dressing</t>
        </is>
      </c>
      <c r="W207" s="6" t="inlineStr">
        <is>
          <t>$2.99 (0.3%)</t>
        </is>
      </c>
    </row>
    <row r="208" ht="22" customHeight="1" s="62">
      <c r="Q208" s="43" t="n"/>
      <c r="R208" s="34" t="n">
        <v>58</v>
      </c>
      <c r="S208" s="61" t="inlineStr">
        <is>
          <t>Frozen Vegetables</t>
        </is>
      </c>
      <c r="W208" s="6" t="inlineStr">
        <is>
          <t>$2.86 (0.3%)</t>
        </is>
      </c>
    </row>
    <row r="209" ht="22" customHeight="1" s="62">
      <c r="Q209" s="44" t="n"/>
      <c r="R209" s="34" t="n">
        <v>59</v>
      </c>
      <c r="S209" s="61" t="inlineStr">
        <is>
          <t>Crackers</t>
        </is>
      </c>
      <c r="W209" s="6" t="inlineStr">
        <is>
          <t>$2.79 (0.3%)</t>
        </is>
      </c>
    </row>
    <row r="210" ht="22" customHeight="1" s="62">
      <c r="Q210" s="45" t="n"/>
      <c r="R210" s="34" t="n">
        <v>60</v>
      </c>
      <c r="S210" s="61" t="inlineStr">
        <is>
          <t>Popcorn</t>
        </is>
      </c>
      <c r="W210" s="6" t="inlineStr">
        <is>
          <t>$2.39 (0.2%)</t>
        </is>
      </c>
    </row>
    <row r="211" ht="22" customHeight="1" s="62">
      <c r="Q211" s="33" t="n"/>
      <c r="R211" s="34" t="n">
        <v>61</v>
      </c>
      <c r="S211" s="61" t="inlineStr">
        <is>
          <t>Croutons</t>
        </is>
      </c>
      <c r="W211" s="6" t="inlineStr">
        <is>
          <t>$1.99 (0.2%)</t>
        </is>
      </c>
    </row>
    <row r="212" ht="22" customHeight="1" s="62">
      <c r="Q212" s="35" t="n"/>
      <c r="R212" s="34" t="n">
        <v>62</v>
      </c>
      <c r="S212" s="61" t="inlineStr">
        <is>
          <t>Fresh Herbs</t>
        </is>
      </c>
      <c r="W212" s="6" t="inlineStr">
        <is>
          <t>$1.84 (0.2%)</t>
        </is>
      </c>
    </row>
    <row r="213" ht="22" customHeight="1" s="62">
      <c r="Q213" s="36" t="n"/>
      <c r="R213" s="34" t="n">
        <v>63</v>
      </c>
      <c r="S213" s="61" t="inlineStr">
        <is>
          <t>Cream Cheese</t>
        </is>
      </c>
      <c r="W213" s="6" t="inlineStr">
        <is>
          <t>$1.79 (0.2%)</t>
        </is>
      </c>
    </row>
    <row r="214" ht="22" customHeight="1" s="62">
      <c r="Q214" s="37" t="n"/>
      <c r="R214" s="34" t="n">
        <v>64</v>
      </c>
      <c r="S214" s="61" t="inlineStr">
        <is>
          <t>Canned Tomatoes</t>
        </is>
      </c>
      <c r="W214" s="6" t="inlineStr">
        <is>
          <t>$0.95 (0.1%)</t>
        </is>
      </c>
    </row>
    <row r="218" ht="16" customHeight="1" s="62">
      <c r="Q218" s="63" t="inlineStr">
        <is>
          <t>Number / Product</t>
        </is>
      </c>
      <c r="Y218" s="63" t="inlineStr">
        <is>
          <t>How to Read This Graph</t>
        </is>
      </c>
    </row>
    <row r="219">
      <c r="Q219" s="32" t="n"/>
      <c r="R219" s="32" t="inlineStr">
        <is>
          <t>#</t>
        </is>
      </c>
      <c r="S219" s="32" t="inlineStr">
        <is>
          <t>Description</t>
        </is>
      </c>
      <c r="W219" s="32" t="inlineStr">
        <is>
          <t>Value</t>
        </is>
      </c>
    </row>
    <row r="220" ht="22" customHeight="1" s="62">
      <c r="Q220" s="33" t="n"/>
      <c r="R220" s="34" t="n">
        <v>1</v>
      </c>
      <c r="S220" s="61" t="inlineStr">
        <is>
          <t>Pampers Swaddlers Size 5 Diapers</t>
        </is>
      </c>
      <c r="W220" s="6" t="inlineStr">
        <is>
          <t>$79.54</t>
        </is>
      </c>
      <c r="Y220" s="64" t="inlineStr">
        <is>
          <t>What it represents</t>
        </is>
      </c>
    </row>
    <row r="221" ht="22" customHeight="1" s="62">
      <c r="Q221" s="35" t="n"/>
      <c r="R221" s="34" t="n">
        <v>2</v>
      </c>
      <c r="S221" s="61" t="inlineStr">
        <is>
          <t>Purina Tidy Cats Clumping Cat Litter</t>
        </is>
      </c>
      <c r="W221" s="6" t="inlineStr">
        <is>
          <t>$47.88</t>
        </is>
      </c>
      <c r="Y221" s="61" t="inlineStr">
        <is>
          <t>Ranks the ten individual product identities with the most accumulated spending across all recorded purchases.</t>
        </is>
      </c>
    </row>
    <row r="222" ht="22" customHeight="1" s="62">
      <c r="Q222" s="36" t="n"/>
      <c r="R222" s="34" t="n">
        <v>3</v>
      </c>
      <c r="S222" s="61" t="inlineStr">
        <is>
          <t>Driver Tip</t>
        </is>
      </c>
      <c r="W222" s="6" t="inlineStr">
        <is>
          <t>$46.78</t>
        </is>
      </c>
    </row>
    <row r="223" ht="22" customHeight="1" s="62">
      <c r="Q223" s="37" t="n"/>
      <c r="R223" s="34" t="n">
        <v>4</v>
      </c>
      <c r="S223" s="61" t="inlineStr">
        <is>
          <t>Command Heavy Duty Picture Hangers</t>
        </is>
      </c>
      <c r="W223" s="6" t="inlineStr">
        <is>
          <t>$28.54</t>
        </is>
      </c>
    </row>
    <row r="224" ht="22" customHeight="1" s="62">
      <c r="Q224" s="38" t="n"/>
      <c r="R224" s="34" t="n">
        <v>5</v>
      </c>
      <c r="S224" s="61" t="inlineStr">
        <is>
          <t>Tax</t>
        </is>
      </c>
      <c r="W224" s="6" t="inlineStr">
        <is>
          <t>$24.88</t>
        </is>
      </c>
    </row>
    <row r="225" ht="22" customHeight="1" s="62">
      <c r="Q225" s="39" t="n"/>
      <c r="R225" s="34" t="n">
        <v>6</v>
      </c>
      <c r="S225" s="61" t="inlineStr">
        <is>
          <t>CeraVe Baby Healing Ointment</t>
        </is>
      </c>
      <c r="W225" s="6" t="inlineStr">
        <is>
          <t>$19.96</t>
        </is>
      </c>
    </row>
    <row r="226" ht="22" customHeight="1" s="62">
      <c r="Q226" s="40" t="n"/>
      <c r="R226" s="34" t="n">
        <v>7</v>
      </c>
      <c r="S226" s="61" t="inlineStr">
        <is>
          <t>Mandarin Oranges</t>
        </is>
      </c>
      <c r="W226" s="6" t="inlineStr">
        <is>
          <t>$19.91</t>
        </is>
      </c>
      <c r="Y226" s="64" t="inlineStr">
        <is>
          <t>How to read it</t>
        </is>
      </c>
    </row>
    <row r="227" ht="22" customHeight="1" s="62">
      <c r="Q227" s="41" t="n"/>
      <c r="R227" s="34" t="n">
        <v>8</v>
      </c>
      <c r="S227" s="61" t="inlineStr">
        <is>
          <t>Dove Sensitive Skin Body Wash</t>
        </is>
      </c>
      <c r="W227" s="6" t="inlineStr">
        <is>
          <t>$19.88</t>
        </is>
      </c>
      <c r="Y227" s="61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62">
      <c r="Q228" s="42" t="n"/>
      <c r="R228" s="34" t="n">
        <v>9</v>
      </c>
      <c r="S228" s="61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62">
      <c r="Q229" s="43" t="n"/>
      <c r="R229" s="34" t="n">
        <v>10</v>
      </c>
      <c r="S229" s="61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64" t="inlineStr">
        <is>
          <t>What it is useful for</t>
        </is>
      </c>
    </row>
    <row r="233">
      <c r="Y233" s="61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64" t="inlineStr">
        <is>
          <t>Notes</t>
        </is>
      </c>
    </row>
    <row r="239">
      <c r="Y239" s="61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62">
      <c r="Q254" s="63" t="inlineStr">
        <is>
          <t>Store Numbers + Month Numbers</t>
        </is>
      </c>
      <c r="Y254" s="63" t="inlineStr">
        <is>
          <t>How to Read This Graph</t>
        </is>
      </c>
    </row>
    <row r="255">
      <c r="Q255" s="32" t="n"/>
      <c r="R255" s="32" t="inlineStr">
        <is>
          <t>#</t>
        </is>
      </c>
      <c r="S255" s="32" t="inlineStr">
        <is>
          <t>Description</t>
        </is>
      </c>
      <c r="W255" s="32" t="inlineStr">
        <is>
          <t>Value</t>
        </is>
      </c>
    </row>
    <row r="256" ht="22" customHeight="1" s="62">
      <c r="Q256" s="33" t="n"/>
      <c r="R256" s="34" t="n">
        <v>1</v>
      </c>
      <c r="S256" s="61" t="inlineStr">
        <is>
          <t>Walmart</t>
        </is>
      </c>
      <c r="W256" s="6" t="inlineStr">
        <is>
          <t>$574.97</t>
        </is>
      </c>
      <c r="Y256" s="64" t="inlineStr">
        <is>
          <t>What it represents</t>
        </is>
      </c>
    </row>
    <row r="257" ht="22" customHeight="1" s="62">
      <c r="Q257" s="35" t="n"/>
      <c r="R257" s="34" t="n">
        <v>2</v>
      </c>
      <c r="S257" s="61" t="inlineStr">
        <is>
          <t>Aldi</t>
        </is>
      </c>
      <c r="W257" s="6" t="inlineStr">
        <is>
          <t>$180.89</t>
        </is>
      </c>
      <c r="Y257" s="61" t="inlineStr">
        <is>
          <t>Shows how monthly spending is divided among stores. Each column is one month; each colored section inside the column represents one store.</t>
        </is>
      </c>
    </row>
    <row r="258" ht="22" customHeight="1" s="62">
      <c r="Q258" s="36" t="n"/>
      <c r="R258" s="34" t="n">
        <v>3</v>
      </c>
      <c r="S258" s="61" t="inlineStr">
        <is>
          <t>Publix</t>
        </is>
      </c>
      <c r="W258" s="6" t="inlineStr">
        <is>
          <t>$145.58</t>
        </is>
      </c>
    </row>
    <row r="259" ht="22" customHeight="1" s="62">
      <c r="Q259" s="37" t="n"/>
      <c r="R259" s="34" t="n">
        <v>4</v>
      </c>
      <c r="S259" s="61" t="inlineStr">
        <is>
          <t>Honey Pineapple</t>
        </is>
      </c>
      <c r="W259" s="6" t="inlineStr">
        <is>
          <t>$48.12</t>
        </is>
      </c>
    </row>
    <row r="260" ht="22" customHeight="1" s="62">
      <c r="Q260" s="38" t="n"/>
      <c r="R260" s="34" t="n">
        <v>5</v>
      </c>
      <c r="S260" s="61" t="inlineStr">
        <is>
          <t>Trader Joe's</t>
        </is>
      </c>
      <c r="W260" s="6" t="inlineStr">
        <is>
          <t>$30.24</t>
        </is>
      </c>
    </row>
    <row r="261" ht="22" customHeight="1" s="62">
      <c r="Q261" s="46" t="n"/>
      <c r="R261" s="34" t="n">
        <v>1</v>
      </c>
      <c r="S261" s="61" t="inlineStr">
        <is>
          <t>Month August 2026</t>
        </is>
      </c>
      <c r="W261" s="6" t="inlineStr">
        <is>
          <t>$979.80</t>
        </is>
      </c>
    </row>
    <row r="262">
      <c r="Y262" s="64" t="inlineStr">
        <is>
          <t>How to read it</t>
        </is>
      </c>
    </row>
    <row r="263">
      <c r="Y263" s="61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64" t="inlineStr">
        <is>
          <t>What it is useful for</t>
        </is>
      </c>
    </row>
    <row r="269">
      <c r="Y269" s="61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64" t="inlineStr">
        <is>
          <t>Notes</t>
        </is>
      </c>
    </row>
    <row r="275">
      <c r="Y275" s="61" t="inlineStr">
        <is>
          <t>All stores are retained. There is no catch-all 'Other' store series.</t>
        </is>
      </c>
    </row>
    <row r="276"/>
    <row r="277"/>
    <row r="278"/>
    <row r="290" ht="16" customHeight="1" s="62">
      <c r="Q290" s="63" t="inlineStr">
        <is>
          <t>Number / Sub-Category</t>
        </is>
      </c>
      <c r="Y290" s="63" t="inlineStr">
        <is>
          <t>How to Read This Graph</t>
        </is>
      </c>
    </row>
    <row r="291">
      <c r="Q291" s="32" t="n"/>
      <c r="R291" s="32" t="inlineStr">
        <is>
          <t>#</t>
        </is>
      </c>
      <c r="S291" s="32" t="inlineStr">
        <is>
          <t>Description</t>
        </is>
      </c>
      <c r="W291" s="32" t="inlineStr">
        <is>
          <t>Value</t>
        </is>
      </c>
    </row>
    <row r="292" ht="22" customHeight="1" s="62">
      <c r="Q292" s="33" t="n"/>
      <c r="R292" s="34" t="n">
        <v>1</v>
      </c>
      <c r="S292" s="61" t="inlineStr">
        <is>
          <t>Fresh Vegetables</t>
        </is>
      </c>
      <c r="W292" s="6" t="inlineStr">
        <is>
          <t>24</t>
        </is>
      </c>
      <c r="Y292" s="64" t="inlineStr">
        <is>
          <t>What it represents</t>
        </is>
      </c>
    </row>
    <row r="293" ht="22" customHeight="1" s="62">
      <c r="Q293" s="35" t="n"/>
      <c r="R293" s="34" t="n">
        <v>2</v>
      </c>
      <c r="S293" s="61" t="inlineStr">
        <is>
          <t>Fresh Fruit</t>
        </is>
      </c>
      <c r="W293" s="6" t="inlineStr">
        <is>
          <t>23</t>
        </is>
      </c>
      <c r="Y293" s="61" t="inlineStr">
        <is>
          <t>Counts how many valid purchase observations occurred in each sub-category. This measures frequency, not dollars.</t>
        </is>
      </c>
    </row>
    <row r="294" ht="22" customHeight="1" s="62">
      <c r="Q294" s="36" t="n"/>
      <c r="R294" s="34" t="n">
        <v>3</v>
      </c>
      <c r="S294" s="61" t="inlineStr">
        <is>
          <t>Fees &amp; Charges</t>
        </is>
      </c>
      <c r="W294" s="6" t="inlineStr">
        <is>
          <t>14</t>
        </is>
      </c>
    </row>
    <row r="295" ht="22" customHeight="1" s="62">
      <c r="Q295" s="37" t="n"/>
      <c r="R295" s="34" t="n">
        <v>4</v>
      </c>
      <c r="S295" s="61" t="inlineStr">
        <is>
          <t>Baby Care</t>
        </is>
      </c>
      <c r="W295" s="6" t="inlineStr">
        <is>
          <t>10</t>
        </is>
      </c>
    </row>
    <row r="296" ht="22" customHeight="1" s="62">
      <c r="Q296" s="38" t="n"/>
      <c r="R296" s="34" t="n">
        <v>5</v>
      </c>
      <c r="S296" s="61" t="inlineStr">
        <is>
          <t>Baking Ingredients</t>
        </is>
      </c>
      <c r="W296" s="6" t="inlineStr">
        <is>
          <t>6</t>
        </is>
      </c>
    </row>
    <row r="297" ht="22" customHeight="1" s="62">
      <c r="Q297" s="39" t="n"/>
      <c r="R297" s="34" t="n">
        <v>6</v>
      </c>
      <c r="S297" s="61" t="inlineStr">
        <is>
          <t>Canned Beans &amp; Legumes</t>
        </is>
      </c>
      <c r="W297" s="6" t="inlineStr">
        <is>
          <t>6</t>
        </is>
      </c>
    </row>
    <row r="298" ht="22" customHeight="1" s="62">
      <c r="Q298" s="40" t="n"/>
      <c r="R298" s="34" t="n">
        <v>7</v>
      </c>
      <c r="S298" s="61" t="inlineStr">
        <is>
          <t>Yogurt</t>
        </is>
      </c>
      <c r="W298" s="6" t="inlineStr">
        <is>
          <t>6</t>
        </is>
      </c>
      <c r="Y298" s="64" t="inlineStr">
        <is>
          <t>How to read it</t>
        </is>
      </c>
    </row>
    <row r="299" ht="22" customHeight="1" s="62">
      <c r="Q299" s="41" t="n"/>
      <c r="R299" s="34" t="n">
        <v>8</v>
      </c>
      <c r="S299" s="61" t="inlineStr">
        <is>
          <t>Plant-Based Milk</t>
        </is>
      </c>
      <c r="W299" s="6" t="inlineStr">
        <is>
          <t>5</t>
        </is>
      </c>
      <c r="Y299" s="61" t="inlineStr">
        <is>
          <t>Each sub-category is a numbered colored bar. Match the number and color to the key. A longer bar means the sub-category was purchased more frequently.</t>
        </is>
      </c>
    </row>
    <row r="300" ht="22" customHeight="1" s="62">
      <c r="Q300" s="42" t="n"/>
      <c r="R300" s="34" t="n">
        <v>9</v>
      </c>
      <c r="S300" s="61" t="inlineStr">
        <is>
          <t>Seasonings &amp; Spices</t>
        </is>
      </c>
      <c r="W300" s="6" t="inlineStr">
        <is>
          <t>5</t>
        </is>
      </c>
    </row>
    <row r="301" ht="22" customHeight="1" s="62">
      <c r="Q301" s="43" t="n"/>
      <c r="R301" s="34" t="n">
        <v>10</v>
      </c>
      <c r="S301" s="61" t="inlineStr">
        <is>
          <t>Body Wash</t>
        </is>
      </c>
      <c r="W301" s="6" t="inlineStr">
        <is>
          <t>4</t>
        </is>
      </c>
    </row>
    <row r="302" ht="22" customHeight="1" s="62">
      <c r="Q302" s="44" t="n"/>
      <c r="R302" s="34" t="n">
        <v>11</v>
      </c>
      <c r="S302" s="61" t="inlineStr">
        <is>
          <t>Eggs</t>
        </is>
      </c>
      <c r="W302" s="6" t="inlineStr">
        <is>
          <t>4</t>
        </is>
      </c>
    </row>
    <row r="303" ht="22" customHeight="1" s="62">
      <c r="Q303" s="45" t="n"/>
      <c r="R303" s="34" t="n">
        <v>12</v>
      </c>
      <c r="S303" s="61" t="inlineStr">
        <is>
          <t>Macaroni &amp; Cheese</t>
        </is>
      </c>
      <c r="W303" s="6" t="inlineStr">
        <is>
          <t>4</t>
        </is>
      </c>
    </row>
    <row r="304" ht="22" customHeight="1" s="62">
      <c r="Q304" s="33" t="n"/>
      <c r="R304" s="34" t="n">
        <v>13</v>
      </c>
      <c r="S304" s="61" t="inlineStr">
        <is>
          <t>Baking Mixes</t>
        </is>
      </c>
      <c r="W304" s="6" t="inlineStr">
        <is>
          <t>3</t>
        </is>
      </c>
      <c r="Y304" s="64" t="inlineStr">
        <is>
          <t>What it is useful for</t>
        </is>
      </c>
    </row>
    <row r="305" ht="22" customHeight="1" s="62">
      <c r="Q305" s="35" t="n"/>
      <c r="R305" s="34" t="n">
        <v>14</v>
      </c>
      <c r="S305" s="61" t="inlineStr">
        <is>
          <t>Bread</t>
        </is>
      </c>
      <c r="W305" s="6" t="inlineStr">
        <is>
          <t>3</t>
        </is>
      </c>
      <c r="Y305" s="61" t="inlineStr">
        <is>
          <t>Use this alongside Spending by Sub-Category to distinguish frequent routine purchases from sub-categories that are bought less often but cost more.</t>
        </is>
      </c>
    </row>
    <row r="306" ht="22" customHeight="1" s="62">
      <c r="Q306" s="36" t="n"/>
      <c r="R306" s="34" t="n">
        <v>15</v>
      </c>
      <c r="S306" s="61" t="inlineStr">
        <is>
          <t>Salad Kits</t>
        </is>
      </c>
      <c r="W306" s="6" t="inlineStr">
        <is>
          <t>3</t>
        </is>
      </c>
    </row>
    <row r="307" ht="22" customHeight="1" s="62">
      <c r="Q307" s="37" t="n"/>
      <c r="R307" s="34" t="n">
        <v>16</v>
      </c>
      <c r="S307" s="61" t="inlineStr">
        <is>
          <t>Snack Bars</t>
        </is>
      </c>
      <c r="W307" s="6" t="inlineStr">
        <is>
          <t>3</t>
        </is>
      </c>
    </row>
    <row r="308" ht="22" customHeight="1" s="62">
      <c r="Q308" s="38" t="n"/>
      <c r="R308" s="34" t="n">
        <v>17</v>
      </c>
      <c r="S308" s="61" t="inlineStr">
        <is>
          <t>Cat Litter</t>
        </is>
      </c>
      <c r="W308" s="6" t="inlineStr">
        <is>
          <t>2</t>
        </is>
      </c>
    </row>
    <row r="309" ht="22" customHeight="1" s="62">
      <c r="Q309" s="39" t="n"/>
      <c r="R309" s="34" t="n">
        <v>18</v>
      </c>
      <c r="S309" s="61" t="inlineStr">
        <is>
          <t>Cheese</t>
        </is>
      </c>
      <c r="W309" s="6" t="inlineStr">
        <is>
          <t>2</t>
        </is>
      </c>
    </row>
    <row r="310" ht="22" customHeight="1" s="62">
      <c r="Q310" s="40" t="n"/>
      <c r="R310" s="34" t="n">
        <v>19</v>
      </c>
      <c r="S310" s="61" t="inlineStr">
        <is>
          <t>Cooking Oils &amp; Sprays</t>
        </is>
      </c>
      <c r="W310" s="6" t="inlineStr">
        <is>
          <t>2</t>
        </is>
      </c>
    </row>
    <row r="311" ht="22" customHeight="1" s="62">
      <c r="Q311" s="41" t="n"/>
      <c r="R311" s="34" t="n">
        <v>20</v>
      </c>
      <c r="S311" s="61" t="inlineStr">
        <is>
          <t>Food Storage</t>
        </is>
      </c>
      <c r="W311" s="6" t="inlineStr">
        <is>
          <t>2</t>
        </is>
      </c>
    </row>
    <row r="312" ht="22" customHeight="1" s="62">
      <c r="Q312" s="42" t="n"/>
      <c r="R312" s="34" t="n">
        <v>21</v>
      </c>
      <c r="S312" s="61" t="inlineStr">
        <is>
          <t>Fresh Herbs</t>
        </is>
      </c>
      <c r="W312" s="6" t="inlineStr">
        <is>
          <t>2</t>
        </is>
      </c>
    </row>
    <row r="313" ht="22" customHeight="1" s="62">
      <c r="Q313" s="43" t="n"/>
      <c r="R313" s="34" t="n">
        <v>22</v>
      </c>
      <c r="S313" s="61" t="inlineStr">
        <is>
          <t>Fresh Poultry</t>
        </is>
      </c>
      <c r="W313" s="6" t="inlineStr">
        <is>
          <t>2</t>
        </is>
      </c>
    </row>
    <row r="314" ht="22" customHeight="1" s="62">
      <c r="Q314" s="44" t="n"/>
      <c r="R314" s="34" t="n">
        <v>23</v>
      </c>
      <c r="S314" s="61" t="inlineStr">
        <is>
          <t>Frozen Breakfast</t>
        </is>
      </c>
      <c r="W314" s="6" t="inlineStr">
        <is>
          <t>2</t>
        </is>
      </c>
    </row>
    <row r="315" ht="22" customHeight="1" s="62">
      <c r="Q315" s="45" t="n"/>
      <c r="R315" s="34" t="n">
        <v>24</v>
      </c>
      <c r="S315" s="61" t="inlineStr">
        <is>
          <t>Frozen Pizza</t>
        </is>
      </c>
      <c r="W315" s="6" t="inlineStr">
        <is>
          <t>2</t>
        </is>
      </c>
    </row>
    <row r="316" ht="22" customHeight="1" s="62">
      <c r="Q316" s="33" t="n"/>
      <c r="R316" s="34" t="n">
        <v>25</v>
      </c>
      <c r="S316" s="61" t="inlineStr">
        <is>
          <t>Frozen Vegetables</t>
        </is>
      </c>
      <c r="W316" s="6" t="inlineStr">
        <is>
          <t>2</t>
        </is>
      </c>
    </row>
    <row r="317" ht="22" customHeight="1" s="62">
      <c r="Q317" s="35" t="n"/>
      <c r="R317" s="34" t="n">
        <v>26</v>
      </c>
      <c r="S317" s="61" t="inlineStr">
        <is>
          <t>Hair Care</t>
        </is>
      </c>
      <c r="W317" s="6" t="inlineStr">
        <is>
          <t>2</t>
        </is>
      </c>
    </row>
    <row r="318" ht="22" customHeight="1" s="62">
      <c r="Q318" s="36" t="n"/>
      <c r="R318" s="34" t="n">
        <v>27</v>
      </c>
      <c r="S318" s="61" t="inlineStr">
        <is>
          <t>Milk</t>
        </is>
      </c>
      <c r="W318" s="6" t="inlineStr">
        <is>
          <t>2</t>
        </is>
      </c>
    </row>
    <row r="319" ht="22" customHeight="1" s="62">
      <c r="Q319" s="37" t="n"/>
      <c r="R319" s="34" t="n">
        <v>28</v>
      </c>
      <c r="S319" s="61" t="inlineStr">
        <is>
          <t>Plant-Based Cheese</t>
        </is>
      </c>
      <c r="W319" s="6" t="inlineStr">
        <is>
          <t>2</t>
        </is>
      </c>
    </row>
    <row r="320" ht="22" customHeight="1" s="62">
      <c r="Q320" s="38" t="n"/>
      <c r="R320" s="34" t="n">
        <v>29</v>
      </c>
      <c r="S320" s="61" t="inlineStr">
        <is>
          <t>Prepared Coffee</t>
        </is>
      </c>
      <c r="W320" s="6" t="inlineStr">
        <is>
          <t>2</t>
        </is>
      </c>
    </row>
    <row r="321" ht="22" customHeight="1" s="62">
      <c r="Q321" s="39" t="n"/>
      <c r="R321" s="34" t="n">
        <v>30</v>
      </c>
      <c r="S321" s="61" t="inlineStr">
        <is>
          <t>Prepared Meals</t>
        </is>
      </c>
      <c r="W321" s="6" t="inlineStr">
        <is>
          <t>2</t>
        </is>
      </c>
    </row>
    <row r="322" ht="22" customHeight="1" s="62">
      <c r="Q322" s="40" t="n"/>
      <c r="R322" s="34" t="n">
        <v>31</v>
      </c>
      <c r="S322" s="61" t="inlineStr">
        <is>
          <t>Specialty Cheese</t>
        </is>
      </c>
      <c r="W322" s="6" t="inlineStr">
        <is>
          <t>2</t>
        </is>
      </c>
    </row>
    <row r="323" ht="22" customHeight="1" s="62">
      <c r="Q323" s="41" t="n"/>
      <c r="R323" s="34" t="n">
        <v>32</v>
      </c>
      <c r="S323" s="61" t="inlineStr">
        <is>
          <t>Tortillas</t>
        </is>
      </c>
      <c r="W323" s="6" t="inlineStr">
        <is>
          <t>2</t>
        </is>
      </c>
    </row>
    <row r="324" ht="22" customHeight="1" s="62">
      <c r="Q324" s="42" t="n"/>
      <c r="R324" s="34" t="n">
        <v>33</v>
      </c>
      <c r="S324" s="61" t="inlineStr">
        <is>
          <t>Baby &amp; Toddler Food</t>
        </is>
      </c>
      <c r="W324" s="6" t="inlineStr">
        <is>
          <t>1</t>
        </is>
      </c>
    </row>
    <row r="325" ht="22" customHeight="1" s="62">
      <c r="Q325" s="43" t="n"/>
      <c r="R325" s="34" t="n">
        <v>34</v>
      </c>
      <c r="S325" s="61" t="inlineStr">
        <is>
          <t>Canned Tomatoes</t>
        </is>
      </c>
      <c r="W325" s="6" t="inlineStr">
        <is>
          <t>1</t>
        </is>
      </c>
    </row>
    <row r="326" ht="22" customHeight="1" s="62">
      <c r="Q326" s="44" t="n"/>
      <c r="R326" s="34" t="n">
        <v>35</v>
      </c>
      <c r="S326" s="61" t="inlineStr">
        <is>
          <t>Crackers</t>
        </is>
      </c>
      <c r="W326" s="6" t="inlineStr">
        <is>
          <t>1</t>
        </is>
      </c>
    </row>
    <row r="327" ht="22" customHeight="1" s="62">
      <c r="Q327" s="45" t="n"/>
      <c r="R327" s="34" t="n">
        <v>36</v>
      </c>
      <c r="S327" s="61" t="inlineStr">
        <is>
          <t>Cream &amp; Half-and-Half</t>
        </is>
      </c>
      <c r="W327" s="6" t="inlineStr">
        <is>
          <t>1</t>
        </is>
      </c>
    </row>
    <row r="328" ht="22" customHeight="1" s="62">
      <c r="Q328" s="33" t="n"/>
      <c r="R328" s="34" t="n">
        <v>37</v>
      </c>
      <c r="S328" s="61" t="inlineStr">
        <is>
          <t>Cream Cheese</t>
        </is>
      </c>
      <c r="W328" s="6" t="inlineStr">
        <is>
          <t>1</t>
        </is>
      </c>
    </row>
    <row r="329" ht="22" customHeight="1" s="62">
      <c r="Q329" s="35" t="n"/>
      <c r="R329" s="34" t="n">
        <v>38</v>
      </c>
      <c r="S329" s="61" t="inlineStr">
        <is>
          <t>Croutons</t>
        </is>
      </c>
      <c r="W329" s="6" t="inlineStr">
        <is>
          <t>1</t>
        </is>
      </c>
    </row>
    <row r="330" ht="22" customHeight="1" s="62">
      <c r="Q330" s="36" t="n"/>
      <c r="R330" s="34" t="n">
        <v>39</v>
      </c>
      <c r="S330" s="61" t="inlineStr">
        <is>
          <t>Deli Meat</t>
        </is>
      </c>
      <c r="W330" s="6" t="inlineStr">
        <is>
          <t>1</t>
        </is>
      </c>
    </row>
    <row r="331" ht="22" customHeight="1" s="62">
      <c r="Q331" s="37" t="n"/>
      <c r="R331" s="34" t="n">
        <v>40</v>
      </c>
      <c r="S331" s="61" t="inlineStr">
        <is>
          <t>Dips &amp; Spreads</t>
        </is>
      </c>
      <c r="W331" s="6" t="inlineStr">
        <is>
          <t>1</t>
        </is>
      </c>
    </row>
    <row r="332" ht="22" customHeight="1" s="62">
      <c r="Q332" s="38" t="n"/>
      <c r="R332" s="34" t="n">
        <v>41</v>
      </c>
      <c r="S332" s="61" t="inlineStr">
        <is>
          <t>Dishwashing Supplies</t>
        </is>
      </c>
      <c r="W332" s="6" t="inlineStr">
        <is>
          <t>1</t>
        </is>
      </c>
    </row>
    <row r="333" ht="22" customHeight="1" s="62">
      <c r="Q333" s="39" t="n"/>
      <c r="R333" s="34" t="n">
        <v>42</v>
      </c>
      <c r="S333" s="61" t="inlineStr">
        <is>
          <t>Disposable Tableware</t>
        </is>
      </c>
      <c r="W333" s="6" t="inlineStr">
        <is>
          <t>1</t>
        </is>
      </c>
    </row>
    <row r="334" ht="22" customHeight="1" s="62">
      <c r="Q334" s="40" t="n"/>
      <c r="R334" s="34" t="n">
        <v>43</v>
      </c>
      <c r="S334" s="61" t="inlineStr">
        <is>
          <t>Fresh Seafood</t>
        </is>
      </c>
      <c r="W334" s="6" t="inlineStr">
        <is>
          <t>1</t>
        </is>
      </c>
    </row>
    <row r="335" ht="22" customHeight="1" s="62">
      <c r="Q335" s="41" t="n"/>
      <c r="R335" s="34" t="n">
        <v>44</v>
      </c>
      <c r="S335" s="61" t="inlineStr">
        <is>
          <t>Fresh-Cut Fruit</t>
        </is>
      </c>
      <c r="W335" s="6" t="inlineStr">
        <is>
          <t>1</t>
        </is>
      </c>
    </row>
    <row r="336" ht="22" customHeight="1" s="62">
      <c r="Q336" s="42" t="n"/>
      <c r="R336" s="34" t="n">
        <v>45</v>
      </c>
      <c r="S336" s="61" t="inlineStr">
        <is>
          <t>Frozen Meat</t>
        </is>
      </c>
      <c r="W336" s="6" t="inlineStr">
        <is>
          <t>1</t>
        </is>
      </c>
    </row>
    <row r="337" ht="22" customHeight="1" s="62">
      <c r="Q337" s="43" t="n"/>
      <c r="R337" s="34" t="n">
        <v>46</v>
      </c>
      <c r="S337" s="61" t="inlineStr">
        <is>
          <t>Frozen Plantains</t>
        </is>
      </c>
      <c r="W337" s="6" t="inlineStr">
        <is>
          <t>1</t>
        </is>
      </c>
    </row>
    <row r="338" ht="22" customHeight="1" s="62">
      <c r="Q338" s="44" t="n"/>
      <c r="R338" s="34" t="n">
        <v>47</v>
      </c>
      <c r="S338" s="61" t="inlineStr">
        <is>
          <t>Frozen Sandwiches</t>
        </is>
      </c>
      <c r="W338" s="6" t="inlineStr">
        <is>
          <t>1</t>
        </is>
      </c>
    </row>
    <row r="339" ht="22" customHeight="1" s="62">
      <c r="Q339" s="45" t="n"/>
      <c r="R339" s="34" t="n">
        <v>48</v>
      </c>
      <c r="S339" s="61" t="inlineStr">
        <is>
          <t>Home Improvement</t>
        </is>
      </c>
      <c r="W339" s="6" t="inlineStr">
        <is>
          <t>1</t>
        </is>
      </c>
    </row>
    <row r="340" ht="22" customHeight="1" s="62">
      <c r="Q340" s="33" t="n"/>
      <c r="R340" s="34" t="n">
        <v>49</v>
      </c>
      <c r="S340" s="61" t="inlineStr">
        <is>
          <t>Hot Dogs &amp; Sausages</t>
        </is>
      </c>
      <c r="W340" s="6" t="inlineStr">
        <is>
          <t>1</t>
        </is>
      </c>
    </row>
    <row r="341" ht="22" customHeight="1" s="62">
      <c r="Q341" s="35" t="n"/>
      <c r="R341" s="34" t="n">
        <v>50</v>
      </c>
      <c r="S341" s="61" t="inlineStr">
        <is>
          <t>Household Cleaners</t>
        </is>
      </c>
      <c r="W341" s="6" t="inlineStr">
        <is>
          <t>1</t>
        </is>
      </c>
    </row>
    <row r="342" ht="22" customHeight="1" s="62">
      <c r="Q342" s="36" t="n"/>
      <c r="R342" s="34" t="n">
        <v>51</v>
      </c>
      <c r="S342" s="61" t="inlineStr">
        <is>
          <t>Jarred Vegetables</t>
        </is>
      </c>
      <c r="W342" s="6" t="inlineStr">
        <is>
          <t>1</t>
        </is>
      </c>
    </row>
    <row r="343" ht="22" customHeight="1" s="62">
      <c r="Q343" s="37" t="n"/>
      <c r="R343" s="34" t="n">
        <v>52</v>
      </c>
      <c r="S343" s="61" t="inlineStr">
        <is>
          <t>Judaica</t>
        </is>
      </c>
      <c r="W343" s="6" t="inlineStr">
        <is>
          <t>1</t>
        </is>
      </c>
    </row>
    <row r="344" ht="22" customHeight="1" s="62">
      <c r="Q344" s="38" t="n"/>
      <c r="R344" s="34" t="n">
        <v>53</v>
      </c>
      <c r="S344" s="61" t="inlineStr">
        <is>
          <t>Muffins &amp; Pastries</t>
        </is>
      </c>
      <c r="W344" s="6" t="inlineStr">
        <is>
          <t>1</t>
        </is>
      </c>
    </row>
    <row r="345" ht="22" customHeight="1" s="62">
      <c r="Q345" s="39" t="n"/>
      <c r="R345" s="34" t="n">
        <v>54</v>
      </c>
      <c r="S345" s="61" t="inlineStr">
        <is>
          <t>Pasta</t>
        </is>
      </c>
      <c r="W345" s="6" t="inlineStr">
        <is>
          <t>1</t>
        </is>
      </c>
    </row>
    <row r="346" ht="22" customHeight="1" s="62">
      <c r="Q346" s="40" t="n"/>
      <c r="R346" s="34" t="n">
        <v>55</v>
      </c>
      <c r="S346" s="61" t="inlineStr">
        <is>
          <t>Peanut Butter</t>
        </is>
      </c>
      <c r="W346" s="6" t="inlineStr">
        <is>
          <t>1</t>
        </is>
      </c>
    </row>
    <row r="347" ht="22" customHeight="1" s="62">
      <c r="Q347" s="41" t="n"/>
      <c r="R347" s="34" t="n">
        <v>56</v>
      </c>
      <c r="S347" s="61" t="inlineStr">
        <is>
          <t>Popcorn</t>
        </is>
      </c>
      <c r="W347" s="6" t="inlineStr">
        <is>
          <t>1</t>
        </is>
      </c>
    </row>
    <row r="348" ht="22" customHeight="1" s="62">
      <c r="Q348" s="42" t="n"/>
      <c r="R348" s="34" t="n">
        <v>57</v>
      </c>
      <c r="S348" s="61" t="inlineStr">
        <is>
          <t>Refrigerated Dough</t>
        </is>
      </c>
      <c r="W348" s="6" t="inlineStr">
        <is>
          <t>1</t>
        </is>
      </c>
    </row>
    <row r="349" ht="22" customHeight="1" s="62">
      <c r="Q349" s="43" t="n"/>
      <c r="R349" s="34" t="n">
        <v>58</v>
      </c>
      <c r="S349" s="61" t="inlineStr">
        <is>
          <t>Rice &amp; Grains</t>
        </is>
      </c>
      <c r="W349" s="6" t="inlineStr">
        <is>
          <t>1</t>
        </is>
      </c>
    </row>
    <row r="350" ht="22" customHeight="1" s="62">
      <c r="Q350" s="44" t="n"/>
      <c r="R350" s="34" t="n">
        <v>59</v>
      </c>
      <c r="S350" s="61" t="inlineStr">
        <is>
          <t>Salad Dressing</t>
        </is>
      </c>
      <c r="W350" s="6" t="inlineStr">
        <is>
          <t>1</t>
        </is>
      </c>
    </row>
    <row r="351" ht="22" customHeight="1" s="62">
      <c r="Q351" s="45" t="n"/>
      <c r="R351" s="34" t="n">
        <v>60</v>
      </c>
      <c r="S351" s="61" t="inlineStr">
        <is>
          <t>Sauces &amp; Condiments</t>
        </is>
      </c>
      <c r="W351" s="6" t="inlineStr">
        <is>
          <t>1</t>
        </is>
      </c>
    </row>
    <row r="352" ht="22" customHeight="1" s="62">
      <c r="Q352" s="33" t="n"/>
      <c r="R352" s="34" t="n">
        <v>61</v>
      </c>
      <c r="S352" s="61" t="inlineStr">
        <is>
          <t>Snack Cakes</t>
        </is>
      </c>
      <c r="W352" s="6" t="inlineStr">
        <is>
          <t>1</t>
        </is>
      </c>
    </row>
    <row r="353" ht="22" customHeight="1" s="62">
      <c r="Q353" s="35" t="n"/>
      <c r="R353" s="34" t="n">
        <v>62</v>
      </c>
      <c r="S353" s="61" t="inlineStr">
        <is>
          <t>Storage &amp; Organization</t>
        </is>
      </c>
      <c r="W353" s="6" t="inlineStr">
        <is>
          <t>1</t>
        </is>
      </c>
    </row>
    <row r="354" ht="22" customHeight="1" s="62">
      <c r="Q354" s="36" t="n"/>
      <c r="R354" s="34" t="n">
        <v>63</v>
      </c>
      <c r="S354" s="61" t="inlineStr">
        <is>
          <t>Wine</t>
        </is>
      </c>
      <c r="W354" s="6" t="inlineStr">
        <is>
          <t>1</t>
        </is>
      </c>
    </row>
    <row r="355" ht="22" customHeight="1" s="62">
      <c r="Q355" s="37" t="n"/>
      <c r="R355" s="34" t="n">
        <v>64</v>
      </c>
      <c r="S355" s="61" t="inlineStr">
        <is>
          <t>Writing Supplies</t>
        </is>
      </c>
      <c r="W355" s="6" t="inlineStr">
        <is>
          <t>1</t>
        </is>
      </c>
    </row>
  </sheetData>
  <mergeCells count="281">
    <mergeCell ref="S118:V118"/>
    <mergeCell ref="S207:V207"/>
    <mergeCell ref="Y113:AG113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317:V317"/>
    <mergeCell ref="S204:V204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163:V163"/>
    <mergeCell ref="S319:V319"/>
    <mergeCell ref="S334:V334"/>
    <mergeCell ref="Y158:AG161"/>
    <mergeCell ref="Y263:AG266"/>
    <mergeCell ref="S309:V309"/>
    <mergeCell ref="S76:V76"/>
    <mergeCell ref="S85:V85"/>
    <mergeCell ref="S256:V256"/>
    <mergeCell ref="S94:V94"/>
    <mergeCell ref="S183:V183"/>
    <mergeCell ref="S296:V296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Q254:W254"/>
    <mergeCell ref="S48:V48"/>
    <mergeCell ref="S337:V337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S89:V89"/>
    <mergeCell ref="Y232:AG232"/>
    <mergeCell ref="S260:V260"/>
    <mergeCell ref="Y290:AG290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327:V327"/>
    <mergeCell ref="S214:V214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170:V170"/>
    <mergeCell ref="S77:V77"/>
    <mergeCell ref="Q8:W8"/>
    <mergeCell ref="S52:V52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Y170:AG173"/>
    <mergeCell ref="S355:V355"/>
    <mergeCell ref="S227:V227"/>
    <mergeCell ref="S340:V340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90:V90"/>
    <mergeCell ref="S105:V105"/>
    <mergeCell ref="S174:V174"/>
    <mergeCell ref="S156:V156"/>
    <mergeCell ref="S188:V188"/>
    <mergeCell ref="S261:V261"/>
    <mergeCell ref="S301:V301"/>
    <mergeCell ref="S332:V332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S116:V116"/>
    <mergeCell ref="Y128:AG131"/>
    <mergeCell ref="Y58:AG58"/>
    <mergeCell ref="S68:V68"/>
    <mergeCell ref="S103:V103"/>
    <mergeCell ref="S152:V152"/>
    <mergeCell ref="S196:V196"/>
    <mergeCell ref="S352:V352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7" t="inlineStr">
        <is>
          <t>Monthly Spending</t>
        </is>
      </c>
      <c r="E1" s="47" t="inlineStr">
        <is>
          <t>Spending by Sub-Category</t>
        </is>
      </c>
      <c r="I1" s="47" t="inlineStr">
        <is>
          <t>Spending by Store</t>
        </is>
      </c>
      <c r="M1" s="47" t="inlineStr">
        <is>
          <t>Spending Share by Sub-Category</t>
        </is>
      </c>
      <c r="Q1" s="47" t="inlineStr">
        <is>
          <t>Top Products by Spending</t>
        </is>
      </c>
      <c r="U1" s="47" t="inlineStr">
        <is>
          <t>Purchase Frequency by Sub-Category</t>
        </is>
      </c>
      <c r="Y1" s="47" t="inlineStr">
        <is>
          <t>Monthly Spending by Store</t>
        </is>
      </c>
    </row>
    <row r="2">
      <c r="A2" s="47" t="inlineStr">
        <is>
          <t>Number</t>
        </is>
      </c>
      <c r="B2" s="47" t="inlineStr">
        <is>
          <t>Month</t>
        </is>
      </c>
      <c r="C2" s="47" t="inlineStr">
        <is>
          <t>Spending</t>
        </is>
      </c>
      <c r="E2" s="47" t="inlineStr">
        <is>
          <t>Number</t>
        </is>
      </c>
      <c r="F2" s="47" t="inlineStr">
        <is>
          <t>Sub-Category</t>
        </is>
      </c>
      <c r="G2" s="47" t="inlineStr">
        <is>
          <t>Spending</t>
        </is>
      </c>
      <c r="I2" s="47" t="inlineStr">
        <is>
          <t>Number</t>
        </is>
      </c>
      <c r="J2" s="47" t="inlineStr">
        <is>
          <t>Store</t>
        </is>
      </c>
      <c r="K2" s="47" t="inlineStr">
        <is>
          <t>Spending</t>
        </is>
      </c>
      <c r="M2" s="47" t="inlineStr">
        <is>
          <t>Number</t>
        </is>
      </c>
      <c r="N2" s="47" t="inlineStr">
        <is>
          <t>Sub-Category</t>
        </is>
      </c>
      <c r="O2" s="47" t="inlineStr">
        <is>
          <t>Spending</t>
        </is>
      </c>
      <c r="Q2" s="47" t="inlineStr">
        <is>
          <t>Number</t>
        </is>
      </c>
      <c r="R2" s="47" t="inlineStr">
        <is>
          <t>Product</t>
        </is>
      </c>
      <c r="S2" s="47" t="inlineStr">
        <is>
          <t>Spending</t>
        </is>
      </c>
      <c r="U2" s="47" t="inlineStr">
        <is>
          <t>Number</t>
        </is>
      </c>
      <c r="V2" s="47" t="inlineStr">
        <is>
          <t>Sub-Category</t>
        </is>
      </c>
      <c r="W2" s="47" t="inlineStr">
        <is>
          <t>Purchases</t>
        </is>
      </c>
      <c r="Y2" s="47" t="inlineStr">
        <is>
          <t>Month Number</t>
        </is>
      </c>
      <c r="Z2" s="47" t="inlineStr">
        <is>
          <t>1</t>
        </is>
      </c>
      <c r="AA2" s="47" t="inlineStr">
        <is>
          <t>2</t>
        </is>
      </c>
      <c r="AB2" s="47" t="inlineStr">
        <is>
          <t>3</t>
        </is>
      </c>
      <c r="AC2" s="47" t="inlineStr">
        <is>
          <t>4</t>
        </is>
      </c>
      <c r="AD2" s="47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62" min="1" max="15"/>
    <col width="2" customWidth="1" style="62" min="16" max="16"/>
    <col width="4" customWidth="1" style="62" min="17" max="17"/>
    <col width="5" customWidth="1" style="62" min="18" max="18"/>
    <col width="15" customWidth="1" style="62" min="19" max="22"/>
    <col width="14" customWidth="1" style="62" min="23" max="23"/>
    <col width="2" customWidth="1" style="62" min="24" max="24"/>
    <col width="13" customWidth="1" style="62" min="25" max="33"/>
  </cols>
  <sheetData>
    <row r="1" ht="28" customHeight="1" s="62">
      <c r="A1" s="68" t="inlineStr">
        <is>
          <t>ShopGraph Spending Analytics</t>
        </is>
      </c>
    </row>
    <row r="2" ht="28" customHeight="1" s="62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62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62">
      <c r="Q8" s="67" t="inlineStr">
        <is>
          <t>Number / Month</t>
        </is>
      </c>
      <c r="Y8" s="67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62">
      <c r="Q10" s="11" t="n"/>
      <c r="R10" s="12" t="n">
        <v>1</v>
      </c>
      <c r="S10" s="61" t="inlineStr">
        <is>
          <t>August 2026</t>
        </is>
      </c>
      <c r="W10" s="6" t="inlineStr">
        <is>
          <t>$899.73</t>
        </is>
      </c>
      <c r="Y10" s="66" t="inlineStr">
        <is>
          <t>What it represents</t>
        </is>
      </c>
    </row>
    <row r="11">
      <c r="Y11" s="61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6" t="inlineStr">
        <is>
          <t>How to read it</t>
        </is>
      </c>
    </row>
    <row r="17">
      <c r="Y17" s="61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6" t="inlineStr">
        <is>
          <t>What it is useful for</t>
        </is>
      </c>
    </row>
    <row r="23">
      <c r="Y23" s="61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6" t="inlineStr">
        <is>
          <t>Notes</t>
        </is>
      </c>
    </row>
    <row r="29">
      <c r="Y29" s="61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2">
      <c r="Q44" s="67" t="inlineStr">
        <is>
          <t>Number / Category</t>
        </is>
      </c>
      <c r="Y44" s="67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62">
      <c r="Q46" s="11" t="n"/>
      <c r="R46" s="12" t="n">
        <v>1</v>
      </c>
      <c r="S46" s="61" t="inlineStr">
        <is>
          <t>Baby Care</t>
        </is>
      </c>
      <c r="W46" s="6" t="inlineStr">
        <is>
          <t>$146.02</t>
        </is>
      </c>
      <c r="Y46" s="66" t="inlineStr">
        <is>
          <t>What it represents</t>
        </is>
      </c>
    </row>
    <row r="47" ht="22" customHeight="1" s="62">
      <c r="Q47" s="13" t="n"/>
      <c r="R47" s="12" t="n">
        <v>2</v>
      </c>
      <c r="S47" s="61" t="inlineStr">
        <is>
          <t>Produce</t>
        </is>
      </c>
      <c r="W47" s="6" t="inlineStr">
        <is>
          <t>$111.93</t>
        </is>
      </c>
      <c r="Y47" s="61" t="inlineStr">
        <is>
          <t>Compares total spending across every category in Purchase History. No categories are collapsed into an 'Other' group.</t>
        </is>
      </c>
    </row>
    <row r="48" ht="22" customHeight="1" s="62">
      <c r="Q48" s="14" t="n"/>
      <c r="R48" s="12" t="n">
        <v>3</v>
      </c>
      <c r="S48" s="61" t="inlineStr">
        <is>
          <t>Dairy</t>
        </is>
      </c>
      <c r="W48" s="6" t="inlineStr">
        <is>
          <t>$111.26</t>
        </is>
      </c>
    </row>
    <row r="49" ht="22" customHeight="1" s="62">
      <c r="Q49" s="15" t="n"/>
      <c r="R49" s="12" t="n">
        <v>4</v>
      </c>
      <c r="S49" s="61" t="inlineStr">
        <is>
          <t>Fees</t>
        </is>
      </c>
      <c r="W49" s="6" t="inlineStr">
        <is>
          <t>$87.39</t>
        </is>
      </c>
    </row>
    <row r="50" ht="22" customHeight="1" s="62">
      <c r="Q50" s="16" t="n"/>
      <c r="R50" s="12" t="n">
        <v>5</v>
      </c>
      <c r="S50" s="61" t="inlineStr">
        <is>
          <t>Pantry</t>
        </is>
      </c>
      <c r="W50" s="6" t="inlineStr">
        <is>
          <t>$86.18</t>
        </is>
      </c>
    </row>
    <row r="51" ht="22" customHeight="1" s="62">
      <c r="Q51" s="17" t="n"/>
      <c r="R51" s="12" t="n">
        <v>6</v>
      </c>
      <c r="S51" s="61" t="inlineStr">
        <is>
          <t>Toiletries, Cleaning and Disposables</t>
        </is>
      </c>
      <c r="W51" s="6" t="inlineStr">
        <is>
          <t>$56.28</t>
        </is>
      </c>
    </row>
    <row r="52" ht="22" customHeight="1" s="62">
      <c r="Q52" s="18" t="n"/>
      <c r="R52" s="12" t="n">
        <v>7</v>
      </c>
      <c r="S52" s="61" t="inlineStr">
        <is>
          <t>Pets</t>
        </is>
      </c>
      <c r="W52" s="6" t="inlineStr">
        <is>
          <t>$47.88</t>
        </is>
      </c>
      <c r="Y52" s="66" t="inlineStr">
        <is>
          <t>How to read it</t>
        </is>
      </c>
    </row>
    <row r="53" ht="22" customHeight="1" s="62">
      <c r="Q53" s="19" t="n"/>
      <c r="R53" s="12" t="n">
        <v>8</v>
      </c>
      <c r="S53" s="61" t="inlineStr">
        <is>
          <t>Prepared Eating</t>
        </is>
      </c>
      <c r="W53" s="6" t="inlineStr">
        <is>
          <t>$42.20</t>
        </is>
      </c>
      <c r="Y53" s="61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62">
      <c r="Q54" s="20" t="n"/>
      <c r="R54" s="12" t="n">
        <v>9</v>
      </c>
      <c r="S54" s="61" t="inlineStr">
        <is>
          <t>Meat</t>
        </is>
      </c>
      <c r="W54" s="6" t="inlineStr">
        <is>
          <t>$37.96</t>
        </is>
      </c>
    </row>
    <row r="55" ht="22" customHeight="1" s="62">
      <c r="Q55" s="21" t="n"/>
      <c r="R55" s="12" t="n">
        <v>10</v>
      </c>
      <c r="S55" s="61" t="inlineStr">
        <is>
          <t>Home Improvement</t>
        </is>
      </c>
      <c r="W55" s="6" t="inlineStr">
        <is>
          <t>$28.54</t>
        </is>
      </c>
    </row>
    <row r="56" ht="22" customHeight="1" s="62">
      <c r="Q56" s="22" t="n"/>
      <c r="R56" s="12" t="n">
        <v>11</v>
      </c>
      <c r="S56" s="61" t="inlineStr">
        <is>
          <t>Dessert</t>
        </is>
      </c>
      <c r="W56" s="6" t="inlineStr">
        <is>
          <t>$25.48</t>
        </is>
      </c>
    </row>
    <row r="57" ht="22" customHeight="1" s="62">
      <c r="Q57" s="23" t="n"/>
      <c r="R57" s="12" t="n">
        <v>12</v>
      </c>
      <c r="S57" s="61" t="inlineStr">
        <is>
          <t>Condiments &amp; Seasonings</t>
        </is>
      </c>
      <c r="W57" s="6" t="inlineStr">
        <is>
          <t>$24.83</t>
        </is>
      </c>
    </row>
    <row r="58" ht="22" customHeight="1" s="62">
      <c r="Q58" s="11" t="n"/>
      <c r="R58" s="12" t="n">
        <v>13</v>
      </c>
      <c r="S58" s="61" t="inlineStr">
        <is>
          <t>Bakery</t>
        </is>
      </c>
      <c r="W58" s="6" t="inlineStr">
        <is>
          <t>$22.13</t>
        </is>
      </c>
      <c r="Y58" s="66" t="inlineStr">
        <is>
          <t>What it is useful for</t>
        </is>
      </c>
    </row>
    <row r="59" ht="22" customHeight="1" s="62">
      <c r="Q59" s="13" t="n"/>
      <c r="R59" s="12" t="n">
        <v>14</v>
      </c>
      <c r="S59" s="61" t="inlineStr">
        <is>
          <t>Fish</t>
        </is>
      </c>
      <c r="W59" s="6" t="inlineStr">
        <is>
          <t>$14.29</t>
        </is>
      </c>
      <c r="Y59" s="61" t="inlineStr">
        <is>
          <t>Use this to see which types of goods are the biggest drivers of household spending.</t>
        </is>
      </c>
    </row>
    <row r="60" ht="22" customHeight="1" s="62">
      <c r="Q60" s="14" t="n"/>
      <c r="R60" s="12" t="n">
        <v>15</v>
      </c>
      <c r="S60" s="61" t="inlineStr">
        <is>
          <t>Self Care</t>
        </is>
      </c>
      <c r="W60" s="6" t="inlineStr">
        <is>
          <t>$13.92</t>
        </is>
      </c>
    </row>
    <row r="61" ht="22" customHeight="1" s="62">
      <c r="Q61" s="15" t="n"/>
      <c r="R61" s="12" t="n">
        <v>16</v>
      </c>
      <c r="S61" s="61" t="inlineStr">
        <is>
          <t>Eggs</t>
        </is>
      </c>
      <c r="W61" s="6" t="inlineStr">
        <is>
          <t>$9.76</t>
        </is>
      </c>
    </row>
    <row r="62" ht="22" customHeight="1" s="62">
      <c r="Q62" s="16" t="n"/>
      <c r="R62" s="12" t="n">
        <v>17</v>
      </c>
      <c r="S62" s="61" t="inlineStr">
        <is>
          <t>Frozen Food</t>
        </is>
      </c>
      <c r="W62" s="6" t="inlineStr">
        <is>
          <t>$9.56</t>
        </is>
      </c>
    </row>
    <row r="63" ht="22" customHeight="1" s="62">
      <c r="Q63" s="17" t="n"/>
      <c r="R63" s="12" t="n">
        <v>18</v>
      </c>
      <c r="S63" s="61" t="inlineStr">
        <is>
          <t>Frozen</t>
        </is>
      </c>
      <c r="W63" s="6" t="inlineStr">
        <is>
          <t>$7.78</t>
        </is>
      </c>
    </row>
    <row r="64" ht="22" customHeight="1" s="62">
      <c r="Q64" s="18" t="n"/>
      <c r="R64" s="12" t="n">
        <v>19</v>
      </c>
      <c r="S64" s="61" t="inlineStr">
        <is>
          <t>Wine</t>
        </is>
      </c>
      <c r="W64" s="6" t="inlineStr">
        <is>
          <t>$7.19</t>
        </is>
      </c>
    </row>
    <row r="65" ht="22" customHeight="1" s="62">
      <c r="Q65" s="19" t="n"/>
      <c r="R65" s="12" t="n">
        <v>20</v>
      </c>
      <c r="S65" s="61" t="inlineStr">
        <is>
          <t>Office Supplies</t>
        </is>
      </c>
      <c r="W65" s="6" t="inlineStr">
        <is>
          <t>$5.99</t>
        </is>
      </c>
    </row>
    <row r="66" ht="22" customHeight="1" s="62">
      <c r="Q66" s="20" t="n"/>
      <c r="R66" s="12" t="n">
        <v>21</v>
      </c>
      <c r="S66" s="61" t="inlineStr">
        <is>
          <t>Torah</t>
        </is>
      </c>
      <c r="W66" s="6" t="inlineStr">
        <is>
          <t>$3.16</t>
        </is>
      </c>
    </row>
    <row r="80" ht="16" customHeight="1" s="62">
      <c r="Q80" s="67" t="inlineStr">
        <is>
          <t>Number / Store</t>
        </is>
      </c>
      <c r="Y80" s="67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62">
      <c r="Q82" s="11" t="n"/>
      <c r="R82" s="12" t="n">
        <v>1</v>
      </c>
      <c r="S82" s="61" t="inlineStr">
        <is>
          <t>Walmart</t>
        </is>
      </c>
      <c r="W82" s="6" t="inlineStr">
        <is>
          <t>$574.97</t>
        </is>
      </c>
      <c r="Y82" s="66" t="inlineStr">
        <is>
          <t>What it represents</t>
        </is>
      </c>
    </row>
    <row r="83" ht="22" customHeight="1" s="62">
      <c r="Q83" s="13" t="n"/>
      <c r="R83" s="12" t="n">
        <v>2</v>
      </c>
      <c r="S83" s="61" t="inlineStr">
        <is>
          <t>Publix</t>
        </is>
      </c>
      <c r="W83" s="6" t="inlineStr">
        <is>
          <t>$145.58</t>
        </is>
      </c>
      <c r="Y83" s="61" t="inlineStr">
        <is>
          <t>Compares how much money was spent at each retailer across the entire Purchase History.</t>
        </is>
      </c>
    </row>
    <row r="84" ht="22" customHeight="1" s="62">
      <c r="Q84" s="14" t="n"/>
      <c r="R84" s="12" t="n">
        <v>3</v>
      </c>
      <c r="S84" s="61" t="inlineStr">
        <is>
          <t>Aldi</t>
        </is>
      </c>
      <c r="W84" s="6" t="inlineStr">
        <is>
          <t>$100.82</t>
        </is>
      </c>
    </row>
    <row r="85" ht="22" customHeight="1" s="62">
      <c r="Q85" s="15" t="n"/>
      <c r="R85" s="12" t="n">
        <v>4</v>
      </c>
      <c r="S85" s="61" t="inlineStr">
        <is>
          <t>Honey Pineapple</t>
        </is>
      </c>
      <c r="W85" s="6" t="inlineStr">
        <is>
          <t>$48.12</t>
        </is>
      </c>
    </row>
    <row r="86" ht="22" customHeight="1" s="62">
      <c r="Q86" s="16" t="n"/>
      <c r="R86" s="12" t="n">
        <v>5</v>
      </c>
      <c r="S86" s="61" t="inlineStr">
        <is>
          <t>Trader Joe's</t>
        </is>
      </c>
      <c r="W86" s="6" t="inlineStr">
        <is>
          <t>$30.24</t>
        </is>
      </c>
    </row>
    <row r="88">
      <c r="Y88" s="66" t="inlineStr">
        <is>
          <t>How to read it</t>
        </is>
      </c>
    </row>
    <row r="89">
      <c r="Y89" s="61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66" t="inlineStr">
        <is>
          <t>What it is useful for</t>
        </is>
      </c>
    </row>
    <row r="95">
      <c r="Y95" s="61" t="inlineStr">
        <is>
          <t>Use this to understand which retailers receive the largest share of your household shopping budget.</t>
        </is>
      </c>
    </row>
    <row r="96"/>
    <row r="97"/>
    <row r="98"/>
    <row r="100">
      <c r="Y100" s="66" t="inlineStr">
        <is>
          <t>Notes</t>
        </is>
      </c>
    </row>
    <row r="101">
      <c r="Y101" s="61" t="inlineStr">
        <is>
          <t>Store Number is intentionally ignored here; purchases are grouped by the Store name.</t>
        </is>
      </c>
    </row>
    <row r="102"/>
    <row r="103"/>
    <row r="104"/>
    <row r="116" ht="16" customHeight="1" s="62">
      <c r="Q116" s="67" t="inlineStr">
        <is>
          <t>Number / Category</t>
        </is>
      </c>
      <c r="Y116" s="67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62">
      <c r="Q118" s="11" t="n"/>
      <c r="R118" s="12" t="n">
        <v>1</v>
      </c>
      <c r="S118" s="61" t="inlineStr">
        <is>
          <t>Baby Care</t>
        </is>
      </c>
      <c r="W118" s="6" t="inlineStr">
        <is>
          <t>$146.02 (16.2%)</t>
        </is>
      </c>
      <c r="Y118" s="66" t="inlineStr">
        <is>
          <t>What it represents</t>
        </is>
      </c>
    </row>
    <row r="119" ht="22" customHeight="1" s="62">
      <c r="Q119" s="13" t="n"/>
      <c r="R119" s="12" t="n">
        <v>2</v>
      </c>
      <c r="S119" s="61" t="inlineStr">
        <is>
          <t>Produce</t>
        </is>
      </c>
      <c r="W119" s="6" t="inlineStr">
        <is>
          <t>$111.93 (12.4%)</t>
        </is>
      </c>
      <c r="Y119" s="61" t="inlineStr">
        <is>
          <t>Shows each category's share of total spending as part of the whole shopping budget.</t>
        </is>
      </c>
    </row>
    <row r="120" ht="22" customHeight="1" s="62">
      <c r="Q120" s="14" t="n"/>
      <c r="R120" s="12" t="n">
        <v>3</v>
      </c>
      <c r="S120" s="61" t="inlineStr">
        <is>
          <t>Dairy</t>
        </is>
      </c>
      <c r="W120" s="6" t="inlineStr">
        <is>
          <t>$111.26 (12.4%)</t>
        </is>
      </c>
    </row>
    <row r="121" ht="22" customHeight="1" s="62">
      <c r="Q121" s="15" t="n"/>
      <c r="R121" s="12" t="n">
        <v>4</v>
      </c>
      <c r="S121" s="61" t="inlineStr">
        <is>
          <t>Fees</t>
        </is>
      </c>
      <c r="W121" s="6" t="inlineStr">
        <is>
          <t>$87.39 (9.7%)</t>
        </is>
      </c>
    </row>
    <row r="122" ht="22" customHeight="1" s="62">
      <c r="Q122" s="16" t="n"/>
      <c r="R122" s="12" t="n">
        <v>5</v>
      </c>
      <c r="S122" s="61" t="inlineStr">
        <is>
          <t>Pantry</t>
        </is>
      </c>
      <c r="W122" s="6" t="inlineStr">
        <is>
          <t>$86.18 (9.6%)</t>
        </is>
      </c>
    </row>
    <row r="123" ht="22" customHeight="1" s="62">
      <c r="Q123" s="17" t="n"/>
      <c r="R123" s="12" t="n">
        <v>6</v>
      </c>
      <c r="S123" s="61" t="inlineStr">
        <is>
          <t>Toiletries, Cleaning and Disposables</t>
        </is>
      </c>
      <c r="W123" s="6" t="inlineStr">
        <is>
          <t>$56.28 (6.3%)</t>
        </is>
      </c>
    </row>
    <row r="124" ht="22" customHeight="1" s="62">
      <c r="Q124" s="18" t="n"/>
      <c r="R124" s="12" t="n">
        <v>7</v>
      </c>
      <c r="S124" s="61" t="inlineStr">
        <is>
          <t>Pets</t>
        </is>
      </c>
      <c r="W124" s="6" t="inlineStr">
        <is>
          <t>$47.88 (5.3%)</t>
        </is>
      </c>
      <c r="Y124" s="66" t="inlineStr">
        <is>
          <t>How to read it</t>
        </is>
      </c>
    </row>
    <row r="125" ht="22" customHeight="1" s="62">
      <c r="Q125" s="19" t="n"/>
      <c r="R125" s="12" t="n">
        <v>8</v>
      </c>
      <c r="S125" s="61" t="inlineStr">
        <is>
          <t>Prepared Eating</t>
        </is>
      </c>
      <c r="W125" s="6" t="inlineStr">
        <is>
          <t>$42.20 (4.7%)</t>
        </is>
      </c>
      <c r="Y125" s="61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62">
      <c r="Q126" s="20" t="n"/>
      <c r="R126" s="12" t="n">
        <v>9</v>
      </c>
      <c r="S126" s="61" t="inlineStr">
        <is>
          <t>Meat</t>
        </is>
      </c>
      <c r="W126" s="6" t="inlineStr">
        <is>
          <t>$37.96 (4.2%)</t>
        </is>
      </c>
    </row>
    <row r="127" ht="22" customHeight="1" s="62">
      <c r="Q127" s="21" t="n"/>
      <c r="R127" s="12" t="n">
        <v>10</v>
      </c>
      <c r="S127" s="61" t="inlineStr">
        <is>
          <t>Home Improvement</t>
        </is>
      </c>
      <c r="W127" s="6" t="inlineStr">
        <is>
          <t>$28.54 (3.2%)</t>
        </is>
      </c>
    </row>
    <row r="128" ht="22" customHeight="1" s="62">
      <c r="Q128" s="22" t="n"/>
      <c r="R128" s="12" t="n">
        <v>11</v>
      </c>
      <c r="S128" s="61" t="inlineStr">
        <is>
          <t>Dessert</t>
        </is>
      </c>
      <c r="W128" s="6" t="inlineStr">
        <is>
          <t>$25.48 (2.8%)</t>
        </is>
      </c>
    </row>
    <row r="129" ht="22" customHeight="1" s="62">
      <c r="Q129" s="23" t="n"/>
      <c r="R129" s="12" t="n">
        <v>12</v>
      </c>
      <c r="S129" s="61" t="inlineStr">
        <is>
          <t>Condiments &amp; Seasonings</t>
        </is>
      </c>
      <c r="W129" s="6" t="inlineStr">
        <is>
          <t>$24.83 (2.8%)</t>
        </is>
      </c>
    </row>
    <row r="130" ht="22" customHeight="1" s="62">
      <c r="Q130" s="11" t="n"/>
      <c r="R130" s="12" t="n">
        <v>13</v>
      </c>
      <c r="S130" s="61" t="inlineStr">
        <is>
          <t>Bakery</t>
        </is>
      </c>
      <c r="W130" s="6" t="inlineStr">
        <is>
          <t>$22.13 (2.5%)</t>
        </is>
      </c>
      <c r="Y130" s="66" t="inlineStr">
        <is>
          <t>What it is useful for</t>
        </is>
      </c>
    </row>
    <row r="131" ht="22" customHeight="1" s="62">
      <c r="Q131" s="13" t="n"/>
      <c r="R131" s="12" t="n">
        <v>14</v>
      </c>
      <c r="S131" s="61" t="inlineStr">
        <is>
          <t>Fish</t>
        </is>
      </c>
      <c r="W131" s="6" t="inlineStr">
        <is>
          <t>$14.29 (1.6%)</t>
        </is>
      </c>
      <c r="Y131" s="61" t="inlineStr">
        <is>
          <t>Use this for a fast visual picture of the household spending mix—especially which categories take the largest portion of the budget.</t>
        </is>
      </c>
    </row>
    <row r="132" ht="22" customHeight="1" s="62">
      <c r="Q132" s="14" t="n"/>
      <c r="R132" s="12" t="n">
        <v>15</v>
      </c>
      <c r="S132" s="61" t="inlineStr">
        <is>
          <t>Self Care</t>
        </is>
      </c>
      <c r="W132" s="6" t="inlineStr">
        <is>
          <t>$13.92 (1.5%)</t>
        </is>
      </c>
    </row>
    <row r="133" ht="22" customHeight="1" s="62">
      <c r="Q133" s="15" t="n"/>
      <c r="R133" s="12" t="n">
        <v>16</v>
      </c>
      <c r="S133" s="61" t="inlineStr">
        <is>
          <t>Eggs</t>
        </is>
      </c>
      <c r="W133" s="6" t="inlineStr">
        <is>
          <t>$9.76 (1.1%)</t>
        </is>
      </c>
    </row>
    <row r="134" ht="22" customHeight="1" s="62">
      <c r="Q134" s="16" t="n"/>
      <c r="R134" s="12" t="n">
        <v>17</v>
      </c>
      <c r="S134" s="61" t="inlineStr">
        <is>
          <t>Frozen Food</t>
        </is>
      </c>
      <c r="W134" s="6" t="inlineStr">
        <is>
          <t>$9.56 (1.1%)</t>
        </is>
      </c>
    </row>
    <row r="135" ht="22" customHeight="1" s="62">
      <c r="Q135" s="17" t="n"/>
      <c r="R135" s="12" t="n">
        <v>18</v>
      </c>
      <c r="S135" s="61" t="inlineStr">
        <is>
          <t>Frozen</t>
        </is>
      </c>
      <c r="W135" s="6" t="inlineStr">
        <is>
          <t>$7.78 (0.9%)</t>
        </is>
      </c>
    </row>
    <row r="136" ht="22" customHeight="1" s="62">
      <c r="Q136" s="18" t="n"/>
      <c r="R136" s="12" t="n">
        <v>19</v>
      </c>
      <c r="S136" s="61" t="inlineStr">
        <is>
          <t>Wine</t>
        </is>
      </c>
      <c r="W136" s="6" t="inlineStr">
        <is>
          <t>$7.19 (0.8%)</t>
        </is>
      </c>
      <c r="Y136" s="66" t="inlineStr">
        <is>
          <t>Notes</t>
        </is>
      </c>
    </row>
    <row r="137" ht="22" customHeight="1" s="62">
      <c r="Q137" s="19" t="n"/>
      <c r="R137" s="12" t="n">
        <v>20</v>
      </c>
      <c r="S137" s="61" t="inlineStr">
        <is>
          <t>Office Supplies</t>
        </is>
      </c>
      <c r="W137" s="6" t="inlineStr">
        <is>
          <t>$5.99 (0.7%)</t>
        </is>
      </c>
      <c r="Y137" s="61" t="inlineStr">
        <is>
          <t>Unlike the older dashboard, this graph does not create a large 'Other' slice. Every category receives its own numbered segment.</t>
        </is>
      </c>
    </row>
    <row r="138" ht="22" customHeight="1" s="62">
      <c r="Q138" s="20" t="n"/>
      <c r="R138" s="12" t="n">
        <v>21</v>
      </c>
      <c r="S138" s="61" t="inlineStr">
        <is>
          <t>Torah</t>
        </is>
      </c>
      <c r="W138" s="6" t="inlineStr">
        <is>
          <t>$3.16 (0.4%)</t>
        </is>
      </c>
    </row>
    <row r="139"/>
    <row r="140"/>
    <row r="152" ht="16" customHeight="1" s="62">
      <c r="Q152" s="67" t="inlineStr">
        <is>
          <t>Number / Product</t>
        </is>
      </c>
      <c r="Y152" s="67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62">
      <c r="Q154" s="11" t="n"/>
      <c r="R154" s="12" t="n">
        <v>1</v>
      </c>
      <c r="S154" s="61" t="inlineStr">
        <is>
          <t>Pampers Swaddlers Size 5 Diapers</t>
        </is>
      </c>
      <c r="W154" s="6" t="inlineStr">
        <is>
          <t>$79.54</t>
        </is>
      </c>
      <c r="Y154" s="66" t="inlineStr">
        <is>
          <t>What it represents</t>
        </is>
      </c>
    </row>
    <row r="155" ht="22" customHeight="1" s="62">
      <c r="Q155" s="13" t="n"/>
      <c r="R155" s="12" t="n">
        <v>2</v>
      </c>
      <c r="S155" s="61" t="inlineStr">
        <is>
          <t>Purina Tidy Cats Clumping Cat Litter</t>
        </is>
      </c>
      <c r="W155" s="6" t="inlineStr">
        <is>
          <t>$47.88</t>
        </is>
      </c>
      <c r="Y155" s="61" t="inlineStr">
        <is>
          <t>Ranks the ten individual product identities with the most accumulated spending across all recorded purchases.</t>
        </is>
      </c>
    </row>
    <row r="156" ht="22" customHeight="1" s="62">
      <c r="Q156" s="14" t="n"/>
      <c r="R156" s="12" t="n">
        <v>3</v>
      </c>
      <c r="S156" s="61" t="inlineStr">
        <is>
          <t>Driver Tip</t>
        </is>
      </c>
      <c r="W156" s="6" t="inlineStr">
        <is>
          <t>$46.78</t>
        </is>
      </c>
    </row>
    <row r="157" ht="22" customHeight="1" s="62">
      <c r="Q157" s="15" t="n"/>
      <c r="R157" s="12" t="n">
        <v>4</v>
      </c>
      <c r="S157" s="61" t="inlineStr">
        <is>
          <t>Command Heavy Duty Picture Hangers</t>
        </is>
      </c>
      <c r="W157" s="6" t="inlineStr">
        <is>
          <t>$28.54</t>
        </is>
      </c>
    </row>
    <row r="158" ht="22" customHeight="1" s="62">
      <c r="Q158" s="16" t="n"/>
      <c r="R158" s="12" t="n">
        <v>5</v>
      </c>
      <c r="S158" s="61" t="inlineStr">
        <is>
          <t>Tax</t>
        </is>
      </c>
      <c r="W158" s="6" t="inlineStr">
        <is>
          <t>$24.88</t>
        </is>
      </c>
    </row>
    <row r="159" ht="22" customHeight="1" s="62">
      <c r="Q159" s="17" t="n"/>
      <c r="R159" s="12" t="n">
        <v>6</v>
      </c>
      <c r="S159" s="61" t="inlineStr">
        <is>
          <t>CeraVe Baby Healing Ointment</t>
        </is>
      </c>
      <c r="W159" s="6" t="inlineStr">
        <is>
          <t>$19.96</t>
        </is>
      </c>
    </row>
    <row r="160" ht="22" customHeight="1" s="62">
      <c r="Q160" s="18" t="n"/>
      <c r="R160" s="12" t="n">
        <v>7</v>
      </c>
      <c r="S160" s="61" t="inlineStr">
        <is>
          <t>Dove Sensitive Skin Body Wash</t>
        </is>
      </c>
      <c r="W160" s="6" t="inlineStr">
        <is>
          <t>$19.88</t>
        </is>
      </c>
      <c r="Y160" s="66" t="inlineStr">
        <is>
          <t>How to read it</t>
        </is>
      </c>
    </row>
    <row r="161" ht="22" customHeight="1" s="62">
      <c r="Q161" s="19" t="n"/>
      <c r="R161" s="12" t="n">
        <v>8</v>
      </c>
      <c r="S161" s="61" t="inlineStr">
        <is>
          <t>Chobani Protein Greek Yogurt Drink, Strawberries &amp; Cream</t>
        </is>
      </c>
      <c r="W161" s="6" t="inlineStr">
        <is>
          <t>$19.34</t>
        </is>
      </c>
      <c r="Y161" s="61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62">
      <c r="Q162" s="20" t="n"/>
      <c r="R162" s="12" t="n">
        <v>9</v>
      </c>
      <c r="S162" s="61" t="inlineStr">
        <is>
          <t>Silk Organic Unsweet Soymilk, Half Gallon</t>
        </is>
      </c>
      <c r="W162" s="6" t="inlineStr">
        <is>
          <t>$18.57</t>
        </is>
      </c>
    </row>
    <row r="163" ht="22" customHeight="1" s="62">
      <c r="Q163" s="21" t="n"/>
      <c r="R163" s="12" t="n">
        <v>10</v>
      </c>
      <c r="S163" s="61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66" t="inlineStr">
        <is>
          <t>What it is useful for</t>
        </is>
      </c>
    </row>
    <row r="167">
      <c r="Y167" s="61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66" t="inlineStr">
        <is>
          <t>Notes</t>
        </is>
      </c>
    </row>
    <row r="173">
      <c r="Y173" s="61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62">
      <c r="Q188" s="67" t="inlineStr">
        <is>
          <t>Store Numbers + Month Numbers</t>
        </is>
      </c>
      <c r="Y188" s="67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62">
      <c r="Q190" s="11" t="n"/>
      <c r="R190" s="12" t="n">
        <v>1</v>
      </c>
      <c r="S190" s="61" t="inlineStr">
        <is>
          <t>Walmart</t>
        </is>
      </c>
      <c r="W190" s="6" t="inlineStr">
        <is>
          <t>$574.97</t>
        </is>
      </c>
      <c r="Y190" s="66" t="inlineStr">
        <is>
          <t>What it represents</t>
        </is>
      </c>
    </row>
    <row r="191" ht="22" customHeight="1" s="62">
      <c r="Q191" s="13" t="n"/>
      <c r="R191" s="12" t="n">
        <v>2</v>
      </c>
      <c r="S191" s="61" t="inlineStr">
        <is>
          <t>Publix</t>
        </is>
      </c>
      <c r="W191" s="6" t="inlineStr">
        <is>
          <t>$145.58</t>
        </is>
      </c>
      <c r="Y191" s="61" t="inlineStr">
        <is>
          <t>Shows how monthly spending is divided among stores. Each column is one month; each colored section inside the column represents one store.</t>
        </is>
      </c>
    </row>
    <row r="192" ht="22" customHeight="1" s="62">
      <c r="Q192" s="14" t="n"/>
      <c r="R192" s="12" t="n">
        <v>3</v>
      </c>
      <c r="S192" s="61" t="inlineStr">
        <is>
          <t>Aldi</t>
        </is>
      </c>
      <c r="W192" s="6" t="inlineStr">
        <is>
          <t>$100.82</t>
        </is>
      </c>
    </row>
    <row r="193" ht="22" customHeight="1" s="62">
      <c r="Q193" s="15" t="n"/>
      <c r="R193" s="12" t="n">
        <v>4</v>
      </c>
      <c r="S193" s="61" t="inlineStr">
        <is>
          <t>Honey Pineapple</t>
        </is>
      </c>
      <c r="W193" s="6" t="inlineStr">
        <is>
          <t>$48.12</t>
        </is>
      </c>
    </row>
    <row r="194" ht="22" customHeight="1" s="62">
      <c r="Q194" s="16" t="n"/>
      <c r="R194" s="12" t="n">
        <v>5</v>
      </c>
      <c r="S194" s="61" t="inlineStr">
        <is>
          <t>Trader Joe's</t>
        </is>
      </c>
      <c r="W194" s="6" t="inlineStr">
        <is>
          <t>$30.24</t>
        </is>
      </c>
    </row>
    <row r="195" ht="22" customHeight="1" s="62">
      <c r="Q195" s="24" t="n"/>
      <c r="R195" s="12" t="n">
        <v>1</v>
      </c>
      <c r="S195" s="61" t="inlineStr">
        <is>
          <t>Month August 2026</t>
        </is>
      </c>
      <c r="W195" s="6" t="inlineStr">
        <is>
          <t>$899.73</t>
        </is>
      </c>
    </row>
    <row r="196">
      <c r="Y196" s="66" t="inlineStr">
        <is>
          <t>How to read it</t>
        </is>
      </c>
    </row>
    <row r="197">
      <c r="Y197" s="61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66" t="inlineStr">
        <is>
          <t>What it is useful for</t>
        </is>
      </c>
    </row>
    <row r="203">
      <c r="Y203" s="61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66" t="inlineStr">
        <is>
          <t>Notes</t>
        </is>
      </c>
    </row>
    <row r="209">
      <c r="Y209" s="61" t="inlineStr">
        <is>
          <t>All stores are retained. There is no catch-all 'Other' store series.</t>
        </is>
      </c>
    </row>
    <row r="210"/>
    <row r="211"/>
    <row r="212"/>
    <row r="224" ht="16" customHeight="1" s="62">
      <c r="Q224" s="67" t="inlineStr">
        <is>
          <t>Number / Category</t>
        </is>
      </c>
      <c r="Y224" s="67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62">
      <c r="Q226" s="11" t="n"/>
      <c r="R226" s="12" t="n">
        <v>1</v>
      </c>
      <c r="S226" s="61" t="inlineStr">
        <is>
          <t>Produce</t>
        </is>
      </c>
      <c r="W226" s="6" t="inlineStr">
        <is>
          <t>42</t>
        </is>
      </c>
      <c r="Y226" s="66" t="inlineStr">
        <is>
          <t>What it represents</t>
        </is>
      </c>
    </row>
    <row r="227" ht="22" customHeight="1" s="62">
      <c r="Q227" s="13" t="n"/>
      <c r="R227" s="12" t="n">
        <v>2</v>
      </c>
      <c r="S227" s="61" t="inlineStr">
        <is>
          <t>Pantry</t>
        </is>
      </c>
      <c r="W227" s="6" t="inlineStr">
        <is>
          <t>23</t>
        </is>
      </c>
      <c r="Y227" s="61" t="inlineStr">
        <is>
          <t>Counts how many valid purchase observations occurred in each category. This measures frequency, not dollars.</t>
        </is>
      </c>
    </row>
    <row r="228" ht="22" customHeight="1" s="62">
      <c r="Q228" s="14" t="n"/>
      <c r="R228" s="12" t="n">
        <v>3</v>
      </c>
      <c r="S228" s="61" t="inlineStr">
        <is>
          <t>Dairy</t>
        </is>
      </c>
      <c r="W228" s="6" t="inlineStr">
        <is>
          <t>19</t>
        </is>
      </c>
    </row>
    <row r="229" ht="22" customHeight="1" s="62">
      <c r="Q229" s="15" t="n"/>
      <c r="R229" s="12" t="n">
        <v>4</v>
      </c>
      <c r="S229" s="61" t="inlineStr">
        <is>
          <t>Fees</t>
        </is>
      </c>
      <c r="W229" s="6" t="inlineStr">
        <is>
          <t>14</t>
        </is>
      </c>
    </row>
    <row r="230" ht="22" customHeight="1" s="62">
      <c r="Q230" s="16" t="n"/>
      <c r="R230" s="12" t="n">
        <v>5</v>
      </c>
      <c r="S230" s="61" t="inlineStr">
        <is>
          <t>Baby Care</t>
        </is>
      </c>
      <c r="W230" s="6" t="inlineStr">
        <is>
          <t>11</t>
        </is>
      </c>
    </row>
    <row r="231" ht="22" customHeight="1" s="62">
      <c r="Q231" s="17" t="n"/>
      <c r="R231" s="12" t="n">
        <v>6</v>
      </c>
      <c r="S231" s="61" t="inlineStr">
        <is>
          <t>Toiletries, Cleaning and Disposables</t>
        </is>
      </c>
      <c r="W231" s="6" t="inlineStr">
        <is>
          <t>10</t>
        </is>
      </c>
    </row>
    <row r="232" ht="22" customHeight="1" s="62">
      <c r="Q232" s="18" t="n"/>
      <c r="R232" s="12" t="n">
        <v>7</v>
      </c>
      <c r="S232" s="61" t="inlineStr">
        <is>
          <t>Condiments &amp; Seasonings</t>
        </is>
      </c>
      <c r="W232" s="6" t="inlineStr">
        <is>
          <t>7</t>
        </is>
      </c>
      <c r="Y232" s="66" t="inlineStr">
        <is>
          <t>How to read it</t>
        </is>
      </c>
    </row>
    <row r="233" ht="22" customHeight="1" s="62">
      <c r="Q233" s="19" t="n"/>
      <c r="R233" s="12" t="n">
        <v>8</v>
      </c>
      <c r="S233" s="61" t="inlineStr">
        <is>
          <t>Meat</t>
        </is>
      </c>
      <c r="W233" s="6" t="inlineStr">
        <is>
          <t>5</t>
        </is>
      </c>
      <c r="Y233" s="61" t="inlineStr">
        <is>
          <t>Each category is a numbered colored bar. Match the number and color to the key. A longer bar means the category was purchased more frequently.</t>
        </is>
      </c>
    </row>
    <row r="234" ht="22" customHeight="1" s="62">
      <c r="Q234" s="20" t="n"/>
      <c r="R234" s="12" t="n">
        <v>9</v>
      </c>
      <c r="S234" s="61" t="inlineStr">
        <is>
          <t>Bakery</t>
        </is>
      </c>
      <c r="W234" s="6" t="inlineStr">
        <is>
          <t>4</t>
        </is>
      </c>
    </row>
    <row r="235" ht="22" customHeight="1" s="62">
      <c r="Q235" s="21" t="n"/>
      <c r="R235" s="12" t="n">
        <v>10</v>
      </c>
      <c r="S235" s="61" t="inlineStr">
        <is>
          <t>Dessert</t>
        </is>
      </c>
      <c r="W235" s="6" t="inlineStr">
        <is>
          <t>4</t>
        </is>
      </c>
    </row>
    <row r="236" ht="22" customHeight="1" s="62">
      <c r="Q236" s="22" t="n"/>
      <c r="R236" s="12" t="n">
        <v>11</v>
      </c>
      <c r="S236" s="61" t="inlineStr">
        <is>
          <t>Prepared Eating</t>
        </is>
      </c>
      <c r="W236" s="6" t="inlineStr">
        <is>
          <t>4</t>
        </is>
      </c>
    </row>
    <row r="237" ht="22" customHeight="1" s="62">
      <c r="Q237" s="23" t="n"/>
      <c r="R237" s="12" t="n">
        <v>12</v>
      </c>
      <c r="S237" s="61" t="inlineStr">
        <is>
          <t>Eggs</t>
        </is>
      </c>
      <c r="W237" s="6" t="inlineStr">
        <is>
          <t>2</t>
        </is>
      </c>
    </row>
    <row r="238" ht="22" customHeight="1" s="62">
      <c r="Q238" s="11" t="n"/>
      <c r="R238" s="12" t="n">
        <v>13</v>
      </c>
      <c r="S238" s="61" t="inlineStr">
        <is>
          <t>Frozen</t>
        </is>
      </c>
      <c r="W238" s="6" t="inlineStr">
        <is>
          <t>2</t>
        </is>
      </c>
      <c r="Y238" s="66" t="inlineStr">
        <is>
          <t>What it is useful for</t>
        </is>
      </c>
    </row>
    <row r="239" ht="22" customHeight="1" s="62">
      <c r="Q239" s="13" t="n"/>
      <c r="R239" s="12" t="n">
        <v>14</v>
      </c>
      <c r="S239" s="61" t="inlineStr">
        <is>
          <t>Frozen Food</t>
        </is>
      </c>
      <c r="W239" s="6" t="inlineStr">
        <is>
          <t>2</t>
        </is>
      </c>
      <c r="Y239" s="61" t="inlineStr">
        <is>
          <t>Use this alongside Spending by Category to distinguish frequent routine purchases from categories that are bought less often but cost more.</t>
        </is>
      </c>
    </row>
    <row r="240" ht="22" customHeight="1" s="62">
      <c r="Q240" s="14" t="n"/>
      <c r="R240" s="12" t="n">
        <v>15</v>
      </c>
      <c r="S240" s="61" t="inlineStr">
        <is>
          <t>Pets</t>
        </is>
      </c>
      <c r="W240" s="6" t="inlineStr">
        <is>
          <t>2</t>
        </is>
      </c>
    </row>
    <row r="241" ht="22" customHeight="1" s="62">
      <c r="Q241" s="15" t="n"/>
      <c r="R241" s="12" t="n">
        <v>16</v>
      </c>
      <c r="S241" s="61" t="inlineStr">
        <is>
          <t>Self Care</t>
        </is>
      </c>
      <c r="W241" s="6" t="inlineStr">
        <is>
          <t>2</t>
        </is>
      </c>
    </row>
    <row r="242" ht="22" customHeight="1" s="62">
      <c r="Q242" s="16" t="n"/>
      <c r="R242" s="12" t="n">
        <v>17</v>
      </c>
      <c r="S242" s="61" t="inlineStr">
        <is>
          <t>Fish</t>
        </is>
      </c>
      <c r="W242" s="6" t="inlineStr">
        <is>
          <t>1</t>
        </is>
      </c>
    </row>
    <row r="243" ht="22" customHeight="1" s="62">
      <c r="Q243" s="17" t="n"/>
      <c r="R243" s="12" t="n">
        <v>18</v>
      </c>
      <c r="S243" s="61" t="inlineStr">
        <is>
          <t>Home Improvement</t>
        </is>
      </c>
      <c r="W243" s="6" t="inlineStr">
        <is>
          <t>1</t>
        </is>
      </c>
    </row>
    <row r="244" ht="22" customHeight="1" s="62">
      <c r="Q244" s="18" t="n"/>
      <c r="R244" s="12" t="n">
        <v>19</v>
      </c>
      <c r="S244" s="61" t="inlineStr">
        <is>
          <t>Office Supplies</t>
        </is>
      </c>
      <c r="W244" s="6" t="inlineStr">
        <is>
          <t>1</t>
        </is>
      </c>
    </row>
    <row r="245" ht="22" customHeight="1" s="62">
      <c r="Q245" s="19" t="n"/>
      <c r="R245" s="12" t="n">
        <v>20</v>
      </c>
      <c r="S245" s="61" t="inlineStr">
        <is>
          <t>Torah</t>
        </is>
      </c>
      <c r="W245" s="6" t="inlineStr">
        <is>
          <t>1</t>
        </is>
      </c>
    </row>
    <row r="246" ht="22" customHeight="1" s="62">
      <c r="Q246" s="20" t="n"/>
      <c r="R246" s="12" t="n">
        <v>21</v>
      </c>
      <c r="S246" s="61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S130:V130"/>
    <mergeCell ref="S244:V244"/>
    <mergeCell ref="Y29:AG32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62" min="1" max="1"/>
    <col width="16" customWidth="1" style="62" min="2" max="3"/>
    <col width="22" customWidth="1" style="62" min="4" max="4"/>
  </cols>
  <sheetData>
    <row r="1">
      <c r="A1" s="25" t="inlineStr">
        <is>
          <t>Source OCR JSON</t>
        </is>
      </c>
      <c r="B1" s="25" t="inlineStr">
        <is>
          <t>Store Number</t>
        </is>
      </c>
      <c r="C1" s="25" t="inlineStr">
        <is>
          <t>Receipt Date</t>
        </is>
      </c>
      <c r="D1" s="25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5:F33"/>
  <sheetViews>
    <sheetView workbookViewId="0">
      <selection activeCell="D6" sqref="D6:E33"/>
    </sheetView>
  </sheetViews>
  <sheetFormatPr baseColWidth="10" defaultRowHeight="15"/>
  <cols>
    <col width="19.33203125" bestFit="1" customWidth="1" style="62" min="3" max="3"/>
    <col width="45.33203125" customWidth="1" style="62" min="4" max="4"/>
    <col width="38.5" customWidth="1" style="62" min="5" max="5"/>
    <col width="34.83203125" customWidth="1" style="62" min="6" max="6"/>
    <col width="54.1640625" customWidth="1" style="62" min="7" max="7"/>
  </cols>
  <sheetData>
    <row r="5">
      <c r="A5" s="28" t="inlineStr">
        <is>
          <t>Excel Row</t>
        </is>
      </c>
      <c r="B5" s="28" t="inlineStr">
        <is>
          <t>Store</t>
        </is>
      </c>
      <c r="C5" s="28" t="inlineStr">
        <is>
          <t>Product</t>
        </is>
      </c>
      <c r="D5" s="28" t="inlineStr">
        <is>
          <t>New Common Name</t>
        </is>
      </c>
      <c r="E5" s="28" t="inlineStr">
        <is>
          <t>New Sub-Category</t>
        </is>
      </c>
      <c r="F5" s="28" t="inlineStr">
        <is>
          <t>Reason</t>
        </is>
      </c>
    </row>
    <row r="6" ht="16" customHeight="1" s="62">
      <c r="A6" t="n">
        <v>125</v>
      </c>
      <c r="B6" t="inlineStr">
        <is>
          <t>Aldi</t>
        </is>
      </c>
      <c r="C6" t="inlineStr">
        <is>
          <t>Sweet Potatoes</t>
        </is>
      </c>
      <c r="D6" t="inlineStr">
        <is>
          <t>Sweet Potatoes</t>
        </is>
      </c>
      <c r="E6" t="inlineStr">
        <is>
          <t>Fresh Vegetables</t>
        </is>
      </c>
      <c r="F6" t="inlineStr">
        <is>
          <t>Aligns with ShopGraph's established granular treatment of fresh vegetables rather than broad Produce.</t>
        </is>
      </c>
    </row>
    <row r="7">
      <c r="A7" t="n">
        <v>126</v>
      </c>
      <c r="B7" t="inlineStr">
        <is>
          <t>Aldi</t>
        </is>
      </c>
      <c r="C7" t="inlineStr">
        <is>
          <t>Grape Tomatoes</t>
        </is>
      </c>
      <c r="D7" t="inlineStr">
        <is>
          <t>Grape Tomatoes</t>
        </is>
      </c>
      <c r="E7" t="inlineStr">
        <is>
          <t>Fresh Vegetables</t>
        </is>
      </c>
      <c r="F7" t="inlineStr">
        <is>
          <t>Tomatoes elsewhere are treated as Fresh Vegetables.</t>
        </is>
      </c>
    </row>
    <row r="8">
      <c r="A8" t="n">
        <v>127</v>
      </c>
      <c r="B8" t="inlineStr">
        <is>
          <t>Aldi</t>
        </is>
      </c>
      <c r="C8" t="inlineStr">
        <is>
          <t>Assort beans</t>
        </is>
      </c>
      <c r="D8" t="inlineStr">
        <is>
          <t>Assorted Beans</t>
        </is>
      </c>
      <c r="E8" t="inlineStr">
        <is>
          <t>Canned Beans &amp; Legumes</t>
        </is>
      </c>
      <c r="F8" t="inlineStr">
        <is>
          <t>Aldi's existing chickpeas and kidney beans establish this category for canned beans.</t>
        </is>
      </c>
    </row>
    <row r="9">
      <c r="A9" t="n">
        <v>128</v>
      </c>
      <c r="B9" t="inlineStr">
        <is>
          <t>Aldi</t>
        </is>
      </c>
      <c r="C9" t="inlineStr">
        <is>
          <t>Dark Red Kidney</t>
        </is>
      </c>
      <c r="D9" t="inlineStr">
        <is>
          <t>Dark Red Kidney Beans</t>
        </is>
      </c>
      <c r="E9" t="inlineStr">
        <is>
          <t>Canned Beans &amp; Legumes</t>
        </is>
      </c>
      <c r="F9" t="inlineStr">
        <is>
          <t>Existing classification is already specific and appropriate.</t>
        </is>
      </c>
    </row>
    <row r="10">
      <c r="A10" t="n">
        <v>129</v>
      </c>
      <c r="B10" t="inlineStr">
        <is>
          <t>Aldi</t>
        </is>
      </c>
      <c r="C10" t="inlineStr">
        <is>
          <t>Dice Tom w/GrnChl</t>
        </is>
      </c>
      <c r="D10" t="inlineStr">
        <is>
          <t>Diced Tomatoes with Green Chiles</t>
        </is>
      </c>
      <c r="E10" t="inlineStr">
        <is>
          <t>Canned Tomatoes</t>
        </is>
      </c>
      <c r="F10" t="inlineStr">
        <is>
          <t>A distinct canned tomato product; merits a reusable canned-tomato Sub-Category.</t>
        </is>
      </c>
    </row>
    <row r="11">
      <c r="A11" t="n">
        <v>130</v>
      </c>
      <c r="B11" t="inlineStr">
        <is>
          <t>Aldi</t>
        </is>
      </c>
      <c r="C11" t="inlineStr">
        <is>
          <t>Mandarins</t>
        </is>
      </c>
      <c r="D11" t="inlineStr">
        <is>
          <t>Mandarin Oranges</t>
        </is>
      </c>
      <c r="E11" t="inlineStr">
        <is>
          <t>Fresh Fruit</t>
        </is>
      </c>
      <c r="F11" t="inlineStr">
        <is>
          <t>Matches existing treatment of mandarins as Fresh Fruit.</t>
        </is>
      </c>
    </row>
    <row r="12">
      <c r="A12" t="n">
        <v>131</v>
      </c>
      <c r="B12" t="inlineStr">
        <is>
          <t>Aldi</t>
        </is>
      </c>
      <c r="C12" t="inlineStr">
        <is>
          <t>Olive Oil Spray</t>
        </is>
      </c>
      <c r="D12" t="inlineStr">
        <is>
          <t>Olive Oil Cooking Spray</t>
        </is>
      </c>
      <c r="E12" t="inlineStr">
        <is>
          <t>Cooking Oils &amp; Sprays</t>
        </is>
      </c>
      <c r="F12" t="inlineStr">
        <is>
          <t>Creates an analytically useful category shared with cooking oils/sprays.</t>
        </is>
      </c>
    </row>
    <row r="13" ht="16" customHeight="1" s="62">
      <c r="A13" t="n">
        <v>132</v>
      </c>
      <c r="B13" t="inlineStr">
        <is>
          <t>Aldi</t>
        </is>
      </c>
      <c r="C13" t="inlineStr">
        <is>
          <t>Flat Leaf Spinach</t>
        </is>
      </c>
      <c r="D13" t="inlineStr">
        <is>
          <t>Flat Leaf Spinach</t>
        </is>
      </c>
      <c r="E13" t="inlineStr">
        <is>
          <t>Fresh Vegetables</t>
        </is>
      </c>
      <c r="F13" t="inlineStr">
        <is>
          <t>Fresh spinach fits the established Fresh Vegetables taxonomy better than Produce.</t>
        </is>
      </c>
    </row>
    <row r="14">
      <c r="A14" t="n">
        <v>133</v>
      </c>
      <c r="B14" t="inlineStr">
        <is>
          <t>Aldi</t>
        </is>
      </c>
      <c r="C14" t="inlineStr">
        <is>
          <t>Chiquita Maduros</t>
        </is>
      </c>
      <c r="D14" t="inlineStr">
        <is>
          <t>Chiquita Maduros Sweet Plantains</t>
        </is>
      </c>
      <c r="E14" t="inlineStr">
        <is>
          <t>Frozen Plantains</t>
        </is>
      </c>
      <c r="F14" t="inlineStr">
        <is>
          <t>Identifies the prepared plantain product distinctly.</t>
        </is>
      </c>
    </row>
    <row r="15">
      <c r="A15" t="n">
        <v>134</v>
      </c>
      <c r="B15" t="inlineStr">
        <is>
          <t>Aldi</t>
        </is>
      </c>
      <c r="C15" t="inlineStr">
        <is>
          <t>Organic Peas/Corn</t>
        </is>
      </c>
      <c r="D15" t="inlineStr">
        <is>
          <t>Organic Peas &amp; Corn</t>
        </is>
      </c>
      <c r="E15" t="inlineStr">
        <is>
          <t>Frozen Vegetables</t>
        </is>
      </c>
      <c r="F15" t="inlineStr">
        <is>
          <t>Matches the existing Frozen Vegetables taxonomy.</t>
        </is>
      </c>
    </row>
    <row r="16">
      <c r="A16" t="n">
        <v>135</v>
      </c>
      <c r="B16" t="inlineStr">
        <is>
          <t>Aldi</t>
        </is>
      </c>
      <c r="C16" t="inlineStr">
        <is>
          <t>Red Potatoes</t>
        </is>
      </c>
      <c r="D16" t="inlineStr">
        <is>
          <t>Red Potatoes</t>
        </is>
      </c>
      <c r="E16" t="inlineStr">
        <is>
          <t>Fresh Vegetables</t>
        </is>
      </c>
      <c r="F16" t="inlineStr">
        <is>
          <t>Existing potato products are treated as Fresh Vegetables.</t>
        </is>
      </c>
    </row>
    <row r="17" ht="16" customHeight="1" s="62">
      <c r="A17" t="n">
        <v>136</v>
      </c>
      <c r="B17" t="inlineStr">
        <is>
          <t>Aldi</t>
        </is>
      </c>
      <c r="C17" t="inlineStr">
        <is>
          <t>Whipped Crm Cheese</t>
        </is>
      </c>
      <c r="D17" t="inlineStr">
        <is>
          <t>Whipped Cream Cheese</t>
        </is>
      </c>
      <c r="E17" t="inlineStr">
        <is>
          <t>Cream Cheese</t>
        </is>
      </c>
      <c r="F17" t="inlineStr">
        <is>
          <t>More analytically useful than the broad Dairy; establishes a reusable product-type category.</t>
        </is>
      </c>
    </row>
    <row r="18" ht="16" customHeight="1" s="62">
      <c r="A18" t="n">
        <v>137</v>
      </c>
      <c r="B18" t="inlineStr">
        <is>
          <t>Aldi</t>
        </is>
      </c>
      <c r="C18" t="inlineStr">
        <is>
          <t>Deli Sliced Cheese</t>
        </is>
      </c>
      <c r="D18" t="inlineStr">
        <is>
          <t>Deli Sliced Cheese</t>
        </is>
      </c>
      <c r="E18" t="inlineStr">
        <is>
          <t>Cheese</t>
        </is>
      </c>
      <c r="F18" t="inlineStr">
        <is>
          <t>Matches the existing general Cheese category better than broad Dairy.</t>
        </is>
      </c>
    </row>
    <row r="19" ht="16" customHeight="1" s="62">
      <c r="A19" t="n">
        <v>138</v>
      </c>
      <c r="B19" t="inlineStr">
        <is>
          <t>Aldi</t>
        </is>
      </c>
      <c r="C19" t="inlineStr">
        <is>
          <t>HiFiber Tortilla</t>
        </is>
      </c>
      <c r="D19" t="inlineStr">
        <is>
          <t>High-Fiber Tortillas</t>
        </is>
      </c>
      <c r="E19" t="inlineStr">
        <is>
          <t>Tortillas</t>
        </is>
      </c>
      <c r="F19" t="inlineStr">
        <is>
          <t>More specific and reusable than broad Bakery.</t>
        </is>
      </c>
    </row>
    <row r="20">
      <c r="A20" t="n">
        <v>139</v>
      </c>
      <c r="B20" t="inlineStr">
        <is>
          <t>Aldi</t>
        </is>
      </c>
      <c r="C20" t="inlineStr">
        <is>
          <t>Strawberries</t>
        </is>
      </c>
      <c r="D20" t="inlineStr">
        <is>
          <t>Strawberries</t>
        </is>
      </c>
      <c r="E20" t="inlineStr">
        <is>
          <t>Fresh Fruit</t>
        </is>
      </c>
      <c r="F20" t="inlineStr">
        <is>
          <t>Existing strawberries are Fresh Fruit.</t>
        </is>
      </c>
    </row>
    <row r="21">
      <c r="A21" t="n">
        <v>140</v>
      </c>
      <c r="B21" t="inlineStr">
        <is>
          <t>Aldi</t>
        </is>
      </c>
      <c r="C21" t="inlineStr">
        <is>
          <t>Mini Cucumbers</t>
        </is>
      </c>
      <c r="D21" t="inlineStr">
        <is>
          <t>Mini Cucumbers</t>
        </is>
      </c>
      <c r="E21" t="inlineStr">
        <is>
          <t>Fresh Vegetables</t>
        </is>
      </c>
      <c r="F21" t="inlineStr">
        <is>
          <t>Exact Common Name/Sub-Category precedent already exists.</t>
        </is>
      </c>
    </row>
    <row r="22">
      <c r="A22" t="n">
        <v>141</v>
      </c>
      <c r="B22" t="inlineStr">
        <is>
          <t>Aldi</t>
        </is>
      </c>
      <c r="C22" t="inlineStr">
        <is>
          <t>Canola Oil</t>
        </is>
      </c>
      <c r="D22" t="inlineStr">
        <is>
          <t>Canola Oil</t>
        </is>
      </c>
      <c r="E22" t="inlineStr">
        <is>
          <t>Cooking Oils &amp; Sprays</t>
        </is>
      </c>
      <c r="F22" t="inlineStr">
        <is>
          <t>Shares a natural analytical category with olive oil cooking spray.</t>
        </is>
      </c>
    </row>
    <row r="23">
      <c r="A23" t="n">
        <v>142</v>
      </c>
      <c r="B23" t="inlineStr">
        <is>
          <t>Aldi</t>
        </is>
      </c>
      <c r="C23" t="inlineStr">
        <is>
          <t>White Corn Meal</t>
        </is>
      </c>
      <c r="D23" t="inlineStr">
        <is>
          <t>White Cornmeal</t>
        </is>
      </c>
      <c r="E23" t="inlineStr">
        <is>
          <t>Baking Ingredients</t>
        </is>
      </c>
      <c r="F23" t="inlineStr">
        <is>
          <t>Fits the established Baking Ingredients category.</t>
        </is>
      </c>
    </row>
    <row r="24">
      <c r="A24" t="n">
        <v>143</v>
      </c>
      <c r="B24" t="inlineStr">
        <is>
          <t>Aldi</t>
        </is>
      </c>
      <c r="C24" t="inlineStr">
        <is>
          <t>Crustless PB&amp;J</t>
        </is>
      </c>
      <c r="D24" t="inlineStr">
        <is>
          <t>Crustless Peanut Butter &amp; Jelly Sandwiches</t>
        </is>
      </c>
      <c r="E24" t="inlineStr">
        <is>
          <t>Frozen Sandwiches</t>
        </is>
      </c>
      <c r="F24" t="inlineStr">
        <is>
          <t>Distinct prepared frozen sandwich product.</t>
        </is>
      </c>
    </row>
    <row r="25">
      <c r="A25" t="n">
        <v>144</v>
      </c>
      <c r="B25" t="inlineStr">
        <is>
          <t>Aldi</t>
        </is>
      </c>
      <c r="C25" t="inlineStr">
        <is>
          <t>Cauli Crust Pizza</t>
        </is>
      </c>
      <c r="D25" t="inlineStr">
        <is>
          <t>Cauliflower Crust Pizza</t>
        </is>
      </c>
      <c r="E25" t="inlineStr">
        <is>
          <t>Frozen Pizza</t>
        </is>
      </c>
      <c r="F25" t="inlineStr">
        <is>
          <t>Exact Aldi precedent already exists.</t>
        </is>
      </c>
    </row>
    <row r="26" ht="16" customHeight="1" s="62">
      <c r="A26" t="n">
        <v>145</v>
      </c>
      <c r="B26" t="inlineStr">
        <is>
          <t>Aldi</t>
        </is>
      </c>
      <c r="C26" t="inlineStr">
        <is>
          <t>Avocados</t>
        </is>
      </c>
      <c r="D26" t="inlineStr">
        <is>
          <t>Avocados</t>
        </is>
      </c>
      <c r="E26" t="inlineStr">
        <is>
          <t>Fresh Fruit</t>
        </is>
      </c>
      <c r="F26" t="inlineStr">
        <is>
          <t>Uses the established food-type taxonomy rather than broad Produce.</t>
        </is>
      </c>
    </row>
    <row r="27">
      <c r="A27" t="n">
        <v>146</v>
      </c>
      <c r="B27" t="inlineStr">
        <is>
          <t>Aldi</t>
        </is>
      </c>
      <c r="C27" t="inlineStr">
        <is>
          <t>Wht Corn Tortillas</t>
        </is>
      </c>
      <c r="D27" t="inlineStr">
        <is>
          <t>White Corn Tortillas</t>
        </is>
      </c>
      <c r="E27" t="inlineStr">
        <is>
          <t>Tortillas</t>
        </is>
      </c>
      <c r="F27" t="inlineStr">
        <is>
          <t>Same product family as the high-fiber tortillas.</t>
        </is>
      </c>
    </row>
    <row r="28" ht="16" customHeight="1" s="62">
      <c r="A28" t="n">
        <v>147</v>
      </c>
      <c r="B28" t="inlineStr">
        <is>
          <t>Aldi</t>
        </is>
      </c>
      <c r="C28" t="inlineStr">
        <is>
          <t>Org Baby Carrots</t>
        </is>
      </c>
      <c r="D28" t="inlineStr">
        <is>
          <t>Organic Baby Carrots</t>
        </is>
      </c>
      <c r="E28" t="inlineStr">
        <is>
          <t>Fresh Vegetables</t>
        </is>
      </c>
      <c r="F28" t="inlineStr">
        <is>
          <t>The product is fresh carrots; Baby incorrectly describes “baby carrots” as a baby-product domain.</t>
        </is>
      </c>
    </row>
    <row r="29">
      <c r="A29" t="n">
        <v>148</v>
      </c>
      <c r="B29" t="inlineStr">
        <is>
          <t>Aldi</t>
        </is>
      </c>
      <c r="C29" t="inlineStr">
        <is>
          <t>Bagged Avocados</t>
        </is>
      </c>
      <c r="D29" t="inlineStr">
        <is>
          <t>Bagged Avocados</t>
        </is>
      </c>
      <c r="E29" t="inlineStr">
        <is>
          <t>Fresh Fruit</t>
        </is>
      </c>
      <c r="F29" t="inlineStr">
        <is>
          <t>Same underlying product type as avocados.</t>
        </is>
      </c>
    </row>
    <row r="30">
      <c r="A30" t="n">
        <v>149</v>
      </c>
      <c r="B30" t="inlineStr">
        <is>
          <t>Aldi</t>
        </is>
      </c>
      <c r="C30" t="inlineStr">
        <is>
          <t>Blueberries</t>
        </is>
      </c>
      <c r="D30" t="inlineStr">
        <is>
          <t>Blueberries</t>
        </is>
      </c>
      <c r="E30" t="inlineStr">
        <is>
          <t>Fresh Fruit</t>
        </is>
      </c>
      <c r="F30" t="inlineStr">
        <is>
          <t>Exact existing Aldi classification.</t>
        </is>
      </c>
    </row>
    <row r="31">
      <c r="A31" t="n">
        <v>150</v>
      </c>
      <c r="B31" t="inlineStr">
        <is>
          <t>Aldi</t>
        </is>
      </c>
      <c r="C31" t="inlineStr">
        <is>
          <t>Cosmic Brewnies</t>
        </is>
      </c>
      <c r="D31" t="inlineStr">
        <is>
          <t>Cosmic Brownies</t>
        </is>
      </c>
      <c r="E31" t="inlineStr">
        <is>
          <t>Snack Cakes</t>
        </is>
      </c>
      <c r="F31" t="inlineStr">
        <is>
          <t>Packaged ready-to-eat brownie snack rather than a baking ingredient.</t>
        </is>
      </c>
    </row>
    <row r="32">
      <c r="A32" t="n">
        <v>151</v>
      </c>
      <c r="B32" t="inlineStr">
        <is>
          <t>Aldi</t>
        </is>
      </c>
      <c r="C32" t="inlineStr">
        <is>
          <t>Large Eggs</t>
        </is>
      </c>
      <c r="D32" t="inlineStr">
        <is>
          <t>Large Eggs</t>
        </is>
      </c>
      <c r="E32" t="inlineStr">
        <is>
          <t>Eggs</t>
        </is>
      </c>
      <c r="F32" t="inlineStr">
        <is>
          <t>Existing ShopGraph category already established.</t>
        </is>
      </c>
    </row>
    <row r="33">
      <c r="A33" t="n">
        <v>152</v>
      </c>
      <c r="B33" t="inlineStr">
        <is>
          <t>Aldi</t>
        </is>
      </c>
      <c r="C33" t="inlineStr">
        <is>
          <t>4 lb. Sugar</t>
        </is>
      </c>
      <c r="D33" t="inlineStr">
        <is>
          <t>Granulated Sugar, 4 lb</t>
        </is>
      </c>
      <c r="E33" t="inlineStr">
        <is>
          <t>Baking Ingredients</t>
        </is>
      </c>
      <c r="F33" t="inlineStr">
        <is>
          <t>Sugar naturally fits the existing Baking Ingredients taxonomy.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selection activeCell="A1" sqref="A1"/>
    </sheetView>
  </sheetViews>
  <sheetFormatPr baseColWidth="8" defaultRowHeight="15"/>
  <cols>
    <col width="38" customWidth="1" style="62" min="1" max="1"/>
    <col width="48" customWidth="1" style="62" min="2" max="2"/>
    <col width="22" customWidth="1" style="62" min="12" max="12"/>
    <col width="22" customWidth="1" style="62" min="13" max="13"/>
    <col width="22" customWidth="1" style="62" min="14" max="14"/>
    <col width="22" customWidth="1" style="62" min="15" max="15"/>
  </cols>
  <sheetData>
    <row r="1">
      <c r="A1" s="74" t="inlineStr">
        <is>
          <t>w1_Aug</t>
        </is>
      </c>
      <c r="L1" s="75" t="inlineStr">
        <is>
          <t>Date</t>
        </is>
      </c>
      <c r="M1" s="75" t="inlineStr">
        <is>
          <t>Ideal Remaining Budget</t>
        </is>
      </c>
      <c r="N1" s="75" t="inlineStr">
        <is>
          <t>Actual Remaining Budget</t>
        </is>
      </c>
      <c r="O1" s="75" t="inlineStr">
        <is>
          <t>Cumulative Spending</t>
        </is>
      </c>
    </row>
    <row r="2">
      <c r="L2" s="2" t="n">
        <v>46264</v>
      </c>
      <c r="M2" s="76" t="n">
        <v>280</v>
      </c>
      <c r="N2" s="76" t="n">
        <v>199.93</v>
      </c>
      <c r="O2" s="76" t="n">
        <v>80.07000000000001</v>
      </c>
    </row>
    <row r="3">
      <c r="A3" s="77" t="inlineStr">
        <is>
          <t>Budget Plan</t>
        </is>
      </c>
      <c r="B3" t="inlineStr">
        <is>
          <t>w1_Aug</t>
        </is>
      </c>
      <c r="L3" s="2" t="n">
        <v>46265</v>
      </c>
      <c r="M3" s="76" t="n">
        <v>233.3333333333333</v>
      </c>
      <c r="N3" s="76" t="n">
        <v>199.93</v>
      </c>
      <c r="O3" s="76" t="n">
        <v>80.07000000000001</v>
      </c>
    </row>
    <row r="4">
      <c r="A4" s="77" t="inlineStr">
        <is>
          <t>Start Date</t>
        </is>
      </c>
      <c r="B4" s="2" t="n">
        <v>46264</v>
      </c>
      <c r="L4" s="2" t="n">
        <v>46266</v>
      </c>
      <c r="M4" s="76" t="n">
        <v>186.6666666666667</v>
      </c>
      <c r="N4" s="76" t="n">
        <v>199.93</v>
      </c>
      <c r="O4" s="76" t="n">
        <v>80.07000000000001</v>
      </c>
    </row>
    <row r="5">
      <c r="A5" s="77" t="inlineStr">
        <is>
          <t>End Date</t>
        </is>
      </c>
      <c r="B5" s="2" t="n">
        <v>46270</v>
      </c>
      <c r="L5" s="2" t="n">
        <v>46267</v>
      </c>
      <c r="M5" s="76" t="n">
        <v>140</v>
      </c>
      <c r="N5" s="76" t="n">
        <v>199.93</v>
      </c>
      <c r="O5" s="76" t="n">
        <v>80.07000000000001</v>
      </c>
    </row>
    <row r="6">
      <c r="A6" s="77" t="inlineStr">
        <is>
          <t>Category Scope</t>
        </is>
      </c>
      <c r="B6" t="inlineStr">
        <is>
          <t>All Categories</t>
        </is>
      </c>
      <c r="L6" s="2" t="n">
        <v>46268</v>
      </c>
      <c r="M6" s="76" t="n">
        <v>93.33333333333334</v>
      </c>
      <c r="N6" s="76" t="n">
        <v>199.93</v>
      </c>
      <c r="O6" s="76" t="n">
        <v>80.07000000000001</v>
      </c>
    </row>
    <row r="7">
      <c r="A7" s="77" t="inlineStr">
        <is>
          <t>Categories</t>
        </is>
      </c>
      <c r="B7" t="inlineStr">
        <is>
          <t>All Categories</t>
        </is>
      </c>
      <c r="L7" s="2" t="n">
        <v>46269</v>
      </c>
      <c r="M7" s="76" t="n">
        <v>46.66666666666666</v>
      </c>
      <c r="N7" s="76" t="n">
        <v>199.93</v>
      </c>
      <c r="O7" s="76" t="n">
        <v>80.07000000000001</v>
      </c>
    </row>
    <row r="8">
      <c r="A8" s="77" t="inlineStr">
        <is>
          <t>Budget</t>
        </is>
      </c>
      <c r="B8" s="76" t="n">
        <v>280</v>
      </c>
      <c r="L8" s="2" t="n">
        <v>46270</v>
      </c>
      <c r="M8" s="76" t="n">
        <v>0</v>
      </c>
      <c r="N8" s="76" t="n">
        <v>199.93</v>
      </c>
      <c r="O8" s="76" t="n">
        <v>80.07000000000001</v>
      </c>
    </row>
    <row r="9">
      <c r="A9" s="77" t="inlineStr">
        <is>
          <t>Total Spent</t>
        </is>
      </c>
      <c r="B9" s="76" t="n">
        <v>80.07000000000001</v>
      </c>
    </row>
    <row r="10">
      <c r="A10" s="77" t="inlineStr">
        <is>
          <t>Remaining Budget</t>
        </is>
      </c>
      <c r="B10" t="n">
        <v>199.93</v>
      </c>
    </row>
    <row r="11">
      <c r="A11" s="77" t="inlineStr">
        <is>
          <t>Relevant Date</t>
        </is>
      </c>
      <c r="B11" s="2" t="n">
        <v>46264</v>
      </c>
    </row>
    <row r="12">
      <c r="A12" s="77" t="inlineStr">
        <is>
          <t>Ideal Spending Through Relevant Date</t>
        </is>
      </c>
      <c r="B12" s="76" t="n">
        <v>0</v>
      </c>
    </row>
    <row r="13">
      <c r="A13" s="77" t="inlineStr">
        <is>
          <t>Actual Spending Through Relevant Date</t>
        </is>
      </c>
      <c r="B13" s="76" t="n">
        <v>80.07000000000001</v>
      </c>
    </row>
    <row r="14">
      <c r="A14" s="77" t="inlineStr">
        <is>
          <t>Ahead / Behind Budget</t>
        </is>
      </c>
      <c r="B14" t="inlineStr">
        <is>
          <t>Behind by $80.07</t>
        </is>
      </c>
    </row>
    <row r="16">
      <c r="A16" s="78" t="inlineStr">
        <is>
          <t>Budget Burndown</t>
        </is>
      </c>
    </row>
    <row r="47">
      <c r="A47" s="61" t="inlineStr">
        <is>
          <t>Interpretation: Actual Remaining above Ideal Remaining means spending is running below the planned burn rate. Below the ideal line means spending is running above the planned burn rate.</t>
        </is>
      </c>
    </row>
    <row r="48"/>
    <row r="49"/>
  </sheetData>
  <mergeCells count="2"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2026-08-30T21:07:54Z</dcterms:modified>
  <cp:lastModifiedBy>garzoncarlosandres@gmail.com</cp:lastModifiedBy>
</cp:coreProperties>
</file>