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carlosgarzon/Desktop/Engineering/ShopGraph/shopping_analysis/data/database/"/>
    </mc:Choice>
  </mc:AlternateContent>
  <xr:revisionPtr revIDLastSave="0" documentId="13_ncr:1_{D0CCF6D2-2961-164D-9A2A-E7DCDD152131}" xr6:coauthVersionLast="47" xr6:coauthVersionMax="47" xr10:uidLastSave="{00000000-0000-0000-0000-000000000000}"/>
  <bookViews>
    <workbookView xWindow="940" yWindow="760" windowWidth="33620" windowHeight="21580" xr2:uid="{00000000-000D-0000-FFFF-FFFF00000000}"/>
  </bookViews>
  <sheets>
    <sheet name="Purchase History" sheetId="1" r:id="rId1"/>
    <sheet name="Imported Receipts" sheetId="2" state="hidden" r:id="rId2"/>
  </sheets>
  <definedNames>
    <definedName name="_xlnm._FilterDatabase" localSheetId="0" hidden="1">'Purchase History'!$A$1:$O$49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" i="1" l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<sst xmlns="http://schemas.openxmlformats.org/spreadsheetml/2006/main" count="369" uniqueCount="168">
  <si>
    <t>Total</t>
  </si>
  <si>
    <t>Store</t>
  </si>
  <si>
    <t>Six-Digit SKU</t>
  </si>
  <si>
    <t>Product</t>
  </si>
  <si>
    <t>Tax Code</t>
  </si>
  <si>
    <t>Store Number</t>
  </si>
  <si>
    <t>Common Name</t>
  </si>
  <si>
    <t>Category</t>
  </si>
  <si>
    <t>Date 1</t>
  </si>
  <si>
    <t>Price 1</t>
  </si>
  <si>
    <t>Date 2</t>
  </si>
  <si>
    <t>Price 2</t>
  </si>
  <si>
    <t>Date 3</t>
  </si>
  <si>
    <t>Price 3</t>
  </si>
  <si>
    <t>Publix</t>
  </si>
  <si>
    <t>NA</t>
  </si>
  <si>
    <t>Stony Yobaby Pouch Peach</t>
  </si>
  <si>
    <t>F</t>
  </si>
  <si>
    <t>1058</t>
  </si>
  <si>
    <t>Stony Yobaby Pouch Banana</t>
  </si>
  <si>
    <t>Sweet Loren's Gf Brownie</t>
  </si>
  <si>
    <t>Vans Waffle Blueberry Gf</t>
  </si>
  <si>
    <t>Chobani 4Pk Hero Batch</t>
  </si>
  <si>
    <t>Silk Soy Organic Nsa Hg</t>
  </si>
  <si>
    <t>Publix Half&amp;Half Hg</t>
  </si>
  <si>
    <t>Aldi</t>
  </si>
  <si>
    <t>383212</t>
  </si>
  <si>
    <t>GF Wide Pan Bread</t>
  </si>
  <si>
    <t>160</t>
  </si>
  <si>
    <t>356691</t>
  </si>
  <si>
    <t>Zucchini</t>
  </si>
  <si>
    <t>356689</t>
  </si>
  <si>
    <t>Yellow Squash</t>
  </si>
  <si>
    <t>356421</t>
  </si>
  <si>
    <t>Medley Potatoes</t>
  </si>
  <si>
    <t>356537</t>
  </si>
  <si>
    <t>Cilantro</t>
  </si>
  <si>
    <t>856508</t>
  </si>
  <si>
    <t>Broccoli Crowns</t>
  </si>
  <si>
    <t>356496</t>
  </si>
  <si>
    <t>Beefsteak Tomatoes</t>
  </si>
  <si>
    <t>344280</t>
  </si>
  <si>
    <t>Cauli Crust Pizza</t>
  </si>
  <si>
    <t>356427</t>
  </si>
  <si>
    <t>Multi-Peppers 3pk</t>
  </si>
  <si>
    <t>356591</t>
  </si>
  <si>
    <t>Pink Lady Apple</t>
  </si>
  <si>
    <t>356488</t>
  </si>
  <si>
    <t>Baby Carrots</t>
  </si>
  <si>
    <t>341979</t>
  </si>
  <si>
    <t>Pine/Water Spears</t>
  </si>
  <si>
    <t>356504</t>
  </si>
  <si>
    <t>Blueberries</t>
  </si>
  <si>
    <t>356374</t>
  </si>
  <si>
    <t>Golden Kiwi</t>
  </si>
  <si>
    <t>343738</t>
  </si>
  <si>
    <t>Humus Mini Cups</t>
  </si>
  <si>
    <t>LesserEvil Popcorn</t>
  </si>
  <si>
    <t>262747</t>
  </si>
  <si>
    <t>Bananas LRW</t>
  </si>
  <si>
    <t>328752</t>
  </si>
  <si>
    <t>Fruit &amp; Grain Bars</t>
  </si>
  <si>
    <t>856609</t>
  </si>
  <si>
    <t>Red Onions</t>
  </si>
  <si>
    <t>739153</t>
  </si>
  <si>
    <t>Organic Chickpeas</t>
  </si>
  <si>
    <t>381343</t>
  </si>
  <si>
    <t>Dark Red Kidney</t>
  </si>
  <si>
    <t>381359</t>
  </si>
  <si>
    <t>Vinaigrette Drssng</t>
  </si>
  <si>
    <t>356578</t>
  </si>
  <si>
    <t>Parsley each</t>
  </si>
  <si>
    <t>400462</t>
  </si>
  <si>
    <t>OG Croutons</t>
  </si>
  <si>
    <t>344583</t>
  </si>
  <si>
    <t>Evryd Plate 8.5in</t>
  </si>
  <si>
    <t>384545</t>
  </si>
  <si>
    <t>NO Honey Wheat Brd</t>
  </si>
  <si>
    <t>730325</t>
  </si>
  <si>
    <t>3pk_Gel Pens</t>
  </si>
  <si>
    <t>720921</t>
  </si>
  <si>
    <t>PB Toast Crackers FA</t>
  </si>
  <si>
    <t>383548</t>
  </si>
  <si>
    <t>Goat Cheese Logs</t>
  </si>
  <si>
    <t>713372</t>
  </si>
  <si>
    <t>Feta Crumbles</t>
  </si>
  <si>
    <t>CollapsibleStorage</t>
  </si>
  <si>
    <t>Trader Joe's</t>
  </si>
  <si>
    <t>EMPIRE KOSHER GROUND TRK</t>
  </si>
  <si>
    <t>0848</t>
  </si>
  <si>
    <t>R-STRAWBERRIES 1 LB</t>
  </si>
  <si>
    <t>FIRE ROASTED RED PEPPERS</t>
  </si>
  <si>
    <t>PASTA CHICKPEA FUSILLI</t>
  </si>
  <si>
    <t>MUFFIN BLUEBERRY GLUTEN</t>
  </si>
  <si>
    <t>1 Caramel Macchiato</t>
  </si>
  <si>
    <t>1 Iced Caramel Macchiato</t>
  </si>
  <si>
    <t>1 Frenchy Plate</t>
  </si>
  <si>
    <t>LF</t>
  </si>
  <si>
    <t>1 Chicken N French Toast</t>
  </si>
  <si>
    <t>T</t>
  </si>
  <si>
    <t>Tax</t>
  </si>
  <si>
    <t>Source OCR JSON</t>
  </si>
  <si>
    <t>Receipt Date</t>
  </si>
  <si>
    <t>Imported Timestamp</t>
  </si>
  <si>
    <t>IMG_0250_raw_ocr.json</t>
  </si>
  <si>
    <t>IMG_0251_raw_ocr.json</t>
  </si>
  <si>
    <t>IMG_0255_raw_ocr.json</t>
  </si>
  <si>
    <t>IMG_0257_raw_ocr.json</t>
  </si>
  <si>
    <t>Honey Pineapple</t>
  </si>
  <si>
    <t>Tip</t>
  </si>
  <si>
    <t>Stonyfield Organic YoBaby Yogurt Pouch, Peach</t>
  </si>
  <si>
    <t>Stonyfield Organic YoBaby Yogurt Pouch, Banana</t>
  </si>
  <si>
    <t>Sweet Loren's Gluten Free Brownie Cookie Dough</t>
  </si>
  <si>
    <t>Van's Gluten Free Blueberry Waffles</t>
  </si>
  <si>
    <t>Chobani Greek Yogurt 4-Pack, Hero Batch</t>
  </si>
  <si>
    <t>Silk Organic Unsweet Soymilk, Half Gallon</t>
  </si>
  <si>
    <t>Publix Half &amp; Half, Half Gallon</t>
  </si>
  <si>
    <t>Gluten-Free Wide Pan Bread</t>
  </si>
  <si>
    <t>Cauliflower Crust Pizza</t>
  </si>
  <si>
    <t>Multi-Color Peppers, 3-Pack</t>
  </si>
  <si>
    <t>Pink Lady Apples</t>
  </si>
  <si>
    <t>Pineapple &amp; Watermelon Spears</t>
  </si>
  <si>
    <t>Hummus Mini Cups</t>
  </si>
  <si>
    <t>Popcorn</t>
  </si>
  <si>
    <t>Bananas</t>
  </si>
  <si>
    <t>Dark Red Kidney Beans</t>
  </si>
  <si>
    <t>Vinaigrette Dressing</t>
  </si>
  <si>
    <t>Parsley</t>
  </si>
  <si>
    <t>Organic Croutons</t>
  </si>
  <si>
    <t>Croutons</t>
  </si>
  <si>
    <t>Everyday Paper Plates, 8.5 Inch</t>
  </si>
  <si>
    <t>No [or possibly Nature's Own] Honey Wheat Bread</t>
  </si>
  <si>
    <t>Gel Pens, 3-Pack</t>
  </si>
  <si>
    <t>Peanut Butter Toast Crackers</t>
  </si>
  <si>
    <t>Feta Cheese Crumbles</t>
  </si>
  <si>
    <t>Collapsible Storage Container/Bin</t>
  </si>
  <si>
    <t>Empire Kosher Ground Turkey</t>
  </si>
  <si>
    <t>Strawberries, 1 lb</t>
  </si>
  <si>
    <t>Fire Roasted Red Peppers</t>
  </si>
  <si>
    <t>Chickpea Fusilli Pasta</t>
  </si>
  <si>
    <t>Gluten-Free Blueberry Muffins</t>
  </si>
  <si>
    <t>Yogurt</t>
  </si>
  <si>
    <t>Refrigerated Dough</t>
  </si>
  <si>
    <t>Frozen Breakfast</t>
  </si>
  <si>
    <t>Plant-Based Milk</t>
  </si>
  <si>
    <t>Cream &amp; Half-and-Half</t>
  </si>
  <si>
    <t>Bread</t>
  </si>
  <si>
    <t>Fresh Vegetables</t>
  </si>
  <si>
    <t>Fresh Herbs</t>
  </si>
  <si>
    <t>Frozen Pizza</t>
  </si>
  <si>
    <t>Fresh Fruit</t>
  </si>
  <si>
    <t>Fresh-Cut Fruit</t>
  </si>
  <si>
    <t>Dips &amp; Spreads</t>
  </si>
  <si>
    <t>Snack Bars</t>
  </si>
  <si>
    <t>Canned Beans &amp; Legumes</t>
  </si>
  <si>
    <t>Salad Dressing</t>
  </si>
  <si>
    <t>Disposable Tableware</t>
  </si>
  <si>
    <t>Writing Supplies</t>
  </si>
  <si>
    <t>Crackers</t>
  </si>
  <si>
    <t>Specialty Cheese</t>
  </si>
  <si>
    <t>Storage &amp; Organization</t>
  </si>
  <si>
    <t>Fresh Poultry</t>
  </si>
  <si>
    <t>Jarred Vegetables</t>
  </si>
  <si>
    <t>Pasta</t>
  </si>
  <si>
    <t>Muffins &amp; Pastries</t>
  </si>
  <si>
    <t>Prepared Coffee</t>
  </si>
  <si>
    <t>Prepared Meals</t>
  </si>
  <si>
    <t>Fees &amp; Charges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</si>
</sst>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mm/dd/yyyy\ hh:mm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tabSelected="1" workbookViewId="0">
      <pane ySplit="1" topLeftCell="A2" activePane="bottomLeft" state="frozen"/>
      <selection pane="bottomLeft" activeCell="H54" sqref="H54"/>
    </sheetView>
  </sheetViews>
  <sheetFormatPr baseColWidth="10" defaultColWidth="8.83203125" defaultRowHeight="15" x14ac:dyDescent="0.2"/>
  <cols>
    <col min="1" max="1" width="14" customWidth="1"/>
    <col min="2" max="2" width="3" customWidth="1"/>
    <col min="3" max="4" width="18" customWidth="1"/>
    <col min="5" max="5" width="34" customWidth="1"/>
    <col min="6" max="6" width="14" customWidth="1"/>
    <col min="7" max="7" width="16" customWidth="1"/>
    <col min="8" max="8" width="40.1640625" bestFit="1" customWidth="1"/>
    <col min="9" max="9" width="22" customWidth="1"/>
    <col min="10" max="15" width="14" customWidth="1"/>
  </cols>
  <sheetData>
    <row r="1" spans="1:15" x14ac:dyDescent="0.2">
      <c r="A1" s="4" t="s">
        <v>0</v>
      </c>
      <c r="B1" s="4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</row>
    <row r="2" spans="1:15" x14ac:dyDescent="0.2">
      <c r="A2" s="1">
        <f t="shared" ref="A2:A49" si="0">SUM(K2,M2,O2)</f>
        <v>7.85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s="5" t="s">
        <v>110</v>
      </c>
      <c r="I2" t="s">
        <v>141</v>
      </c>
      <c r="J2" s="2">
        <v>46259</v>
      </c>
      <c r="K2" s="1">
        <v>7.85</v>
      </c>
    </row>
    <row r="3" spans="1:15" x14ac:dyDescent="0.2">
      <c r="A3" s="1">
        <f t="shared" si="0"/>
        <v>7.85</v>
      </c>
      <c r="C3" t="s">
        <v>14</v>
      </c>
      <c r="D3" t="s">
        <v>15</v>
      </c>
      <c r="E3" t="s">
        <v>19</v>
      </c>
      <c r="F3" t="s">
        <v>17</v>
      </c>
      <c r="G3" t="s">
        <v>18</v>
      </c>
      <c r="H3" s="5" t="s">
        <v>111</v>
      </c>
      <c r="I3" t="s">
        <v>141</v>
      </c>
      <c r="J3" s="2">
        <v>46259</v>
      </c>
      <c r="K3" s="1">
        <v>7.85</v>
      </c>
    </row>
    <row r="4" spans="1:15" x14ac:dyDescent="0.2">
      <c r="A4" s="1">
        <f t="shared" si="0"/>
        <v>6.99</v>
      </c>
      <c r="C4" t="s">
        <v>14</v>
      </c>
      <c r="D4" t="s">
        <v>15</v>
      </c>
      <c r="E4" t="s">
        <v>20</v>
      </c>
      <c r="F4" t="s">
        <v>17</v>
      </c>
      <c r="G4" t="s">
        <v>18</v>
      </c>
      <c r="H4" s="5" t="s">
        <v>112</v>
      </c>
      <c r="I4" t="s">
        <v>142</v>
      </c>
      <c r="J4" s="2">
        <v>46259</v>
      </c>
      <c r="K4" s="1">
        <v>6.99</v>
      </c>
    </row>
    <row r="5" spans="1:15" x14ac:dyDescent="0.2">
      <c r="A5" s="1">
        <f t="shared" si="0"/>
        <v>7.78</v>
      </c>
      <c r="C5" t="s">
        <v>14</v>
      </c>
      <c r="D5" t="s">
        <v>15</v>
      </c>
      <c r="E5" t="s">
        <v>21</v>
      </c>
      <c r="F5" t="s">
        <v>17</v>
      </c>
      <c r="G5" t="s">
        <v>18</v>
      </c>
      <c r="H5" s="5" t="s">
        <v>113</v>
      </c>
      <c r="I5" t="s">
        <v>143</v>
      </c>
      <c r="J5" s="2">
        <v>46259</v>
      </c>
      <c r="K5" s="1">
        <v>3.89</v>
      </c>
      <c r="L5" s="2">
        <v>46259</v>
      </c>
      <c r="M5" s="1">
        <v>3.89</v>
      </c>
    </row>
    <row r="6" spans="1:15" x14ac:dyDescent="0.2">
      <c r="A6" s="1">
        <f t="shared" si="0"/>
        <v>5.65</v>
      </c>
      <c r="C6" t="s">
        <v>14</v>
      </c>
      <c r="D6" t="s">
        <v>15</v>
      </c>
      <c r="E6" t="s">
        <v>22</v>
      </c>
      <c r="F6" t="s">
        <v>17</v>
      </c>
      <c r="G6" t="s">
        <v>18</v>
      </c>
      <c r="H6" s="5" t="s">
        <v>114</v>
      </c>
      <c r="I6" t="s">
        <v>141</v>
      </c>
      <c r="J6" s="2">
        <v>46259</v>
      </c>
      <c r="K6" s="1">
        <v>5.65</v>
      </c>
    </row>
    <row r="7" spans="1:15" x14ac:dyDescent="0.2">
      <c r="A7" s="1">
        <f t="shared" si="0"/>
        <v>18.57</v>
      </c>
      <c r="C7" t="s">
        <v>14</v>
      </c>
      <c r="D7" t="s">
        <v>15</v>
      </c>
      <c r="E7" t="s">
        <v>23</v>
      </c>
      <c r="F7" t="s">
        <v>17</v>
      </c>
      <c r="G7" t="s">
        <v>18</v>
      </c>
      <c r="H7" s="5" t="s">
        <v>115</v>
      </c>
      <c r="I7" t="s">
        <v>144</v>
      </c>
      <c r="J7" s="2">
        <v>46259</v>
      </c>
      <c r="K7" s="1">
        <v>6.19</v>
      </c>
      <c r="L7" s="2">
        <v>46259</v>
      </c>
      <c r="M7" s="1">
        <v>6.19</v>
      </c>
      <c r="N7" s="2">
        <v>46259</v>
      </c>
      <c r="O7" s="1">
        <v>6.19</v>
      </c>
    </row>
    <row r="8" spans="1:15" x14ac:dyDescent="0.2">
      <c r="A8" s="1">
        <f t="shared" si="0"/>
        <v>5.89</v>
      </c>
      <c r="C8" t="s">
        <v>14</v>
      </c>
      <c r="D8" t="s">
        <v>15</v>
      </c>
      <c r="E8" t="s">
        <v>24</v>
      </c>
      <c r="F8" t="s">
        <v>17</v>
      </c>
      <c r="G8" t="s">
        <v>18</v>
      </c>
      <c r="H8" s="5" t="s">
        <v>116</v>
      </c>
      <c r="I8" t="s">
        <v>145</v>
      </c>
      <c r="J8" s="2">
        <v>46259</v>
      </c>
      <c r="K8" s="1">
        <v>5.89</v>
      </c>
    </row>
    <row r="9" spans="1:15" x14ac:dyDescent="0.2">
      <c r="A9" s="1">
        <f t="shared" si="0"/>
        <v>6.79</v>
      </c>
      <c r="C9" t="s">
        <v>25</v>
      </c>
      <c r="D9" t="s">
        <v>26</v>
      </c>
      <c r="E9" t="s">
        <v>27</v>
      </c>
      <c r="F9" t="s">
        <v>15</v>
      </c>
      <c r="G9" t="s">
        <v>28</v>
      </c>
      <c r="H9" t="s">
        <v>117</v>
      </c>
      <c r="I9" t="s">
        <v>146</v>
      </c>
      <c r="J9" s="2">
        <v>46257</v>
      </c>
      <c r="K9" s="1">
        <v>6.79</v>
      </c>
    </row>
    <row r="10" spans="1:15" x14ac:dyDescent="0.2">
      <c r="A10" s="1">
        <f t="shared" si="0"/>
        <v>2.52</v>
      </c>
      <c r="C10" t="s">
        <v>25</v>
      </c>
      <c r="D10" t="s">
        <v>29</v>
      </c>
      <c r="E10" t="s">
        <v>30</v>
      </c>
      <c r="F10" t="s">
        <v>15</v>
      </c>
      <c r="G10" t="s">
        <v>28</v>
      </c>
      <c r="H10" t="s">
        <v>30</v>
      </c>
      <c r="I10" t="s">
        <v>147</v>
      </c>
      <c r="J10" s="2">
        <v>46257</v>
      </c>
      <c r="K10" s="1">
        <v>2.52</v>
      </c>
    </row>
    <row r="11" spans="1:15" x14ac:dyDescent="0.2">
      <c r="A11" s="1">
        <f t="shared" si="0"/>
        <v>2.6</v>
      </c>
      <c r="C11" t="s">
        <v>25</v>
      </c>
      <c r="D11" t="s">
        <v>31</v>
      </c>
      <c r="E11" t="s">
        <v>32</v>
      </c>
      <c r="F11" t="s">
        <v>15</v>
      </c>
      <c r="G11" t="s">
        <v>28</v>
      </c>
      <c r="H11" t="s">
        <v>32</v>
      </c>
      <c r="I11" t="s">
        <v>147</v>
      </c>
      <c r="J11" s="2">
        <v>46257</v>
      </c>
      <c r="K11" s="1">
        <v>2.6</v>
      </c>
    </row>
    <row r="12" spans="1:15" x14ac:dyDescent="0.2">
      <c r="A12" s="1">
        <f t="shared" si="0"/>
        <v>3.29</v>
      </c>
      <c r="C12" t="s">
        <v>25</v>
      </c>
      <c r="D12" t="s">
        <v>33</v>
      </c>
      <c r="E12" t="s">
        <v>34</v>
      </c>
      <c r="F12" t="s">
        <v>15</v>
      </c>
      <c r="G12" t="s">
        <v>28</v>
      </c>
      <c r="H12" t="s">
        <v>34</v>
      </c>
      <c r="I12" t="s">
        <v>147</v>
      </c>
      <c r="J12" s="2">
        <v>46257</v>
      </c>
      <c r="K12" s="1">
        <v>3.29</v>
      </c>
    </row>
    <row r="13" spans="1:15" x14ac:dyDescent="0.2">
      <c r="A13" s="1">
        <f t="shared" si="0"/>
        <v>0.89</v>
      </c>
      <c r="C13" t="s">
        <v>25</v>
      </c>
      <c r="D13" t="s">
        <v>35</v>
      </c>
      <c r="E13" t="s">
        <v>36</v>
      </c>
      <c r="F13" t="s">
        <v>15</v>
      </c>
      <c r="G13" t="s">
        <v>28</v>
      </c>
      <c r="H13" t="s">
        <v>36</v>
      </c>
      <c r="I13" t="s">
        <v>148</v>
      </c>
      <c r="J13" s="2">
        <v>46257</v>
      </c>
      <c r="K13" s="1">
        <v>0.89</v>
      </c>
    </row>
    <row r="14" spans="1:15" x14ac:dyDescent="0.2">
      <c r="A14" s="1">
        <f t="shared" si="0"/>
        <v>3.41</v>
      </c>
      <c r="C14" t="s">
        <v>25</v>
      </c>
      <c r="D14" t="s">
        <v>37</v>
      </c>
      <c r="E14" t="s">
        <v>38</v>
      </c>
      <c r="F14" t="s">
        <v>15</v>
      </c>
      <c r="G14" t="s">
        <v>28</v>
      </c>
      <c r="H14" t="s">
        <v>38</v>
      </c>
      <c r="I14" t="s">
        <v>147</v>
      </c>
      <c r="J14" s="2">
        <v>46257</v>
      </c>
      <c r="K14" s="1">
        <v>3.41</v>
      </c>
    </row>
    <row r="15" spans="1:15" x14ac:dyDescent="0.2">
      <c r="A15" s="1">
        <f t="shared" si="0"/>
        <v>2.99</v>
      </c>
      <c r="C15" t="s">
        <v>25</v>
      </c>
      <c r="D15" t="s">
        <v>39</v>
      </c>
      <c r="E15" t="s">
        <v>40</v>
      </c>
      <c r="F15" t="s">
        <v>15</v>
      </c>
      <c r="G15" t="s">
        <v>28</v>
      </c>
      <c r="H15" t="s">
        <v>40</v>
      </c>
      <c r="I15" t="s">
        <v>147</v>
      </c>
      <c r="J15" s="2">
        <v>46257</v>
      </c>
      <c r="K15" s="1">
        <v>2.99</v>
      </c>
    </row>
    <row r="16" spans="1:15" x14ac:dyDescent="0.2">
      <c r="A16" s="1">
        <f t="shared" si="0"/>
        <v>8.2899999999999991</v>
      </c>
      <c r="C16" t="s">
        <v>25</v>
      </c>
      <c r="D16" t="s">
        <v>41</v>
      </c>
      <c r="E16" t="s">
        <v>42</v>
      </c>
      <c r="F16" t="s">
        <v>15</v>
      </c>
      <c r="G16" t="s">
        <v>28</v>
      </c>
      <c r="H16" t="s">
        <v>118</v>
      </c>
      <c r="I16" t="s">
        <v>149</v>
      </c>
      <c r="J16" s="2">
        <v>46257</v>
      </c>
      <c r="K16" s="1">
        <v>8.2899999999999991</v>
      </c>
    </row>
    <row r="17" spans="1:13" x14ac:dyDescent="0.2">
      <c r="A17" s="1">
        <f t="shared" si="0"/>
        <v>2.69</v>
      </c>
      <c r="C17" t="s">
        <v>25</v>
      </c>
      <c r="D17" t="s">
        <v>43</v>
      </c>
      <c r="E17" t="s">
        <v>44</v>
      </c>
      <c r="F17" t="s">
        <v>15</v>
      </c>
      <c r="G17" t="s">
        <v>28</v>
      </c>
      <c r="H17" t="s">
        <v>119</v>
      </c>
      <c r="I17" t="s">
        <v>147</v>
      </c>
      <c r="J17" s="2">
        <v>46257</v>
      </c>
      <c r="K17" s="1">
        <v>2.69</v>
      </c>
    </row>
    <row r="18" spans="1:13" x14ac:dyDescent="0.2">
      <c r="A18" s="1">
        <f t="shared" si="0"/>
        <v>3.69</v>
      </c>
      <c r="C18" t="s">
        <v>25</v>
      </c>
      <c r="D18" t="s">
        <v>45</v>
      </c>
      <c r="E18" t="s">
        <v>46</v>
      </c>
      <c r="F18" t="s">
        <v>15</v>
      </c>
      <c r="G18" t="s">
        <v>28</v>
      </c>
      <c r="H18" t="s">
        <v>120</v>
      </c>
      <c r="I18" t="s">
        <v>150</v>
      </c>
      <c r="J18" s="2">
        <v>46257</v>
      </c>
      <c r="K18" s="1">
        <v>3.69</v>
      </c>
    </row>
    <row r="19" spans="1:13" x14ac:dyDescent="0.2">
      <c r="A19" s="1">
        <f t="shared" si="0"/>
        <v>1.29</v>
      </c>
      <c r="C19" t="s">
        <v>25</v>
      </c>
      <c r="D19" t="s">
        <v>47</v>
      </c>
      <c r="E19" t="s">
        <v>48</v>
      </c>
      <c r="F19" t="s">
        <v>15</v>
      </c>
      <c r="G19" t="s">
        <v>28</v>
      </c>
      <c r="H19" t="s">
        <v>48</v>
      </c>
      <c r="I19" t="s">
        <v>147</v>
      </c>
      <c r="J19" s="2">
        <v>46257</v>
      </c>
      <c r="K19" s="1">
        <v>1.29</v>
      </c>
    </row>
    <row r="20" spans="1:13" x14ac:dyDescent="0.2">
      <c r="A20" s="1">
        <f t="shared" si="0"/>
        <v>3.89</v>
      </c>
      <c r="C20" t="s">
        <v>25</v>
      </c>
      <c r="D20" t="s">
        <v>49</v>
      </c>
      <c r="E20" t="s">
        <v>50</v>
      </c>
      <c r="F20" t="s">
        <v>15</v>
      </c>
      <c r="G20" t="s">
        <v>28</v>
      </c>
      <c r="H20" t="s">
        <v>121</v>
      </c>
      <c r="I20" t="s">
        <v>151</v>
      </c>
      <c r="J20" s="2">
        <v>46257</v>
      </c>
      <c r="K20" s="1">
        <v>3.89</v>
      </c>
    </row>
    <row r="21" spans="1:13" x14ac:dyDescent="0.2">
      <c r="A21" s="1">
        <f t="shared" si="0"/>
        <v>2.59</v>
      </c>
      <c r="C21" t="s">
        <v>25</v>
      </c>
      <c r="D21" t="s">
        <v>51</v>
      </c>
      <c r="E21" t="s">
        <v>52</v>
      </c>
      <c r="F21" t="s">
        <v>15</v>
      </c>
      <c r="G21" t="s">
        <v>28</v>
      </c>
      <c r="H21" t="s">
        <v>52</v>
      </c>
      <c r="I21" t="s">
        <v>150</v>
      </c>
      <c r="J21" s="2">
        <v>46257</v>
      </c>
      <c r="K21" s="1">
        <v>2.59</v>
      </c>
    </row>
    <row r="22" spans="1:13" x14ac:dyDescent="0.2">
      <c r="A22" s="1">
        <f t="shared" si="0"/>
        <v>4.3899999999999997</v>
      </c>
      <c r="C22" t="s">
        <v>25</v>
      </c>
      <c r="D22" t="s">
        <v>53</v>
      </c>
      <c r="E22" t="s">
        <v>54</v>
      </c>
      <c r="F22" t="s">
        <v>15</v>
      </c>
      <c r="G22" t="s">
        <v>28</v>
      </c>
      <c r="H22" t="s">
        <v>54</v>
      </c>
      <c r="I22" t="s">
        <v>150</v>
      </c>
      <c r="J22" s="2">
        <v>46257</v>
      </c>
      <c r="K22" s="1">
        <v>4.3899999999999997</v>
      </c>
    </row>
    <row r="23" spans="1:13" x14ac:dyDescent="0.2">
      <c r="A23" s="1">
        <f t="shared" si="0"/>
        <v>3.45</v>
      </c>
      <c r="C23" t="s">
        <v>25</v>
      </c>
      <c r="D23" t="s">
        <v>55</v>
      </c>
      <c r="E23" t="s">
        <v>56</v>
      </c>
      <c r="F23" t="s">
        <v>15</v>
      </c>
      <c r="G23" t="s">
        <v>28</v>
      </c>
      <c r="H23" t="s">
        <v>122</v>
      </c>
      <c r="I23" t="s">
        <v>152</v>
      </c>
      <c r="J23" s="2">
        <v>46257</v>
      </c>
      <c r="K23" s="1">
        <v>3.45</v>
      </c>
    </row>
    <row r="24" spans="1:13" x14ac:dyDescent="0.2">
      <c r="A24" s="1">
        <f t="shared" si="0"/>
        <v>2.39</v>
      </c>
      <c r="C24" t="s">
        <v>25</v>
      </c>
      <c r="D24" t="s">
        <v>15</v>
      </c>
      <c r="E24" t="s">
        <v>57</v>
      </c>
      <c r="F24" t="s">
        <v>15</v>
      </c>
      <c r="G24" t="s">
        <v>28</v>
      </c>
      <c r="H24" t="s">
        <v>57</v>
      </c>
      <c r="I24" t="s">
        <v>123</v>
      </c>
      <c r="J24" s="2">
        <v>46257</v>
      </c>
      <c r="K24" s="1">
        <v>2.39</v>
      </c>
    </row>
    <row r="25" spans="1:13" x14ac:dyDescent="0.2">
      <c r="A25" s="1">
        <f t="shared" si="0"/>
        <v>1.31</v>
      </c>
      <c r="C25" t="s">
        <v>25</v>
      </c>
      <c r="D25" t="s">
        <v>58</v>
      </c>
      <c r="E25" t="s">
        <v>59</v>
      </c>
      <c r="F25" t="s">
        <v>15</v>
      </c>
      <c r="G25" t="s">
        <v>28</v>
      </c>
      <c r="H25" t="s">
        <v>124</v>
      </c>
      <c r="I25" t="s">
        <v>150</v>
      </c>
      <c r="J25" s="2">
        <v>46257</v>
      </c>
      <c r="K25" s="1">
        <v>1.31</v>
      </c>
    </row>
    <row r="26" spans="1:13" x14ac:dyDescent="0.2">
      <c r="A26" s="1">
        <f t="shared" si="0"/>
        <v>3.98</v>
      </c>
      <c r="C26" t="s">
        <v>25</v>
      </c>
      <c r="D26" t="s">
        <v>60</v>
      </c>
      <c r="E26" t="s">
        <v>61</v>
      </c>
      <c r="F26" t="s">
        <v>15</v>
      </c>
      <c r="G26" t="s">
        <v>28</v>
      </c>
      <c r="H26" t="s">
        <v>61</v>
      </c>
      <c r="I26" t="s">
        <v>153</v>
      </c>
      <c r="J26" s="2">
        <v>46257</v>
      </c>
      <c r="K26" s="1">
        <v>1.99</v>
      </c>
      <c r="L26" s="2">
        <v>46257</v>
      </c>
      <c r="M26" s="1">
        <v>1.99</v>
      </c>
    </row>
    <row r="27" spans="1:13" x14ac:dyDescent="0.2">
      <c r="A27" s="1">
        <f t="shared" si="0"/>
        <v>2.4900000000000002</v>
      </c>
      <c r="C27" t="s">
        <v>25</v>
      </c>
      <c r="D27" t="s">
        <v>62</v>
      </c>
      <c r="E27" t="s">
        <v>63</v>
      </c>
      <c r="F27" t="s">
        <v>15</v>
      </c>
      <c r="G27" t="s">
        <v>28</v>
      </c>
      <c r="H27" t="s">
        <v>63</v>
      </c>
      <c r="I27" t="s">
        <v>147</v>
      </c>
      <c r="J27" s="2">
        <v>46257</v>
      </c>
      <c r="K27" s="1">
        <v>2.4900000000000002</v>
      </c>
    </row>
    <row r="28" spans="1:13" x14ac:dyDescent="0.2">
      <c r="A28" s="1">
        <f t="shared" si="0"/>
        <v>1.98</v>
      </c>
      <c r="C28" t="s">
        <v>25</v>
      </c>
      <c r="D28" t="s">
        <v>64</v>
      </c>
      <c r="E28" t="s">
        <v>65</v>
      </c>
      <c r="F28" t="s">
        <v>15</v>
      </c>
      <c r="G28" t="s">
        <v>28</v>
      </c>
      <c r="H28" t="s">
        <v>65</v>
      </c>
      <c r="I28" t="s">
        <v>154</v>
      </c>
      <c r="J28" s="2">
        <v>46257</v>
      </c>
      <c r="K28" s="1">
        <v>0.99</v>
      </c>
      <c r="L28" s="2">
        <v>46257</v>
      </c>
      <c r="M28" s="1">
        <v>0.99</v>
      </c>
    </row>
    <row r="29" spans="1:13" x14ac:dyDescent="0.2">
      <c r="A29" s="1">
        <f t="shared" si="0"/>
        <v>1.7</v>
      </c>
      <c r="C29" t="s">
        <v>25</v>
      </c>
      <c r="D29" t="s">
        <v>66</v>
      </c>
      <c r="E29" t="s">
        <v>67</v>
      </c>
      <c r="F29" t="s">
        <v>15</v>
      </c>
      <c r="G29" t="s">
        <v>28</v>
      </c>
      <c r="H29" t="s">
        <v>125</v>
      </c>
      <c r="I29" t="s">
        <v>154</v>
      </c>
      <c r="J29" s="2">
        <v>46257</v>
      </c>
      <c r="K29" s="1">
        <v>0.85</v>
      </c>
      <c r="L29" s="2">
        <v>46257</v>
      </c>
      <c r="M29" s="1">
        <v>0.85</v>
      </c>
    </row>
    <row r="30" spans="1:13" x14ac:dyDescent="0.2">
      <c r="A30" s="1">
        <f t="shared" si="0"/>
        <v>2.99</v>
      </c>
      <c r="C30" t="s">
        <v>25</v>
      </c>
      <c r="D30" t="s">
        <v>68</v>
      </c>
      <c r="E30" t="s">
        <v>69</v>
      </c>
      <c r="F30" t="s">
        <v>15</v>
      </c>
      <c r="G30" t="s">
        <v>28</v>
      </c>
      <c r="H30" t="s">
        <v>126</v>
      </c>
      <c r="I30" t="s">
        <v>155</v>
      </c>
      <c r="J30" s="2">
        <v>46257</v>
      </c>
      <c r="K30" s="1">
        <v>2.99</v>
      </c>
    </row>
    <row r="31" spans="1:13" x14ac:dyDescent="0.2">
      <c r="A31" s="1">
        <f t="shared" si="0"/>
        <v>0.95</v>
      </c>
      <c r="C31" t="s">
        <v>25</v>
      </c>
      <c r="D31" t="s">
        <v>70</v>
      </c>
      <c r="E31" t="s">
        <v>71</v>
      </c>
      <c r="F31" t="s">
        <v>15</v>
      </c>
      <c r="G31" t="s">
        <v>28</v>
      </c>
      <c r="H31" t="s">
        <v>127</v>
      </c>
      <c r="I31" t="s">
        <v>148</v>
      </c>
      <c r="J31" s="2">
        <v>46257</v>
      </c>
      <c r="K31" s="1">
        <v>0.95</v>
      </c>
    </row>
    <row r="32" spans="1:13" x14ac:dyDescent="0.2">
      <c r="A32" s="1">
        <f t="shared" si="0"/>
        <v>1.99</v>
      </c>
      <c r="C32" t="s">
        <v>25</v>
      </c>
      <c r="D32" t="s">
        <v>72</v>
      </c>
      <c r="E32" t="s">
        <v>73</v>
      </c>
      <c r="F32" t="s">
        <v>15</v>
      </c>
      <c r="G32" t="s">
        <v>28</v>
      </c>
      <c r="H32" t="s">
        <v>128</v>
      </c>
      <c r="I32" t="s">
        <v>129</v>
      </c>
      <c r="J32" s="2">
        <v>46257</v>
      </c>
      <c r="K32" s="1">
        <v>1.99</v>
      </c>
    </row>
    <row r="33" spans="1:13" x14ac:dyDescent="0.2">
      <c r="A33" s="1">
        <f t="shared" si="0"/>
        <v>5.25</v>
      </c>
      <c r="C33" t="s">
        <v>25</v>
      </c>
      <c r="D33" t="s">
        <v>74</v>
      </c>
      <c r="E33" t="s">
        <v>75</v>
      </c>
      <c r="F33" t="s">
        <v>15</v>
      </c>
      <c r="G33" t="s">
        <v>28</v>
      </c>
      <c r="H33" t="s">
        <v>130</v>
      </c>
      <c r="I33" t="s">
        <v>156</v>
      </c>
      <c r="J33" s="2">
        <v>46257</v>
      </c>
      <c r="K33" s="1">
        <v>5.25</v>
      </c>
    </row>
    <row r="34" spans="1:13" x14ac:dyDescent="0.2">
      <c r="A34" s="1">
        <f t="shared" si="0"/>
        <v>3.37</v>
      </c>
      <c r="C34" t="s">
        <v>25</v>
      </c>
      <c r="D34" t="s">
        <v>76</v>
      </c>
      <c r="E34" t="s">
        <v>77</v>
      </c>
      <c r="F34" t="s">
        <v>15</v>
      </c>
      <c r="G34" t="s">
        <v>28</v>
      </c>
      <c r="H34" t="s">
        <v>131</v>
      </c>
      <c r="I34" t="s">
        <v>146</v>
      </c>
      <c r="J34" s="2">
        <v>46257</v>
      </c>
      <c r="K34" s="1">
        <v>3.37</v>
      </c>
    </row>
    <row r="35" spans="1:13" x14ac:dyDescent="0.2">
      <c r="A35" s="1">
        <f t="shared" si="0"/>
        <v>5.99</v>
      </c>
      <c r="C35" t="s">
        <v>25</v>
      </c>
      <c r="D35" t="s">
        <v>78</v>
      </c>
      <c r="E35" t="s">
        <v>79</v>
      </c>
      <c r="F35" t="s">
        <v>15</v>
      </c>
      <c r="G35" t="s">
        <v>28</v>
      </c>
      <c r="H35" t="s">
        <v>132</v>
      </c>
      <c r="I35" t="s">
        <v>157</v>
      </c>
      <c r="J35" s="2">
        <v>46257</v>
      </c>
      <c r="K35" s="1">
        <v>5.99</v>
      </c>
    </row>
    <row r="36" spans="1:13" x14ac:dyDescent="0.2">
      <c r="A36" s="1">
        <f t="shared" si="0"/>
        <v>2.79</v>
      </c>
      <c r="C36" t="s">
        <v>25</v>
      </c>
      <c r="D36" t="s">
        <v>80</v>
      </c>
      <c r="E36" t="s">
        <v>81</v>
      </c>
      <c r="F36" t="s">
        <v>15</v>
      </c>
      <c r="G36" t="s">
        <v>28</v>
      </c>
      <c r="H36" t="s">
        <v>133</v>
      </c>
      <c r="I36" t="s">
        <v>158</v>
      </c>
      <c r="J36" s="2">
        <v>46257</v>
      </c>
      <c r="K36" s="1">
        <v>2.79</v>
      </c>
    </row>
    <row r="37" spans="1:13" x14ac:dyDescent="0.2">
      <c r="A37" s="1">
        <f t="shared" si="0"/>
        <v>1.99</v>
      </c>
      <c r="C37" t="s">
        <v>25</v>
      </c>
      <c r="D37" t="s">
        <v>82</v>
      </c>
      <c r="E37" t="s">
        <v>83</v>
      </c>
      <c r="F37" t="s">
        <v>15</v>
      </c>
      <c r="G37" t="s">
        <v>28</v>
      </c>
      <c r="H37" t="s">
        <v>83</v>
      </c>
      <c r="I37" t="s">
        <v>159</v>
      </c>
      <c r="J37" s="2">
        <v>46257</v>
      </c>
      <c r="K37" s="1">
        <v>1.99</v>
      </c>
    </row>
    <row r="38" spans="1:13" x14ac:dyDescent="0.2">
      <c r="A38" s="1">
        <f t="shared" si="0"/>
        <v>2.89</v>
      </c>
      <c r="C38" t="s">
        <v>25</v>
      </c>
      <c r="D38" t="s">
        <v>84</v>
      </c>
      <c r="E38" t="s">
        <v>85</v>
      </c>
      <c r="F38" t="s">
        <v>15</v>
      </c>
      <c r="G38" t="s">
        <v>28</v>
      </c>
      <c r="H38" t="s">
        <v>134</v>
      </c>
      <c r="I38" t="s">
        <v>159</v>
      </c>
      <c r="J38" s="2">
        <v>46257</v>
      </c>
      <c r="K38" s="1">
        <v>2.89</v>
      </c>
    </row>
    <row r="39" spans="1:13" x14ac:dyDescent="0.2">
      <c r="A39" s="1">
        <f t="shared" si="0"/>
        <v>5.99</v>
      </c>
      <c r="C39" t="s">
        <v>25</v>
      </c>
      <c r="D39" t="s">
        <v>15</v>
      </c>
      <c r="E39" t="s">
        <v>86</v>
      </c>
      <c r="F39" t="s">
        <v>15</v>
      </c>
      <c r="G39" t="s">
        <v>28</v>
      </c>
      <c r="H39" t="s">
        <v>135</v>
      </c>
      <c r="I39" t="s">
        <v>160</v>
      </c>
      <c r="J39" s="2">
        <v>46257</v>
      </c>
      <c r="K39" s="1">
        <v>5.99</v>
      </c>
    </row>
    <row r="40" spans="1:13" x14ac:dyDescent="0.2">
      <c r="A40" s="1">
        <f t="shared" si="0"/>
        <v>13.98</v>
      </c>
      <c r="C40" t="s">
        <v>87</v>
      </c>
      <c r="D40" t="s">
        <v>15</v>
      </c>
      <c r="E40" t="s">
        <v>88</v>
      </c>
      <c r="F40" t="s">
        <v>15</v>
      </c>
      <c r="G40" t="s">
        <v>89</v>
      </c>
      <c r="H40" t="s">
        <v>136</v>
      </c>
      <c r="I40" t="s">
        <v>161</v>
      </c>
      <c r="J40" s="2">
        <v>46258</v>
      </c>
      <c r="K40" s="1">
        <v>6.99</v>
      </c>
      <c r="L40" s="2">
        <v>46258</v>
      </c>
      <c r="M40" s="1">
        <v>6.99</v>
      </c>
    </row>
    <row r="41" spans="1:13" x14ac:dyDescent="0.2">
      <c r="A41" s="1">
        <f t="shared" si="0"/>
        <v>3.99</v>
      </c>
      <c r="C41" t="s">
        <v>87</v>
      </c>
      <c r="D41" t="s">
        <v>15</v>
      </c>
      <c r="E41" t="s">
        <v>90</v>
      </c>
      <c r="F41" t="s">
        <v>15</v>
      </c>
      <c r="G41" t="s">
        <v>89</v>
      </c>
      <c r="H41" t="s">
        <v>137</v>
      </c>
      <c r="I41" t="s">
        <v>150</v>
      </c>
      <c r="J41" s="2">
        <v>46258</v>
      </c>
      <c r="K41" s="1">
        <v>3.99</v>
      </c>
    </row>
    <row r="42" spans="1:13" x14ac:dyDescent="0.2">
      <c r="A42" s="1">
        <f t="shared" si="0"/>
        <v>3.29</v>
      </c>
      <c r="C42" t="s">
        <v>87</v>
      </c>
      <c r="D42" t="s">
        <v>15</v>
      </c>
      <c r="E42" t="s">
        <v>91</v>
      </c>
      <c r="F42" t="s">
        <v>15</v>
      </c>
      <c r="G42" t="s">
        <v>89</v>
      </c>
      <c r="H42" t="s">
        <v>138</v>
      </c>
      <c r="I42" t="s">
        <v>162</v>
      </c>
      <c r="J42" s="2">
        <v>46258</v>
      </c>
      <c r="K42" s="1">
        <v>3.29</v>
      </c>
    </row>
    <row r="43" spans="1:13" x14ac:dyDescent="0.2">
      <c r="A43" s="1">
        <f t="shared" si="0"/>
        <v>2.99</v>
      </c>
      <c r="C43" t="s">
        <v>87</v>
      </c>
      <c r="D43" t="s">
        <v>15</v>
      </c>
      <c r="E43" t="s">
        <v>92</v>
      </c>
      <c r="F43" t="s">
        <v>15</v>
      </c>
      <c r="G43" t="s">
        <v>89</v>
      </c>
      <c r="H43" t="s">
        <v>139</v>
      </c>
      <c r="I43" t="s">
        <v>163</v>
      </c>
      <c r="J43" s="2">
        <v>46258</v>
      </c>
      <c r="K43" s="1">
        <v>2.99</v>
      </c>
    </row>
    <row r="44" spans="1:13" x14ac:dyDescent="0.2">
      <c r="A44" s="1">
        <f t="shared" si="0"/>
        <v>5.99</v>
      </c>
      <c r="C44" t="s">
        <v>87</v>
      </c>
      <c r="D44" t="s">
        <v>15</v>
      </c>
      <c r="E44" t="s">
        <v>93</v>
      </c>
      <c r="F44" t="s">
        <v>15</v>
      </c>
      <c r="G44" t="s">
        <v>89</v>
      </c>
      <c r="H44" t="s">
        <v>140</v>
      </c>
      <c r="I44" t="s">
        <v>164</v>
      </c>
      <c r="J44" s="2">
        <v>46258</v>
      </c>
      <c r="K44" s="1">
        <v>5.99</v>
      </c>
    </row>
    <row r="45" spans="1:13" x14ac:dyDescent="0.2">
      <c r="A45" s="1">
        <f t="shared" si="0"/>
        <v>5.5</v>
      </c>
      <c r="C45" t="s">
        <v>108</v>
      </c>
      <c r="D45" t="s">
        <v>15</v>
      </c>
      <c r="E45" t="s">
        <v>94</v>
      </c>
      <c r="F45" t="s">
        <v>15</v>
      </c>
      <c r="G45" t="s">
        <v>15</v>
      </c>
      <c r="H45" t="s">
        <v>94</v>
      </c>
      <c r="I45" t="s">
        <v>165</v>
      </c>
      <c r="J45" s="2">
        <v>46261</v>
      </c>
      <c r="K45" s="1">
        <v>5.5</v>
      </c>
    </row>
    <row r="46" spans="1:13" x14ac:dyDescent="0.2">
      <c r="A46" s="1">
        <f t="shared" si="0"/>
        <v>5.5</v>
      </c>
      <c r="C46" t="s">
        <v>108</v>
      </c>
      <c r="D46" t="s">
        <v>15</v>
      </c>
      <c r="E46" t="s">
        <v>95</v>
      </c>
      <c r="F46" t="s">
        <v>15</v>
      </c>
      <c r="G46" t="s">
        <v>15</v>
      </c>
      <c r="H46" t="s">
        <v>95</v>
      </c>
      <c r="I46" t="s">
        <v>165</v>
      </c>
      <c r="J46" s="2">
        <v>46261</v>
      </c>
      <c r="K46" s="1">
        <v>5.5</v>
      </c>
    </row>
    <row r="47" spans="1:13" x14ac:dyDescent="0.2">
      <c r="A47" s="1">
        <f t="shared" si="0"/>
        <v>14.9</v>
      </c>
      <c r="C47" t="s">
        <v>108</v>
      </c>
      <c r="D47" t="s">
        <v>15</v>
      </c>
      <c r="E47" t="s">
        <v>96</v>
      </c>
      <c r="F47" t="s">
        <v>97</v>
      </c>
      <c r="G47" t="s">
        <v>15</v>
      </c>
      <c r="H47" t="s">
        <v>96</v>
      </c>
      <c r="I47" t="s">
        <v>166</v>
      </c>
      <c r="J47" s="2">
        <v>46261</v>
      </c>
      <c r="K47" s="1">
        <v>14.9</v>
      </c>
    </row>
    <row r="48" spans="1:13" x14ac:dyDescent="0.2">
      <c r="A48" s="1">
        <f t="shared" si="0"/>
        <v>16.3</v>
      </c>
      <c r="C48" t="s">
        <v>108</v>
      </c>
      <c r="D48" t="s">
        <v>15</v>
      </c>
      <c r="E48" t="s">
        <v>98</v>
      </c>
      <c r="F48" t="s">
        <v>99</v>
      </c>
      <c r="G48" t="s">
        <v>15</v>
      </c>
      <c r="H48" t="s">
        <v>98</v>
      </c>
      <c r="I48" t="s">
        <v>166</v>
      </c>
      <c r="J48" s="2">
        <v>46261</v>
      </c>
      <c r="K48" s="1">
        <v>16.3</v>
      </c>
    </row>
    <row r="49" spans="1:11" x14ac:dyDescent="0.2">
      <c r="A49" s="1">
        <f t="shared" si="0"/>
        <v>2.96</v>
      </c>
      <c r="C49" t="s">
        <v>108</v>
      </c>
      <c r="D49" t="s">
        <v>15</v>
      </c>
      <c r="E49" t="s">
        <v>100</v>
      </c>
      <c r="F49" t="s">
        <v>15</v>
      </c>
      <c r="G49" t="s">
        <v>15</v>
      </c>
      <c r="H49" t="s">
        <v>100</v>
      </c>
      <c r="I49" t="s">
        <v>167</v>
      </c>
      <c r="J49" s="2">
        <v>46261</v>
      </c>
      <c r="K49" s="1">
        <v>2.96</v>
      </c>
    </row>
    <row r="50" spans="1:11" x14ac:dyDescent="0.2">
      <c r="A50" s="1">
        <v>6.84</v>
      </c>
      <c r="C50" t="s">
        <v>108</v>
      </c>
      <c r="D50" t="s">
        <v>15</v>
      </c>
      <c r="E50" t="s">
        <v>109</v>
      </c>
      <c r="F50" t="s">
        <v>15</v>
      </c>
      <c r="G50" t="s">
        <v>15</v>
      </c>
      <c r="H50" t="s">
        <v>109</v>
      </c>
      <c r="I50" t="s">
        <v>167</v>
      </c>
      <c r="J50" s="2">
        <v>46261</v>
      </c>
      <c r="K50" s="1">
        <v>2.96</v>
      </c>
    </row>
  </sheetData>
  <autoFilter ref="A1:O49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2" customWidth="1"/>
    <col min="2" max="3" width="16" customWidth="1"/>
    <col min="4" max="4" width="22" customWidth="1"/>
  </cols>
  <sheetData>
    <row r="1" spans="1:4" x14ac:dyDescent="0.2">
      <c r="A1" s="4" t="s">
        <v>101</v>
      </c>
      <c r="B1" s="4" t="s">
        <v>5</v>
      </c>
      <c r="C1" s="4" t="s">
        <v>102</v>
      </c>
      <c r="D1" s="4" t="s">
        <v>103</v>
      </c>
    </row>
    <row r="2" spans="1:4" x14ac:dyDescent="0.2">
      <c r="A2" t="s">
        <v>104</v>
      </c>
      <c r="B2" t="s">
        <v>18</v>
      </c>
      <c r="C2" s="2">
        <v>46259</v>
      </c>
      <c r="D2" s="3">
        <v>46260.753207858797</v>
      </c>
    </row>
    <row r="3" spans="1:4" x14ac:dyDescent="0.2">
      <c r="A3" t="s">
        <v>105</v>
      </c>
      <c r="B3" t="s">
        <v>28</v>
      </c>
      <c r="C3" s="2">
        <v>46257</v>
      </c>
      <c r="D3" s="3">
        <v>46260.873204756943</v>
      </c>
    </row>
    <row r="4" spans="1:4" x14ac:dyDescent="0.2">
      <c r="A4" t="s">
        <v>106</v>
      </c>
      <c r="B4" t="s">
        <v>89</v>
      </c>
      <c r="C4" s="2">
        <v>46258</v>
      </c>
      <c r="D4" s="3">
        <v>46261.509354467591</v>
      </c>
    </row>
    <row r="5" spans="1:4" x14ac:dyDescent="0.2">
      <c r="A5" t="s">
        <v>107</v>
      </c>
      <c r="B5" t="s">
        <v>15</v>
      </c>
      <c r="C5" s="2">
        <v>46261</v>
      </c>
      <c r="D5" s="3">
        <v>46261.6962348413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History</vt:lpstr>
      <vt:lpstr>Imported Receipts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garzoncarlosandres@gmail.com</cp:lastModifiedBy>
  <dcterms:created xsi:type="dcterms:W3CDTF">2026-08-26T22:04:37Z</dcterms:created>
  <dcterms:modified xsi:type="dcterms:W3CDTF">2026-08-27T21:22:38Z</dcterms:modified>
</cp:coreProperties>
</file>