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carlosgarzon/Desktop/Engineering/ShopGraph/shopping_analysis/data/database/"/>
    </mc:Choice>
  </mc:AlternateContent>
  <xr:revisionPtr revIDLastSave="0" documentId="11_DD5FA10913156026EE58649E13377813654F36DB" xr6:coauthVersionLast="47" xr6:coauthVersionMax="47" xr10:uidLastSave="{00000000-0000-0000-0000-000000000000}"/>
  <bookViews>
    <workbookView xWindow="1020" yWindow="760" windowWidth="33540" windowHeight="21580" activeTab="8" xr2:uid="{00000000-000D-0000-FFFF-FFFF00000000}"/>
  </bookViews>
  <sheets>
    <sheet name="Purchase History" sheetId="1" r:id="rId1"/>
    <sheet name="Category Manager" sheetId="2" r:id="rId2"/>
    <sheet name="Analytics" sheetId="3" r:id="rId3"/>
    <sheet name="_AnalyticsData" sheetId="4" state="hidden" r:id="rId4"/>
    <sheet name="Sub Analytics" sheetId="5" r:id="rId5"/>
    <sheet name="_SubAnalyticsData" sheetId="6" state="hidden" r:id="rId6"/>
    <sheet name="Imported Receipts" sheetId="7" state="hidden" r:id="rId7"/>
    <sheet name="Sheet1" sheetId="8" r:id="rId8"/>
    <sheet name="BP 9_26 26" sheetId="9" r:id="rId9"/>
    <sheet name="BP 9_26w1 26" sheetId="10" r:id="rId10"/>
    <sheet name="BP 9_26w2 26" sheetId="11" r:id="rId11"/>
    <sheet name="BP 9_26w3 26" sheetId="12" r:id="rId12"/>
    <sheet name="BP 9_26w4 26" sheetId="13" r:id="rId13"/>
  </sheets>
  <definedNames>
    <definedName name="_xlnm._FilterDatabase" localSheetId="1" hidden="1">'Category Manager'!$A$1:$AA$80</definedName>
    <definedName name="_xlnm._FilterDatabase" localSheetId="0" hidden="1">'Purchase History'!$A$1:$U$266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6" i="1" l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<sst xmlns="http://schemas.openxmlformats.org/spreadsheetml/2006/main" count="3882" uniqueCount="931">
  <si>
    <t>Category</t>
  </si>
  <si>
    <t>Sub-Category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</si>
  <si>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</si>
  <si>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</si>
  <si>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</si>
  <si>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</si>
  <si>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</si>
  <si>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</si>
  <si>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</si>
  <si>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</si>
  <si>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</si>
  <si>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</si>
  <si>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</si>
  <si>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</si>
  <si>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</si>
  <si>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</si>
  <si>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</si>
  <si>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</si>
  <si>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</si>
  <si>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</si>
  <si>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</si>
  <si>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</si>
  <si>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</si>
  <si>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</si>
  <si>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</si>
  <si>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</si>
  <si>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</si>
  <si>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Self Care</t>
  </si>
  <si>
    <t>Antacids</t>
  </si>
  <si>
    <t>Tums Chewy Bites Berry, 60 Count</t>
  </si>
  <si>
    <t>Tums Chewy Bites Ultra Strength Heartburn Relief Chews</t>
  </si>
  <si>
    <t>Pantry</t>
  </si>
  <si>
    <t>Applesauce</t>
  </si>
  <si>
    <t>Mott's No Sugar Added Applesauce</t>
  </si>
  <si>
    <t>Baby Care</t>
  </si>
  <si>
    <t>Baby &amp; Toddler Food</t>
  </si>
  <si>
    <t>Once Upon a Farm Tractor Wheels Toddler Bars</t>
  </si>
  <si>
    <t>CeraVe Baby Healing Ointment</t>
  </si>
  <si>
    <t>Desitin Maximum Strength Diaper Rash Cream</t>
  </si>
  <si>
    <t>Huggies Natural Care Baby Wipes</t>
  </si>
  <si>
    <t>Pampers Swaddlers Diapers</t>
  </si>
  <si>
    <t>Pampers Swaddlers Size 5 Diapers</t>
  </si>
  <si>
    <t>Safety 1st Soft Grip Brush &amp; Comb</t>
  </si>
  <si>
    <t>Baking Ingredients</t>
  </si>
  <si>
    <t>King Arthur Unbleached Bread Flour, 10 lb</t>
  </si>
  <si>
    <t>Nestle Toll House Allergen-Free Dark Chocolate Baking Chips</t>
  </si>
  <si>
    <t>Nestle Toll House Dark Chocolate Baking Chips</t>
  </si>
  <si>
    <t>Dessert</t>
  </si>
  <si>
    <t>Baking Mixes</t>
  </si>
  <si>
    <t>Ghirardelli Gluten-Free Double Chocolate Brownie Mix</t>
  </si>
  <si>
    <t>King Arthur Gluten-Free Pancake Mix</t>
  </si>
  <si>
    <t>Balloons</t>
  </si>
  <si>
    <t>18-Inch Mylar Balloon</t>
  </si>
  <si>
    <t>Alcohol</t>
  </si>
  <si>
    <t>Beer</t>
  </si>
  <si>
    <t>Busch American Lager Beer</t>
  </si>
  <si>
    <t>Toiletries, Cleaning and Disposables</t>
  </si>
  <si>
    <t>Body Wash</t>
  </si>
  <si>
    <t>Dove Sensitive Skin Body Wash</t>
  </si>
  <si>
    <t>Bakery</t>
  </si>
  <si>
    <t>Bread</t>
  </si>
  <si>
    <t>Artisanal Buns</t>
  </si>
  <si>
    <t>Ball Park White Hot Dog Buns</t>
  </si>
  <si>
    <t>Dave's Killer Bread Oats &amp; Blues</t>
  </si>
  <si>
    <t>Dave's Killer Bread Organic Oats &amp; Blues</t>
  </si>
  <si>
    <t>Gluten-Free Wide Pan Bread</t>
  </si>
  <si>
    <t>No [or possibly Nature's Own] Honey Wheat Bread</t>
  </si>
  <si>
    <t>Broth &amp; Stock</t>
  </si>
  <si>
    <t>Progresso Vegetable Broth</t>
  </si>
  <si>
    <t>Tabatchnick Classic Chicken Broth</t>
  </si>
  <si>
    <t>Cakes &amp; Pies</t>
  </si>
  <si>
    <t>GreenWise Flourless Chocolate Truffle</t>
  </si>
  <si>
    <t>Mini Pumpkin Cream Cheese Pie</t>
  </si>
  <si>
    <t>Canned Beans &amp; Legumes</t>
  </si>
  <si>
    <t>Dark Red Kidney Beans</t>
  </si>
  <si>
    <t>Organic Chickpeas</t>
  </si>
  <si>
    <t>Canned Tomatoes</t>
  </si>
  <si>
    <t>Hunt's Crushed Tomatoes</t>
  </si>
  <si>
    <t>Hunt's Tomato Paste</t>
  </si>
  <si>
    <t>Pets</t>
  </si>
  <si>
    <t>Cat Litter</t>
  </si>
  <si>
    <t>Purina Tidy Cats Clumping Cat Litter</t>
  </si>
  <si>
    <t>Purina Tidy Cats Free &amp; Clean Clumping Cat Litter</t>
  </si>
  <si>
    <t>Dairy</t>
  </si>
  <si>
    <t>Cheese</t>
  </si>
  <si>
    <t>Cabot Mexican Shredded Cheese</t>
  </si>
  <si>
    <t>Cracker Barrel Cracker Cuts Variety Pack</t>
  </si>
  <si>
    <t>Deli-Sliced Cheese</t>
  </si>
  <si>
    <t>Deli-Sliced Colby Jack Cheese</t>
  </si>
  <si>
    <t>Farmhouse Ranch Cheddar</t>
  </si>
  <si>
    <t>Shredded Mozzarella Cheese</t>
  </si>
  <si>
    <t>Coffee Creamer</t>
  </si>
  <si>
    <t>Starbucks Oatmilk Brown Sugar Creamer</t>
  </si>
  <si>
    <t>Contribution</t>
  </si>
  <si>
    <t>Contribution Shared Payment</t>
  </si>
  <si>
    <t>Cookies</t>
  </si>
  <si>
    <t>Half Moon Cookies</t>
  </si>
  <si>
    <t>Crackers</t>
  </si>
  <si>
    <t>Peanut Butter Toast Crackers</t>
  </si>
  <si>
    <t>Cream &amp; Half-and-Half</t>
  </si>
  <si>
    <t>Great Value Half &amp; Half</t>
  </si>
  <si>
    <t>Great Value Heavy Whipping Cream</t>
  </si>
  <si>
    <t>Publix Half &amp; Half, Half Gallon</t>
  </si>
  <si>
    <t>Cream Cheese</t>
  </si>
  <si>
    <t>Pumpkin Cream Cheese</t>
  </si>
  <si>
    <t>Croutons</t>
  </si>
  <si>
    <t>Organic Croutons</t>
  </si>
  <si>
    <t>Meat</t>
  </si>
  <si>
    <t>Deli Meat</t>
  </si>
  <si>
    <t>Hillshire Farm Oven Roasted Turkey Breast</t>
  </si>
  <si>
    <t>Deodorant</t>
  </si>
  <si>
    <t>Dove Men+Care Antiperspirant</t>
  </si>
  <si>
    <t>Condiments &amp; Seasonings</t>
  </si>
  <si>
    <t>Dips &amp; Spreads</t>
  </si>
  <si>
    <t>Hummus Mini Cups</t>
  </si>
  <si>
    <t>Mighty Sesame Organic Tahini</t>
  </si>
  <si>
    <t>Dishwashing Supplies</t>
  </si>
  <si>
    <t>Dawn Dish Cleaning Brush Wand</t>
  </si>
  <si>
    <t>Mainstays Kitchen Scrubber Dishcloth Set, 4-Pack</t>
  </si>
  <si>
    <t>Disposable Tableware</t>
  </si>
  <si>
    <t>Everyday Paper Plates, 8.5 Inch</t>
  </si>
  <si>
    <t>Great Value Paper Plates, 8.5 Inch</t>
  </si>
  <si>
    <t>Produce</t>
  </si>
  <si>
    <t>Dried Fruit</t>
  </si>
  <si>
    <t>Ocean Spray Craisins</t>
  </si>
  <si>
    <t>Sun-Maid Golden Raisins</t>
  </si>
  <si>
    <t>Eggs</t>
  </si>
  <si>
    <t>Great Value Large White Eggs</t>
  </si>
  <si>
    <t>Large Eggs</t>
  </si>
  <si>
    <t>Fees</t>
  </si>
  <si>
    <t>Fees &amp; Charges</t>
  </si>
  <si>
    <t>Driver Tip</t>
  </si>
  <si>
    <t>Express Delivery Fee</t>
  </si>
  <si>
    <t>Price Adjustment</t>
  </si>
  <si>
    <t>Sales Tax</t>
  </si>
  <si>
    <t>Tax</t>
  </si>
  <si>
    <t>Tip</t>
  </si>
  <si>
    <t>Food Storage</t>
  </si>
  <si>
    <t>Ziploc Gallon Freezer Bags</t>
  </si>
  <si>
    <t>Ziploc Quart Freezer Bags</t>
  </si>
  <si>
    <t>Fresh Beef</t>
  </si>
  <si>
    <t>Kosher Ground Beef 85/15</t>
  </si>
  <si>
    <t>Fresh Fruit</t>
  </si>
  <si>
    <t>Bananas</t>
  </si>
  <si>
    <t>Bartlett Pears</t>
  </si>
  <si>
    <t>Blueberries</t>
  </si>
  <si>
    <t>Golden Kiwi</t>
  </si>
  <si>
    <t>Green Grapes</t>
  </si>
  <si>
    <t>Mandarin Oranges</t>
  </si>
  <si>
    <t>Mandarins</t>
  </si>
  <si>
    <t>Mango</t>
  </si>
  <si>
    <t>Mini Seedless Watermelon</t>
  </si>
  <si>
    <t>Persian Limes</t>
  </si>
  <si>
    <t>Pink Lady Apples</t>
  </si>
  <si>
    <t>Raspberries</t>
  </si>
  <si>
    <t>Strawberries</t>
  </si>
  <si>
    <t>Strawberries, 1 lb</t>
  </si>
  <si>
    <t>Fresh Herbs</t>
  </si>
  <si>
    <t>Cilantro</t>
  </si>
  <si>
    <t>Parsley</t>
  </si>
  <si>
    <t>Fresh Poultry</t>
  </si>
  <si>
    <t>Empire Kosher Boneless Skinless Chicken Breast</t>
  </si>
  <si>
    <t>Empire Kosher Ground Turkey</t>
  </si>
  <si>
    <t>Empire Kosher Turkey Half</t>
  </si>
  <si>
    <t>Fish</t>
  </si>
  <si>
    <t>Fresh Seafood</t>
  </si>
  <si>
    <t>GreenWise Keta Salmon Fillet</t>
  </si>
  <si>
    <t>Salmon Fillet</t>
  </si>
  <si>
    <t>Salmon Portions</t>
  </si>
  <si>
    <t>Fresh Vegetables</t>
  </si>
  <si>
    <t>Baby Carrots</t>
  </si>
  <si>
    <t>Beefsteak Tomatoes</t>
  </si>
  <si>
    <t>Bell Peppers</t>
  </si>
  <si>
    <t>Broccoli Crowns</t>
  </si>
  <si>
    <t>Fresh Trimmed Green Beans</t>
  </si>
  <si>
    <t>Green Beans</t>
  </si>
  <si>
    <t>Green Onions</t>
  </si>
  <si>
    <t>Little Yellow Potatoes</t>
  </si>
  <si>
    <t>Marketside Baby Spinach</t>
  </si>
  <si>
    <t>Marketside Broccoli Florets</t>
  </si>
  <si>
    <t>Marketside Organic Baby Carrots</t>
  </si>
  <si>
    <t>Medley Potatoes</t>
  </si>
  <si>
    <t>Mini Cucumbers</t>
  </si>
  <si>
    <t>Multi-Color Peppers, 3-Pack</t>
  </si>
  <si>
    <t>Organic Celery Hearts</t>
  </si>
  <si>
    <t>Organic Kale</t>
  </si>
  <si>
    <t>Red Onion</t>
  </si>
  <si>
    <t>Red Onions</t>
  </si>
  <si>
    <t>Red Potatoes</t>
  </si>
  <si>
    <t>Ruby Sensation Potato Nibbles</t>
  </si>
  <si>
    <t>Spice World Fresh Peeled Garlic</t>
  </si>
  <si>
    <t>Sweet Onion</t>
  </si>
  <si>
    <t>Tomatoes on the Vine</t>
  </si>
  <si>
    <t>Yellow Squash</t>
  </si>
  <si>
    <t>Zucchini</t>
  </si>
  <si>
    <t>Fresh-Cut Fruit</t>
  </si>
  <si>
    <t>Pineapple &amp; Watermelon Spears</t>
  </si>
  <si>
    <t>Seedless Watermelon Wedge</t>
  </si>
  <si>
    <t>Frozen Food</t>
  </si>
  <si>
    <t>Frozen Appetizers</t>
  </si>
  <si>
    <t>Black Bean &amp; Cheese Taquitos</t>
  </si>
  <si>
    <t>Frozen</t>
  </si>
  <si>
    <t>Frozen Breakfast</t>
  </si>
  <si>
    <t>Van's Gluten Free Blueberry Waffles</t>
  </si>
  <si>
    <t>Frozen Desserts</t>
  </si>
  <si>
    <t>Klondike Double Chocolate Bar</t>
  </si>
  <si>
    <t>Yasso Greek Yogurt Bars, Coffee Chocolate Chip</t>
  </si>
  <si>
    <t>Yasso Greek Yogurt Bars, Mint Chocolate Chip</t>
  </si>
  <si>
    <t>Frozen Meat</t>
  </si>
  <si>
    <t>Applegate Chicken &amp; Maple Breakfast Sausage</t>
  </si>
  <si>
    <t>Frozen Pizza</t>
  </si>
  <si>
    <t>Cauliflower Crust Pizza</t>
  </si>
  <si>
    <t>Frozen Vegetables</t>
  </si>
  <si>
    <t>Birds Eye Steamfresh Sweet Peas</t>
  </si>
  <si>
    <t>Hair Care</t>
  </si>
  <si>
    <t>Head &amp; Shoulders</t>
  </si>
  <si>
    <t>Honest Company Conditioning Detangler</t>
  </si>
  <si>
    <t>Hand Soap</t>
  </si>
  <si>
    <t>Mrs. Meyer's Lemon Verbena Hand Soap</t>
  </si>
  <si>
    <t>Home Improvement</t>
  </si>
  <si>
    <t>Command Heavy Duty Picture Hangers</t>
  </si>
  <si>
    <t>Hot Dogs &amp; Sausages</t>
  </si>
  <si>
    <t>Hebrew National Beef Franks</t>
  </si>
  <si>
    <t>Hebrew National Bun Length Beef Franks</t>
  </si>
  <si>
    <t>Household Cleaners</t>
  </si>
  <si>
    <t>Swiffer Sweep + Mop Dry Pads Refill</t>
  </si>
  <si>
    <t>Weiman Granite &amp; Stone Cleaner &amp; Polish</t>
  </si>
  <si>
    <t>Jarred Vegetables</t>
  </si>
  <si>
    <t>Fire Roasted Red Peppers</t>
  </si>
  <si>
    <t>Torah</t>
  </si>
  <si>
    <t>Judaica</t>
  </si>
  <si>
    <t>Yehuda Sabbath Candles</t>
  </si>
  <si>
    <t>Macaroni &amp; Cheese</t>
  </si>
  <si>
    <t>Annie's Gluten-Free Deluxe Shells &amp; Cheddar</t>
  </si>
  <si>
    <t>Banza White Cheddar Shells</t>
  </si>
  <si>
    <t>Milk</t>
  </si>
  <si>
    <t>Fairlife Chocolate Milk</t>
  </si>
  <si>
    <t>Muffins &amp; Pastries</t>
  </si>
  <si>
    <t>Chocolate Babka</t>
  </si>
  <si>
    <t>Gluten-Free Blueberry Muffins</t>
  </si>
  <si>
    <t>Paper Towels</t>
  </si>
  <si>
    <t>Paper Towels, 2-Roll</t>
  </si>
  <si>
    <t>Pasta</t>
  </si>
  <si>
    <t>Barilla Gluten-Free Spaghetti</t>
  </si>
  <si>
    <t>Chickpea Fusilli Pasta</t>
  </si>
  <si>
    <t>Peanut Butter</t>
  </si>
  <si>
    <t>Jif No Sugar Added Creamy Peanut Butter</t>
  </si>
  <si>
    <t>Plant-Based Cheese</t>
  </si>
  <si>
    <t>Daiya Mexican Blend Shreds</t>
  </si>
  <si>
    <t>Plant-Based Milk</t>
  </si>
  <si>
    <t>Chobani Extra Creamy Oatmilk</t>
  </si>
  <si>
    <t>Silk Organic Unsweet Soymilk, Half Gallon</t>
  </si>
  <si>
    <t>Popcorn</t>
  </si>
  <si>
    <t>LesserEvil Popcorn</t>
  </si>
  <si>
    <t>LesserEvil Sweet &amp; Salty Popcorn</t>
  </si>
  <si>
    <t>Prepared Eating</t>
  </si>
  <si>
    <t>Prepared Coffee</t>
  </si>
  <si>
    <t>1 Caramel Macchiato</t>
  </si>
  <si>
    <t>1 Iced Caramel Macchiato</t>
  </si>
  <si>
    <t>Prepared Meals</t>
  </si>
  <si>
    <t>1 Chicken N French Toast</t>
  </si>
  <si>
    <t>1 Frenchy Plate</t>
  </si>
  <si>
    <t>Arctic Cyclone</t>
  </si>
  <si>
    <t>Cage-Free Scrambled Eggs</t>
  </si>
  <si>
    <t>Hot Fudge</t>
  </si>
  <si>
    <t>Papa John's Large NY Style 1-Topping Pizza</t>
  </si>
  <si>
    <t>Papa John's Pizza, Wings &amp; Cheesesticks</t>
  </si>
  <si>
    <t>Pineapple Dole Whip Cup</t>
  </si>
  <si>
    <t>Refrigerated Dough</t>
  </si>
  <si>
    <t>Pillsbury Flaky Biscuits</t>
  </si>
  <si>
    <t>Sweet Loren's Gluten Free Brownie Cookie Dough</t>
  </si>
  <si>
    <t>Refrigerated Pasta</t>
  </si>
  <si>
    <t>Giovanni Rana Cheese Tortellini</t>
  </si>
  <si>
    <t>Giovanni Rana Tortellini</t>
  </si>
  <si>
    <t>Rice &amp; Grains</t>
  </si>
  <si>
    <t>Mahatma Jasmine Rice</t>
  </si>
  <si>
    <t>Rice Cakes &amp; Crisps</t>
  </si>
  <si>
    <t>Quaker Rice Crisps Apple Cinnamon</t>
  </si>
  <si>
    <t>Quaker Rice Crisps Chocolate</t>
  </si>
  <si>
    <t>Salad Dressing</t>
  </si>
  <si>
    <t>Vinaigrette Dressing</t>
  </si>
  <si>
    <t>Salad Kits</t>
  </si>
  <si>
    <t>Complete Sweet Kale Salad Kit</t>
  </si>
  <si>
    <t>Fresh Express Avocado Twisted Caesar Chopped Salad Kit</t>
  </si>
  <si>
    <t>Marketside Classic Italian Salad Kit</t>
  </si>
  <si>
    <t>Publix Makoto Ginger Salad</t>
  </si>
  <si>
    <t>Publix True Bleu Salad Kit</t>
  </si>
  <si>
    <t>Taylor Farms Chopped Caesar Salad Kit</t>
  </si>
  <si>
    <t>Taylor Farms Everything Chopped Salad Kit</t>
  </si>
  <si>
    <t>Sauces &amp; Condiments</t>
  </si>
  <si>
    <t>Cholula Cremosa Cilantro Lime Sauce</t>
  </si>
  <si>
    <t>Kikkoman Teriyaki Marinade &amp; Sauce</t>
  </si>
  <si>
    <t>Seasonings &amp; Spices</t>
  </si>
  <si>
    <t>Great Value Organic Smoked Paprika</t>
  </si>
  <si>
    <t>Lawry's Garlic Salt</t>
  </si>
  <si>
    <t>McCormick Everything Bagel Seasoning</t>
  </si>
  <si>
    <t>McCormick Ground Cinnamon</t>
  </si>
  <si>
    <t>McCormick Sea Salt Grinder</t>
  </si>
  <si>
    <t>Peppercorn Grinder</t>
  </si>
  <si>
    <t>Salt Grinder</t>
  </si>
  <si>
    <t>Smoked Seafood</t>
  </si>
  <si>
    <t>Smoked Salmon with Pepper</t>
  </si>
  <si>
    <t>Snack Bars</t>
  </si>
  <si>
    <t>Fruit &amp; Grain Bars</t>
  </si>
  <si>
    <t>Nature's Bakery Gluten-Free Raspberry Fig Bars</t>
  </si>
  <si>
    <t>Snack Cakes</t>
  </si>
  <si>
    <t>Little Debbie Cosmic Brownies</t>
  </si>
  <si>
    <t>Specialty Cheese</t>
  </si>
  <si>
    <t>Feta Cheese Crumbles</t>
  </si>
  <si>
    <t>Goat Cheese Logs</t>
  </si>
  <si>
    <t>Storage &amp; Organization</t>
  </si>
  <si>
    <t>Collapsible Storage Container/Bin</t>
  </si>
  <si>
    <t>Sterilite 6-Quart Storage Bin</t>
  </si>
  <si>
    <t>Wine</t>
  </si>
  <si>
    <t>Häagen-Dazs Blackberry Ice Cream</t>
  </si>
  <si>
    <t>Magen David Blackberry Wine</t>
  </si>
  <si>
    <t>Mogen David Blackberry Wine</t>
  </si>
  <si>
    <t>Office Supplies</t>
  </si>
  <si>
    <t>Writing Supplies</t>
  </si>
  <si>
    <t>Gel Pens, 3-Pack</t>
  </si>
  <si>
    <t>Yogurt</t>
  </si>
  <si>
    <t>Chobani Black Cherry Greek Yogurt</t>
  </si>
  <si>
    <t>Chobani Flip 4-Pack</t>
  </si>
  <si>
    <t>Chobani Greek Yogurt 4-Pack, Hero Batch</t>
  </si>
  <si>
    <t>Chobani Hero Batch Greek Yogurt</t>
  </si>
  <si>
    <t>Chobani Key Lime Greek Yogurt</t>
  </si>
  <si>
    <t>Chobani Pineapple Greek Yogurt</t>
  </si>
  <si>
    <t>Chobani Protein Greek Yogurt Drink</t>
  </si>
  <si>
    <t>Chobani Protein Greek Yogurt Drink, Strawberries &amp; Cream</t>
  </si>
  <si>
    <t>Chobani Strawberry Banana Greek Yogurt</t>
  </si>
  <si>
    <t>Chobani Vanilla Mixed Berry Greek Yogurt</t>
  </si>
  <si>
    <t>Stonyfield Organic YoBaby Yogurt Pouch, Banana</t>
  </si>
  <si>
    <t>Stonyfield Organic YoBaby Yogurt Pouch, Peach</t>
  </si>
  <si>
    <t>Total</t>
  </si>
  <si>
    <t>Store</t>
  </si>
  <si>
    <t>Six-Digit SKU</t>
  </si>
  <si>
    <t>Product</t>
  </si>
  <si>
    <t>Tax Code</t>
  </si>
  <si>
    <t>Store Number</t>
  </si>
  <si>
    <t>Common Name</t>
  </si>
  <si>
    <t>Date 1</t>
  </si>
  <si>
    <t>Price 1</t>
  </si>
  <si>
    <t>Date 2</t>
  </si>
  <si>
    <t>Price 2</t>
  </si>
  <si>
    <t>Date 3</t>
  </si>
  <si>
    <t>Price 3</t>
  </si>
  <si>
    <t>Date 4</t>
  </si>
  <si>
    <t>Price 4</t>
  </si>
  <si>
    <t>Date 5</t>
  </si>
  <si>
    <t>Price 5</t>
  </si>
  <si>
    <t>Date 6</t>
  </si>
  <si>
    <t>Price 6</t>
  </si>
  <si>
    <t>Walmart</t>
  </si>
  <si>
    <t>NA</t>
  </si>
  <si>
    <t>GHIRARDELLI Gluten Free Double Chocolate Brownie Mix, Gluten Free Baking Mix, Includes Chocolate Chips, 18 oz Box 20 shopped Qty1</t>
  </si>
  <si>
    <t>0</t>
  </si>
  <si>
    <t>Pampers Swaddlers Fragrance Free Baby Diapers Size 5, 100 Count (Select for More Options) 20 shopped Qty1</t>
  </si>
  <si>
    <t>Chobani Oatmilk Extra Creamy 52 floz Carton 20 shopped aty1</t>
  </si>
  <si>
    <t>Nestle Toll House Dark Chocolate Regular Baking Chips, 10 oz Bag 20 shopped Qty1</t>
  </si>
  <si>
    <t>McCormick Sea Salt Grinder, oz Bottle 20 shopped aty1</t>
  </si>
  <si>
    <t>Fresh Banana, Each 7 weight adjusted Qty7</t>
  </si>
  <si>
    <t>3 hours orless</t>
  </si>
  <si>
    <t>diff</t>
  </si>
  <si>
    <t>Safety 1 Soft Grip Brush &amp; Comb, Artic Blue</t>
  </si>
  <si>
    <t>The Honest Company Conditioning Detangler Sweet Cream Comfort 4 floz</t>
  </si>
  <si>
    <t>Nestle Toll House Organic Allergen Free Dark Chocolate Regular Baking Chips, Morsels for Baking, 9 oz Bag</t>
  </si>
  <si>
    <t>Purina Tidy Cats With Glade Clear Springs Scented, Odor Control, Clumping Multi-Cat Litter 20 shopped Qty2</t>
  </si>
  <si>
    <t>Lawry's Kosher Coarse Ground With Parsley Garlic Salt, 6.0 oz Bottle</t>
  </si>
  <si>
    <t>Huggies Natural Care Sensitive Baby Wipes, Unscented, 3 Flip-Top Packs, 168 Count 20 shopped Qty1</t>
  </si>
  <si>
    <t>Desitin Maximum Strength Diaper Rash Cream, 40% Zinc Oxide, 4.8 oz</t>
  </si>
  <si>
    <t>fairlife Lactose Free Reduced Fat Chocolate Ultra Filtered Milk, 52 floz</t>
  </si>
  <si>
    <t>Dove Body Wash For 24hr Lotion-Soft Skin Sensitive Skin Moisturizing Skin Cleanser Gentle Hypoallergenic Formula With</t>
  </si>
  <si>
    <t>No Sulfates No Parabens, 11 Floz</t>
  </si>
  <si>
    <t>Great Value Large White Eggs 36 Count 20 shopped Qty1</t>
  </si>
  <si>
    <t>Chobani 20G Protein Low-Fat Greek Yogurt Drink, Strawberries and Cream 10 fl oz Bottle, 4 Pack</t>
  </si>
  <si>
    <t>Fresh Mandarin Oranges, 5 lb Bag 20 shopped Qty1</t>
  </si>
  <si>
    <t>Fresh Pink Lady Apples, 3lb Bag 20 shopped Qty1</t>
  </si>
  <si>
    <t>CeraVe Baby Healing Ointment for Diaper Rash &amp; Cracked Chafed Dry Skin for Baby + Toddler 3 oz</t>
  </si>
  <si>
    <t>GHIRARDELLI Gluten Free Double Chocolate Brownie Mix, Gluten Free Baking Mix, Includes Chocolate Chips, 18 oz Box</t>
  </si>
  <si>
    <t>Pampers Swaddlers Fragrance Free Baby Diapers Size 5, 100 Count (Select for More Options</t>
  </si>
  <si>
    <t>Chobani Oatmitk Extra Creamy 52 floz Carton 20 shopped Qty1</t>
  </si>
  <si>
    <t>Nestle Tolt House Dark Chocolate Regular Baking Chips, 10 oz Bag 20 shopped Qty1</t>
  </si>
  <si>
    <t>Applegate Natural Chicken &amp; Maple Breakfast Sausage Patties, 16 oz, GF, Resealable Bag (Frozen), About 15 Pieces per Bag</t>
  </si>
  <si>
    <t>McCormick Sea Salt Grinder, oz Bottle 20 shopped Qty1</t>
  </si>
  <si>
    <t>3 hours or less</t>
  </si>
  <si>
    <t>Nature's Bakery Gluten Free Raspberry Fig Bars in Twin pack Box, 20z Each 36 shopped Qty1</t>
  </si>
  <si>
    <t>Mahatma Jasmine Rice, Thai Fragrant Long Grain Rice, Gluten Free, 80 oz Bag (5 lbs</t>
  </si>
  <si>
    <t>Hillshire Farm Ultra Thin Oven Roasted Turkey Breast Lunchmeat, 16 oz Plastic Tub, Refrigerated</t>
  </si>
  <si>
    <t>Hebrew National 100% Kosher Beef Franks, Hot Dogs, 10.3 oz 6 Count</t>
  </si>
  <si>
    <t>Dave's Killer Bread Organic Oats &amp; Blues Regular Size Loaf, 25 oz, USDA Organic</t>
  </si>
  <si>
    <t>Birds Eye Steamfresh Sweet Peas, Frozen Vegetables, 10 oz. Bag</t>
  </si>
  <si>
    <t>Cabot Creamery 4 Cheese Mexican Shredded Cheddar Cheese 2 lb (Refrigerated</t>
  </si>
  <si>
    <t>Ziploc Brand Slider Gallon Freezer Food Storage Bags, School Supplies, with Power Shield Technology, 40 Count</t>
  </si>
  <si>
    <t>Ziploc Brand Freezer Food Storage Bags, School Supplies, with Grip 'n Seal Technology, Zipper, Quart, 50 Count</t>
  </si>
  <si>
    <t>Fresh Mini Cucumbers, 16 oz</t>
  </si>
  <si>
    <t>2 pack) Yehuda Sabbath Candles,12ct</t>
  </si>
  <si>
    <t>T</t>
  </si>
  <si>
    <t>Fresh Yellow Squash, Each 11 weight adjusted aty1</t>
  </si>
  <si>
    <t>Fresh Zucchini, Each 11 weight adjusted aty1</t>
  </si>
  <si>
    <t>Fresh Whole Red Onion, Each</t>
  </si>
  <si>
    <t>Fresh Tomato on the Vine, Bag (1.9 lbs/Bag Est.) 11 weight adjusted Qty1</t>
  </si>
  <si>
    <t>Fresh Banana, Each 11 weight adjusted Qty7</t>
  </si>
  <si>
    <t>Aldi</t>
  </si>
  <si>
    <t>383212</t>
  </si>
  <si>
    <t>GF Wide Pan Bread</t>
  </si>
  <si>
    <t>160</t>
  </si>
  <si>
    <t>356691</t>
  </si>
  <si>
    <t>356689</t>
  </si>
  <si>
    <t>356421</t>
  </si>
  <si>
    <t>356537</t>
  </si>
  <si>
    <t>856508</t>
  </si>
  <si>
    <t>356496</t>
  </si>
  <si>
    <t>344280</t>
  </si>
  <si>
    <t>Cauli Crust Pizza</t>
  </si>
  <si>
    <t>356427</t>
  </si>
  <si>
    <t>Multi-Peppers 3pk</t>
  </si>
  <si>
    <t>356591</t>
  </si>
  <si>
    <t>Pink Lady Apple</t>
  </si>
  <si>
    <t>356488</t>
  </si>
  <si>
    <t>341979</t>
  </si>
  <si>
    <t>Pine/Water Spears</t>
  </si>
  <si>
    <t>356504</t>
  </si>
  <si>
    <t>356374</t>
  </si>
  <si>
    <t>343738</t>
  </si>
  <si>
    <t>Humus Mini Cups</t>
  </si>
  <si>
    <t>262747</t>
  </si>
  <si>
    <t>Bananas LRW</t>
  </si>
  <si>
    <t>328752</t>
  </si>
  <si>
    <t>856609</t>
  </si>
  <si>
    <t>739153</t>
  </si>
  <si>
    <t>381343</t>
  </si>
  <si>
    <t>Dark Red Kidney</t>
  </si>
  <si>
    <t>381359</t>
  </si>
  <si>
    <t>Vinaigrette Drssng</t>
  </si>
  <si>
    <t>356578</t>
  </si>
  <si>
    <t>Parsley each</t>
  </si>
  <si>
    <t>400462</t>
  </si>
  <si>
    <t>OG Croutons</t>
  </si>
  <si>
    <t>344583</t>
  </si>
  <si>
    <t>Evryd Plate 8.5in</t>
  </si>
  <si>
    <t>384545</t>
  </si>
  <si>
    <t>NO Honey Wheat Brd</t>
  </si>
  <si>
    <t>730325</t>
  </si>
  <si>
    <t>3pk_Gel Pens</t>
  </si>
  <si>
    <t>720921</t>
  </si>
  <si>
    <t>PB Toast Crackers FA</t>
  </si>
  <si>
    <t>383548</t>
  </si>
  <si>
    <t>713372</t>
  </si>
  <si>
    <t>Feta Crumbles</t>
  </si>
  <si>
    <t>CollapsibleStorage</t>
  </si>
  <si>
    <t>Trader Joe's</t>
  </si>
  <si>
    <t>R-STRAWBERRIES 1 LB</t>
  </si>
  <si>
    <t>0848</t>
  </si>
  <si>
    <t>FIRE ROASTED RED PEPPERS</t>
  </si>
  <si>
    <t>PASTA CHICKPEA FUSILLI</t>
  </si>
  <si>
    <t>Publix</t>
  </si>
  <si>
    <t>Stony Yobaby Pouch Peach</t>
  </si>
  <si>
    <t>F</t>
  </si>
  <si>
    <t>1058</t>
  </si>
  <si>
    <t>Stony Yobaby Pouch Banana</t>
  </si>
  <si>
    <t>Sweet Loren's Gf Brownie</t>
  </si>
  <si>
    <t>Vans Waffle Blueberry Gf</t>
  </si>
  <si>
    <t>Chobani 4Pk Hero Batch</t>
  </si>
  <si>
    <t>Driver tip</t>
  </si>
  <si>
    <t>Command Heavy Duty Picture Hangers, Hold 20 tbs, Black, Damage-Free Hanging, 8 Pairs Adhesive Strips</t>
  </si>
  <si>
    <t>Dove Men+Care Antiperspirant Deodorant Stick 72-Hour Sweat &amp; Odor Protection Clean Comfort Antiperspirant For Men</t>
  </si>
  <si>
    <t>Dawn Ultra 11" Puff Glassware and Dish Cleaning Brush Wand with Sponge Head</t>
  </si>
  <si>
    <t>Once Upon a Farm Organic Tractor Wheels Toddler Bar, Apple, Sweet Potato &amp; Spinach, 10ct</t>
  </si>
  <si>
    <t>Weiman Granite &amp; Stone Disinfectant Cleaner &amp; Polish, 24 floz</t>
  </si>
  <si>
    <t>Chobani Low-Fat Vanilla Greek Yogurt Mixed Berry On The Bottom, Hero Batch z 4PK</t>
  </si>
  <si>
    <t>Fresh Banana, Each 4 weight adjusted aty4</t>
  </si>
  <si>
    <t>Honey Pineapple</t>
  </si>
  <si>
    <t>LF</t>
  </si>
  <si>
    <t>Jif Nsa P/B Creamy</t>
  </si>
  <si>
    <t>120</t>
  </si>
  <si>
    <t>King Arth G/ Pnck Hix</t>
  </si>
  <si>
    <t>Bagged Green Beans</t>
  </si>
  <si>
    <t>Potato Nibbles Ruby Sensa</t>
  </si>
  <si>
    <t>Cholula Cremosa Gltro Lme</t>
  </si>
  <si>
    <t>Mc Sig Evrythng Bgel Ssng</t>
  </si>
  <si>
    <t>Banza White Cheddar Shel</t>
  </si>
  <si>
    <t>anza White Cheddar Shel</t>
  </si>
  <si>
    <t>Annie's Dlx Shi&amp;Chd Gf</t>
  </si>
  <si>
    <t>Annie's Dlx Shl&amp;Chd Gf</t>
  </si>
  <si>
    <t>Gw Keta Salmon Fillet</t>
  </si>
  <si>
    <t>Daiya Shreds Mexican Bld</t>
  </si>
  <si>
    <t>Tf Caesar Salad Kit Chop F</t>
  </si>
  <si>
    <t>Tf Everything Salad Chop</t>
  </si>
  <si>
    <t>TF</t>
  </si>
  <si>
    <t>Hagen David Blackberry</t>
  </si>
  <si>
    <t>Publix Half&amp;Half Hg</t>
  </si>
  <si>
    <t>Silk Soy Organic Nsa Hg</t>
  </si>
  <si>
    <t>Starbucks Oat Brwn Sugar</t>
  </si>
  <si>
    <t>Quak Rice Crisp App/Cinn</t>
  </si>
  <si>
    <t>Quak Rice Crisp Chocolate</t>
  </si>
  <si>
    <t>Klond Bar Dble Chocolate FT</t>
  </si>
  <si>
    <t>Yasso Grk Yog Bar Coff Co FT</t>
  </si>
  <si>
    <t>Yasso Grk Yog Bar Mntchep FT</t>
  </si>
  <si>
    <t>Dkb Org Oats &amp; Blues Brd</t>
  </si>
  <si>
    <t>Pbx True Bleu Salad Kt</t>
  </si>
  <si>
    <t>Pbx Makoto Ginger Sld</t>
  </si>
  <si>
    <t>Beans Green Fresh Trimmed</t>
  </si>
  <si>
    <t>Watermelan Seedless Wedge</t>
  </si>
  <si>
    <t>limes Persian</t>
  </si>
  <si>
    <t>Dt Sp Smk Salmon PeppaG</t>
  </si>
  <si>
    <t>L/Deb Cosmic Browniés</t>
  </si>
  <si>
    <t>Magen David Blackberry</t>
  </si>
  <si>
    <t>Ka Flour Bread Unbl 10Lb</t>
  </si>
  <si>
    <t>Sales Tax 7%</t>
  </si>
  <si>
    <t>701574</t>
  </si>
  <si>
    <t>Frmhse Rnch Chd</t>
  </si>
  <si>
    <t>238</t>
  </si>
  <si>
    <t>356457</t>
  </si>
  <si>
    <t>356686</t>
  </si>
  <si>
    <t>Little Yellows</t>
  </si>
  <si>
    <t>Multi-Peppers 3</t>
  </si>
  <si>
    <t>396384</t>
  </si>
  <si>
    <t>Green Grapes LRW</t>
  </si>
  <si>
    <t>356417</t>
  </si>
  <si>
    <t>692109</t>
  </si>
  <si>
    <t>Org Celery Heart</t>
  </si>
  <si>
    <t>466249</t>
  </si>
  <si>
    <t>399518</t>
  </si>
  <si>
    <t>Salt Grinders</t>
  </si>
  <si>
    <t>399025</t>
  </si>
  <si>
    <t>Brocoli Crowns</t>
  </si>
  <si>
    <t>Banannas LRW</t>
  </si>
  <si>
    <t>Artisinal Buns</t>
  </si>
  <si>
    <t>Pil Flaky Biscuits</t>
  </si>
  <si>
    <t>383249</t>
  </si>
  <si>
    <t>Deli Sliced CoJack</t>
  </si>
  <si>
    <t>383252</t>
  </si>
  <si>
    <t>Deli Sliced Cheese</t>
  </si>
  <si>
    <t>382473</t>
  </si>
  <si>
    <t>Shredded Mozz</t>
  </si>
  <si>
    <t>380809</t>
  </si>
  <si>
    <t>2 Roll Paper Towel</t>
  </si>
  <si>
    <t>272135</t>
  </si>
  <si>
    <t>388137</t>
  </si>
  <si>
    <t>EMPIRE KOSHER GROUND TRK</t>
  </si>
  <si>
    <t>MUFFIN BLUEBERRY GLUTEN</t>
  </si>
  <si>
    <t>TAQUITOS BLACK BEAN &amp; CH</t>
  </si>
  <si>
    <t>EMPIRE KOSHER TRKY HALF</t>
  </si>
  <si>
    <t>EMPIRE KOSHER BNL/SKNL B</t>
  </si>
  <si>
    <t>BEEF KOSHER GROUND 85/15</t>
  </si>
  <si>
    <t>CHOCOLATE BABKA</t>
  </si>
  <si>
    <t>R-SALAD COMPLETE SWEET K</t>
  </si>
  <si>
    <t>HALF MOON  COOKIES</t>
  </si>
  <si>
    <t xml:space="preserve">HOL PUMPKIN CREAM CHEESE </t>
  </si>
  <si>
    <t>Chobani Fob 0% Blk Chry</t>
  </si>
  <si>
    <t>Mc Cinn Grnd 2.370oz</t>
  </si>
  <si>
    <t>Chobani Fob 2% Pineappple</t>
  </si>
  <si>
    <t>Chobani Hero Batch Fob</t>
  </si>
  <si>
    <t>Chobani Blnd  2% Key Lime</t>
  </si>
  <si>
    <t>Chobani Fob 2% Stwbry Ban</t>
  </si>
  <si>
    <t>Chobani 20G Drk 4pk Straw</t>
  </si>
  <si>
    <t xml:space="preserve">Sm Raisins Golden </t>
  </si>
  <si>
    <t>Cho 4pk Flip Lto</t>
  </si>
  <si>
    <t>PapaJohns</t>
  </si>
  <si>
    <t>Large NY Style 1-Topping Pizza</t>
  </si>
  <si>
    <t>Pizza + Wings + Cheesesticks</t>
  </si>
  <si>
    <t>SurfinTurtle</t>
  </si>
  <si>
    <t>Hot Fudge ($</t>
  </si>
  <si>
    <t>Sales Tax (7%) $</t>
  </si>
  <si>
    <t>Chobani 20G Drk 4PK Straw</t>
  </si>
  <si>
    <t>Meyers Hand Soap Lemon</t>
  </si>
  <si>
    <t>Tums Chwy Bites Brry 60ct</t>
  </si>
  <si>
    <t>Purina Tidy Cats Free and Clean Clumping Cat Litter</t>
  </si>
  <si>
    <t>Nature's Bakery Gluten Free Raspberry Fig Bars</t>
  </si>
  <si>
    <t>Swiffer Sweep + Mop, Dry Pads Refill</t>
  </si>
  <si>
    <t>Fresh Mini Seedless Watermelon</t>
  </si>
  <si>
    <t>Chobani Low-Fat Vanilla Greek Yogurt Mixed Berry On The Bottom</t>
  </si>
  <si>
    <t>Marketside Fresh Baby Spinach</t>
  </si>
  <si>
    <t>Fresh Whole Green Onion</t>
  </si>
  <si>
    <t>Organic Marketside Fresh Baby Peeled Carrots</t>
  </si>
  <si>
    <t>Mighty Sesame Fine Organic Sesame Tahini</t>
  </si>
  <si>
    <t>Tabatchnick Classic Wholesome Chicken Broth</t>
  </si>
  <si>
    <t>Barilla Gluten Free Spaghetti Pasta</t>
  </si>
  <si>
    <t>Great Value Organic Smoked Paprika Seasoning</t>
  </si>
  <si>
    <t>Ocean Spray® Craisins®</t>
  </si>
  <si>
    <t>Great Value 8.5 Inch Disposable Paper Plates</t>
  </si>
  <si>
    <t>Sterilite 6 Quart Small Storage Bin</t>
  </si>
  <si>
    <t>Mainstays 4 Pack Kitchen Scrubber Dishcloth Set</t>
  </si>
  <si>
    <t>Great Value Half and Half</t>
  </si>
  <si>
    <t>Cracker Barrel Cracker Cuts Variety Pack Cheese Snacks</t>
  </si>
  <si>
    <t>Fresh Pink Lady Apples</t>
  </si>
  <si>
    <t>Fresh Whole Red Potatoes</t>
  </si>
  <si>
    <t>Fresh Blueberries</t>
  </si>
  <si>
    <t>Fresh Bell Peppers</t>
  </si>
  <si>
    <t>Fresh Pears Bartlett Bulk</t>
  </si>
  <si>
    <t>Fresh Tomato on the Vine</t>
  </si>
  <si>
    <t>Fresh Whole Sweet Onion</t>
  </si>
  <si>
    <t>Fresh Whole Red Onion</t>
  </si>
  <si>
    <t>Fresh Banana</t>
  </si>
  <si>
    <t>L3HAtriumCafe</t>
  </si>
  <si>
    <t>Cage Free Scrambled Eggs</t>
  </si>
  <si>
    <t>Mogen David B1 Blackberry</t>
  </si>
  <si>
    <t>Gw Flourless Choc Truffle</t>
  </si>
  <si>
    <t>Pamp Swaddler Sz5 Bag</t>
  </si>
  <si>
    <t>Chobani 20G Drk</t>
  </si>
  <si>
    <t>Mini Pumpkin Cc Pie</t>
  </si>
  <si>
    <t>18 Mylar Balloon</t>
  </si>
  <si>
    <t>SB OAT BROWN SUGAR</t>
  </si>
  <si>
    <t>1688</t>
  </si>
  <si>
    <t>RANA CHEESE TORTEL</t>
  </si>
  <si>
    <t>PROG VEG BROTH</t>
  </si>
  <si>
    <t>LSR EVL  SWT/SLT PN</t>
  </si>
  <si>
    <t>Cosco</t>
  </si>
  <si>
    <t>Pampers Swaddlers Ultra Diapers Sizes</t>
  </si>
  <si>
    <t>ShopGraph Spending Analytics</t>
  </si>
  <si>
    <t>Total Spending</t>
  </si>
  <si>
    <t>Purchase Observations</t>
  </si>
  <si>
    <t>Date Range</t>
  </si>
  <si>
    <t>Stores</t>
  </si>
  <si>
    <t>Categories</t>
  </si>
  <si>
    <t>09/03/2026 - 09/20/2026</t>
  </si>
  <si>
    <t>Number / Month</t>
  </si>
  <si>
    <t>How to Read This Graph</t>
  </si>
  <si>
    <t>#</t>
  </si>
  <si>
    <t>Description</t>
  </si>
  <si>
    <t>Value</t>
  </si>
  <si>
    <t>September 2026</t>
  </si>
  <si>
    <t>$929.62</t>
  </si>
  <si>
    <t>What it represents</t>
  </si>
  <si>
    <t>Shows total household spending for each calendar month. Every valid Date N / Price N purchase observation is added to its month.</t>
  </si>
  <si>
    <t>How to read it</t>
  </si>
  <si>
    <t>The x-axis uses month numbers instead of month names to keep the graph clear. Match each number to the month and dollar total in the key. A rising line means monthly spending increased; a falling line means it decreased.</t>
  </si>
  <si>
    <t>What it is useful for</t>
  </si>
  <si>
    <t>Use this to identify overall spending trends, unusually expensive months, and whether spending is gradually moving up or down over time.</t>
  </si>
  <si>
    <t>Notes</t>
  </si>
  <si>
    <t>Months with no spending between the earliest and latest purchase dates are included as zero-spend months.</t>
  </si>
  <si>
    <t>Number / Category</t>
  </si>
  <si>
    <t>$137.88</t>
  </si>
  <si>
    <t>$127.81</t>
  </si>
  <si>
    <t>Compares total spending across every category in Purchase History. No categories are collapsed into an 'Other' group.</t>
  </si>
  <si>
    <t>$110.57</t>
  </si>
  <si>
    <t>$76.93</t>
  </si>
  <si>
    <t>$71.79</t>
  </si>
  <si>
    <t>$60.90</t>
  </si>
  <si>
    <t>$59.78</t>
  </si>
  <si>
    <t>$36.71</t>
  </si>
  <si>
    <t>Each horizontal bar is identified by a number and color. Use the key to map that number/color to the category name and exact spending amount. Longer bars mean more money was spent in that category.</t>
  </si>
  <si>
    <t>$31.81</t>
  </si>
  <si>
    <t>$30.69</t>
  </si>
  <si>
    <t>$30.54</t>
  </si>
  <si>
    <t>$29.22</t>
  </si>
  <si>
    <t>$25.94</t>
  </si>
  <si>
    <t>$21.08</t>
  </si>
  <si>
    <t>Use this to see which types of goods are the biggest drivers of household spending.</t>
  </si>
  <si>
    <t>$19.48</t>
  </si>
  <si>
    <t>$17.87</t>
  </si>
  <si>
    <t>$14.38</t>
  </si>
  <si>
    <t>$14.05</t>
  </si>
  <si>
    <t>$8.20</t>
  </si>
  <si>
    <t>$3.99</t>
  </si>
  <si>
    <t>Number / Store</t>
  </si>
  <si>
    <t>$324.61</t>
  </si>
  <si>
    <t>$262.92</t>
  </si>
  <si>
    <t>Compares how much money was spent at each retailer across the entire Purchase History.</t>
  </si>
  <si>
    <t>$125.58</t>
  </si>
  <si>
    <t>$97.13</t>
  </si>
  <si>
    <t>$56.70</t>
  </si>
  <si>
    <t>$46.79</t>
  </si>
  <si>
    <t>$13.30</t>
  </si>
  <si>
    <t>$2.59</t>
  </si>
  <si>
    <t>Each store is represented by a numbered colored bar. Match the number/color to the key. Longer bars indicate more total spending at that store.</t>
  </si>
  <si>
    <t>Use this to understand which retailers receive the largest share of your household shopping budget.</t>
  </si>
  <si>
    <t>Store Number is intentionally ignored here; purchases are grouped by the Store name.</t>
  </si>
  <si>
    <t>$137.88 (14.8%)</t>
  </si>
  <si>
    <t>$127.81 (13.7%)</t>
  </si>
  <si>
    <t>Shows each category's share of total spending as part of the whole shopping budget.</t>
  </si>
  <si>
    <t>$110.57 (11.9%)</t>
  </si>
  <si>
    <t>$76.93 (8.3%)</t>
  </si>
  <si>
    <t>$71.79 (7.7%)</t>
  </si>
  <si>
    <t>$60.90 (6.6%)</t>
  </si>
  <si>
    <t>$59.78 (6.4%)</t>
  </si>
  <si>
    <t>$36.71 (3.9%)</t>
  </si>
  <si>
    <t>The doughnut itself displays only numeric category codes. Match each number/color to the key for the category name, dollar amount, and percentage of total spending.</t>
  </si>
  <si>
    <t>$31.81 (3.4%)</t>
  </si>
  <si>
    <t>$30.69 (3.3%)</t>
  </si>
  <si>
    <t>$30.54 (3.3%)</t>
  </si>
  <si>
    <t>$29.22 (3.1%)</t>
  </si>
  <si>
    <t>$25.94 (2.8%)</t>
  </si>
  <si>
    <t>$21.08 (2.3%)</t>
  </si>
  <si>
    <t>Use this for a fast visual picture of the household spending mix—especially which categories take the largest portion of the budget.</t>
  </si>
  <si>
    <t>$19.48 (2.1%)</t>
  </si>
  <si>
    <t>$17.87 (1.9%)</t>
  </si>
  <si>
    <t>$14.38 (1.5%)</t>
  </si>
  <si>
    <t>$14.05 (1.5%)</t>
  </si>
  <si>
    <t>$8.20 (0.9%)</t>
  </si>
  <si>
    <t>$3.99 (0.4%)</t>
  </si>
  <si>
    <t>Unlike the older dashboard, this graph does not create a large 'Other' slice. Every category receives its own numbered segment.</t>
  </si>
  <si>
    <t>Number / Product</t>
  </si>
  <si>
    <t>$46.91</t>
  </si>
  <si>
    <t>Ranks the ten individual product identities with the most accumulated spending across all recorded purchases.</t>
  </si>
  <si>
    <t>$39.37</t>
  </si>
  <si>
    <t>$35.97</t>
  </si>
  <si>
    <t>$27.96</t>
  </si>
  <si>
    <t>$22.11</t>
  </si>
  <si>
    <t>$21.98</t>
  </si>
  <si>
    <t>Each product is represented by a numbered colored bar. Use the key to see the product name and its total spending. The longest bar is the largest individual spending driver.</t>
  </si>
  <si>
    <t>$21.74</t>
  </si>
  <si>
    <t>$20.37</t>
  </si>
  <si>
    <t>Use this to identify specific products that contribute the most to total spending and may be worth price-comparing or watching over time.</t>
  </si>
  <si>
    <t>Product identity prefers Common Name and falls back to Product when Common Name is unavailable.</t>
  </si>
  <si>
    <t>Store Numbers + Month Numbers</t>
  </si>
  <si>
    <t>Shows how monthly spending is divided among stores. Each column is one month; each colored section inside the column represents one store.</t>
  </si>
  <si>
    <t>Store series use the numbered color key. The x-axis uses month numbers. Match those month numbers to the month rows in the key. The total height of a column is total monthly spending; the colored portions show which stores made up that total.</t>
  </si>
  <si>
    <t>Month September 2026</t>
  </si>
  <si>
    <t>Use this to see whether changes in monthly spending are connected to a particular store and how your retailer mix changes over time.</t>
  </si>
  <si>
    <t>All stores are retained. There is no catch-all 'Other' store series.</t>
  </si>
  <si>
    <t>42</t>
  </si>
  <si>
    <t>29</t>
  </si>
  <si>
    <t>Counts how many valid purchase observations occurred in each category. This measures frequency, not dollars.</t>
  </si>
  <si>
    <t>16</t>
  </si>
  <si>
    <t>9</t>
  </si>
  <si>
    <t>7</t>
  </si>
  <si>
    <t>6</t>
  </si>
  <si>
    <t>Each category is a numbered colored bar. Match the number and color to the key. A longer bar means the category was purchased more frequently.</t>
  </si>
  <si>
    <t>3</t>
  </si>
  <si>
    <t>2</t>
  </si>
  <si>
    <t>Use this alongside Spending by Category to distinguish frequent routine purchases from categories that are bought less often but cost more.</t>
  </si>
  <si>
    <t>1</t>
  </si>
  <si>
    <t>Monthly Spending</t>
  </si>
  <si>
    <t>Spending by Category</t>
  </si>
  <si>
    <t>Spending by Store</t>
  </si>
  <si>
    <t>Spending Share by Category</t>
  </si>
  <si>
    <t>Top Products by Spending</t>
  </si>
  <si>
    <t>Purchase Frequency by Category</t>
  </si>
  <si>
    <t>Monthly Spending by Store</t>
  </si>
  <si>
    <t>Number</t>
  </si>
  <si>
    <t>Month</t>
  </si>
  <si>
    <t>Spending</t>
  </si>
  <si>
    <t>Purchases</t>
  </si>
  <si>
    <t>Month Number</t>
  </si>
  <si>
    <t>4</t>
  </si>
  <si>
    <t>5</t>
  </si>
  <si>
    <t>8</t>
  </si>
  <si>
    <t>ShopGraph Sub Analytics</t>
  </si>
  <si>
    <t>Sub-Categories</t>
  </si>
  <si>
    <t>Number / Sub-Category</t>
  </si>
  <si>
    <t>$68.86</t>
  </si>
  <si>
    <t>Compares total spending across every sub-category in Purchase History. No sub-categories are collapsed into an 'Other' group.</t>
  </si>
  <si>
    <t>$54.91</t>
  </si>
  <si>
    <t>$52.83</t>
  </si>
  <si>
    <t>$48.17</t>
  </si>
  <si>
    <t>$43.72</t>
  </si>
  <si>
    <t>Each horizontal bar is identified by a number and color. Use the key to map that number/color to the sub-category name and exact spending amount. Longer bars mean more money was spent in that sub-category.</t>
  </si>
  <si>
    <t>$30.47</t>
  </si>
  <si>
    <t>$25.82</t>
  </si>
  <si>
    <t>$24.18</t>
  </si>
  <si>
    <t>$22.25</t>
  </si>
  <si>
    <t>$19.57</t>
  </si>
  <si>
    <t>$18.74</t>
  </si>
  <si>
    <t>$18.04</t>
  </si>
  <si>
    <t>$13.38</t>
  </si>
  <si>
    <t>$11.72</t>
  </si>
  <si>
    <t>$11.59</t>
  </si>
  <si>
    <t>$11.53</t>
  </si>
  <si>
    <t>$9.96</t>
  </si>
  <si>
    <t>$9.94</t>
  </si>
  <si>
    <t>$8.42</t>
  </si>
  <si>
    <t>$8.29</t>
  </si>
  <si>
    <t>$7.97</t>
  </si>
  <si>
    <t>$6.98</t>
  </si>
  <si>
    <t>$6.97</t>
  </si>
  <si>
    <t>$5.99</t>
  </si>
  <si>
    <t>$5.97</t>
  </si>
  <si>
    <t>$5.78</t>
  </si>
  <si>
    <t>$5.74</t>
  </si>
  <si>
    <t>$5.58</t>
  </si>
  <si>
    <t>$5.34</t>
  </si>
  <si>
    <t>$4.99</t>
  </si>
  <si>
    <t>$4.49</t>
  </si>
  <si>
    <t>$4.25</t>
  </si>
  <si>
    <t>$3.89</t>
  </si>
  <si>
    <t>$3.77</t>
  </si>
  <si>
    <t>$3.58</t>
  </si>
  <si>
    <t>$3.38</t>
  </si>
  <si>
    <t>$3.32</t>
  </si>
  <si>
    <t>$3.19</t>
  </si>
  <si>
    <t>$2.79</t>
  </si>
  <si>
    <t>$2.56</t>
  </si>
  <si>
    <t>$1.27</t>
  </si>
  <si>
    <t>$0.99</t>
  </si>
  <si>
    <t>$68.86 (7.4%)</t>
  </si>
  <si>
    <t>Shows each sub-category's share of total spending as part of the whole shopping budget.</t>
  </si>
  <si>
    <t>$54.91 (5.9%)</t>
  </si>
  <si>
    <t>$52.83 (5.7%)</t>
  </si>
  <si>
    <t>$48.17 (5.2%)</t>
  </si>
  <si>
    <t>$43.72 (4.7%)</t>
  </si>
  <si>
    <t>$35.97 (3.9%)</t>
  </si>
  <si>
    <t>The doughnut itself displays only numeric sub-category codes. Match each number/color to the key for the sub-category name, dollar amount, and percentage of total spending.</t>
  </si>
  <si>
    <t>$30.47 (3.3%)</t>
  </si>
  <si>
    <t>$25.82 (2.8%)</t>
  </si>
  <si>
    <t>$24.18 (2.6%)</t>
  </si>
  <si>
    <t>$22.25 (2.4%)</t>
  </si>
  <si>
    <t>Use this for a fast visual picture of the household spending mix—especially which sub-categories take the largest portion of the budget.</t>
  </si>
  <si>
    <t>$20.37 (2.2%)</t>
  </si>
  <si>
    <t>$19.57 (2.1%)</t>
  </si>
  <si>
    <t>$18.74 (2.0%)</t>
  </si>
  <si>
    <t>$18.04 (1.9%)</t>
  </si>
  <si>
    <t>Unlike the older dashboard, this graph does not create a large 'Other' slice. Every sub-category receives its own numbered segment.</t>
  </si>
  <si>
    <t>$13.38 (1.4%)</t>
  </si>
  <si>
    <t>$11.72 (1.3%)</t>
  </si>
  <si>
    <t>$11.59 (1.2%)</t>
  </si>
  <si>
    <t>$11.53 (1.2%)</t>
  </si>
  <si>
    <t>$9.96 (1.1%)</t>
  </si>
  <si>
    <t>$9.94 (1.1%)</t>
  </si>
  <si>
    <t>$8.42 (0.9%)</t>
  </si>
  <si>
    <t>$8.29 (0.9%)</t>
  </si>
  <si>
    <t>$7.97 (0.9%)</t>
  </si>
  <si>
    <t>$6.98 (0.8%)</t>
  </si>
  <si>
    <t>$6.97 (0.7%)</t>
  </si>
  <si>
    <t>$5.99 (0.6%)</t>
  </si>
  <si>
    <t>$5.97 (0.6%)</t>
  </si>
  <si>
    <t>$5.78 (0.6%)</t>
  </si>
  <si>
    <t>$5.74 (0.6%)</t>
  </si>
  <si>
    <t>$5.58 (0.6%)</t>
  </si>
  <si>
    <t>$5.34 (0.6%)</t>
  </si>
  <si>
    <t>$4.99 (0.5%)</t>
  </si>
  <si>
    <t>$4.49 (0.5%)</t>
  </si>
  <si>
    <t>$4.25 (0.5%)</t>
  </si>
  <si>
    <t>$3.89 (0.4%)</t>
  </si>
  <si>
    <t>$3.77 (0.4%)</t>
  </si>
  <si>
    <t>$3.58 (0.4%)</t>
  </si>
  <si>
    <t>$3.38 (0.4%)</t>
  </si>
  <si>
    <t>$3.32 (0.4%)</t>
  </si>
  <si>
    <t>$3.19 (0.3%)</t>
  </si>
  <si>
    <t>$2.79 (0.3%)</t>
  </si>
  <si>
    <t>$2.56 (0.3%)</t>
  </si>
  <si>
    <t>$1.27 (0.1%)</t>
  </si>
  <si>
    <t>$0.99 (0.1%)</t>
  </si>
  <si>
    <t>17</t>
  </si>
  <si>
    <t>Counts how many valid purchase observations occurred in each sub-category. This measures frequency, not dollars.</t>
  </si>
  <si>
    <t>13</t>
  </si>
  <si>
    <t>Each sub-category is a numbered colored bar. Match the number and color to the key. A longer bar means the sub-category was purchased more frequently.</t>
  </si>
  <si>
    <t>Use this alongside Spending by Sub-Category to distinguish frequent routine purchases from sub-categories that are bought less often but cost more.</t>
  </si>
  <si>
    <t>Spending by Sub-Category</t>
  </si>
  <si>
    <t>Spending Share by Sub-Category</t>
  </si>
  <si>
    <t>Purchase Frequency by Sub-Category</t>
  </si>
  <si>
    <t>Source OCR JSON</t>
  </si>
  <si>
    <t>Receipt Date</t>
  </si>
  <si>
    <t>Imported Timestamp</t>
  </si>
  <si>
    <t>IMG_0250_raw_ocr.json</t>
  </si>
  <si>
    <t>IMG_0251_raw_ocr.json</t>
  </si>
  <si>
    <t>IMG_0255_raw_ocr.json</t>
  </si>
  <si>
    <t>IMG_0257_raw_ocr.json</t>
  </si>
  <si>
    <t>walmart_aug_6_raw_ocr.json</t>
  </si>
  <si>
    <t>080726_Walmart_0_raw_ocr.json</t>
  </si>
  <si>
    <t>081326_Walmart_0_raw_ocr.json</t>
  </si>
  <si>
    <t>081326_Walmart_0_B_raw_ocr.json</t>
  </si>
  <si>
    <t>082626_Walmart_0_raw_ocr.json</t>
  </si>
  <si>
    <t>082826_Publix_120_raw_ocr.json</t>
  </si>
  <si>
    <t>083026_ALDI_238_raw_ocr.json</t>
  </si>
  <si>
    <t>090326_Publix_120_raw_ocr.json</t>
  </si>
  <si>
    <t>090626_ALDI_238_raw_ocr.json</t>
  </si>
  <si>
    <t>090626_ALDI_238_B_raw_ocr.json</t>
  </si>
  <si>
    <t>090626_ALDI_238_C_raw_ocr.json</t>
  </si>
  <si>
    <t>090726_TraderJoes_0848_raw_ocr.json</t>
  </si>
  <si>
    <t>090726_Publix_120_raw_ocr.json</t>
  </si>
  <si>
    <t>091326_Publix_1058_ollama_raw_ocr.json</t>
  </si>
  <si>
    <t>091326_Walmart_0_page_001_ollama_raw_ocr.json</t>
  </si>
  <si>
    <t>091326_Walmart_0_page_002_ollama_raw_ocr.json</t>
  </si>
  <si>
    <t>090926_SurfinTurtle_0_ollama_raw_ocr.json</t>
  </si>
  <si>
    <t>091726_L3HAtriumCafe_0_ollama_raw_ocr.json</t>
  </si>
  <si>
    <t>091826_Publix_1058_ollama_raw_ocr.json</t>
  </si>
  <si>
    <t>091926_Publix_1688_ollama_raw_ocr.json</t>
  </si>
  <si>
    <t>092026_Cosco_0_ollama_raw_ocr.json</t>
  </si>
  <si>
    <t>091326_Walmart_0_Contribution_ollama_raw_ocr.json</t>
  </si>
  <si>
    <t>Excel Row</t>
  </si>
  <si>
    <t>New Common Name</t>
  </si>
  <si>
    <t>New Sub-Category</t>
  </si>
  <si>
    <t>Reason</t>
  </si>
  <si>
    <t>Same product family as the historical Magen David Blackberry Wine; reuse established Wine taxonomy.</t>
  </si>
  <si>
    <t>Exact historical Common Name and Sub-Category precedent for bananas.</t>
  </si>
  <si>
    <t>A flourless chocolate truffle cake/dessert is distinct from cookies, snack cakes, and frozen desserts; creates a reusable Cakes &amp; Pies category.</t>
  </si>
  <si>
    <t>Historical ShopGraph already uses this exact Common Name/category for Pampers Swaddlers Size 5.</t>
  </si>
  <si>
    <t>Historical Chobani 20G drink products are classified as Yogurt; abbreviated receipt text does not safely establish a flavor.</t>
  </si>
  <si>
    <t>Receipt abbreviation reasonably expands CC to cream cheese; same newly needed product-type category as other cakes/pies.</t>
  </si>
  <si>
    <t>Genuinely new product domain; Balloons is specific, reusable, and describes what the item is.</t>
  </si>
  <si>
    <t>Exact historical precedent: taxes are Fees &amp; Charges.</t>
  </si>
  <si>
    <t>Exact historical product precedent: Starbucks Oatmilk Brown Sugar Creamer is already classified as Coffee Creamer.</t>
  </si>
  <si>
    <t>Historical Giovanni Rana Tortellini establishes Refrigerated Pasta as the intended taxonomy.</t>
  </si>
  <si>
    <t>Vegetable broth belongs in the already-established Broth &amp; Stock category rather than creating a new category.</t>
  </si>
  <si>
    <t>LSR EVL SWT/SLT PN</t>
  </si>
  <si>
    <t>Historical LesserEvil Popcorn establishes both the product family and Popcorn taxonomy.</t>
  </si>
  <si>
    <t>9_26</t>
  </si>
  <si>
    <t>Date</t>
  </si>
  <si>
    <t>Ideal Remaining Budget</t>
  </si>
  <si>
    <t>Actual Remaining Budget</t>
  </si>
  <si>
    <t>Cumulative Spending</t>
  </si>
  <si>
    <t>Comparison</t>
  </si>
  <si>
    <t>Budget</t>
  </si>
  <si>
    <t>10</t>
  </si>
  <si>
    <t>11</t>
  </si>
  <si>
    <t>12</t>
  </si>
  <si>
    <t>14</t>
  </si>
  <si>
    <t>15</t>
  </si>
  <si>
    <t>18</t>
  </si>
  <si>
    <t>19</t>
  </si>
  <si>
    <t>20</t>
  </si>
  <si>
    <t>21</t>
  </si>
  <si>
    <t>22</t>
  </si>
  <si>
    <t>23</t>
  </si>
  <si>
    <t>24</t>
  </si>
  <si>
    <t>25</t>
  </si>
  <si>
    <t>Budget Plan</t>
  </si>
  <si>
    <t>Spent</t>
  </si>
  <si>
    <t>Start Date</t>
  </si>
  <si>
    <t>End Date</t>
  </si>
  <si>
    <t>Category Scope</t>
  </si>
  <si>
    <t>All Categories</t>
  </si>
  <si>
    <t>Total Spent</t>
  </si>
  <si>
    <t>Remaining Budget</t>
  </si>
  <si>
    <t>Relevant Date</t>
  </si>
  <si>
    <t>Ideal Spending Through Relevant Date</t>
  </si>
  <si>
    <t>Actual Spending Through Relevant Date</t>
  </si>
  <si>
    <t>Ahead / Behind Budget</t>
  </si>
  <si>
    <t>Ahead by $131.76</t>
  </si>
  <si>
    <t>Budget vs Category Spending</t>
  </si>
  <si>
    <t>Category Key</t>
  </si>
  <si>
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</si>
  <si>
    <t>9_26w1</t>
  </si>
  <si>
    <t>Ahead by $71.01</t>
  </si>
  <si>
    <t>9_26w2</t>
  </si>
  <si>
    <t>Behind by $0.63</t>
  </si>
  <si>
    <t>9_26w3</t>
  </si>
  <si>
    <t>Ahead by $75.93</t>
  </si>
  <si>
    <t>9_26w4</t>
  </si>
  <si>
    <t>Behind by $46.79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</si>
</sst>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/dd/yyyy\ hh:mm"/>
    <numFmt numFmtId="166" formatCode="mmm\ yyyy"/>
    <numFmt numFmtId="167" formatCode="\$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22"/>
      <color rgb="FFFFFFFF"/>
      <name val="Calibri"/>
      <family val="2"/>
    </font>
    <font>
      <b/>
      <sz val="11"/>
      <color rgb="FF404040"/>
      <name val="Calibri"/>
      <family val="2"/>
    </font>
    <font>
      <b/>
      <sz val="12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264478"/>
      </patternFill>
    </fill>
    <fill>
      <patternFill patternType="solid">
        <fgColor rgb="FF8064A2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255E91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997300"/>
      </patternFill>
    </fill>
    <fill>
      <patternFill patternType="solid">
        <fgColor rgb="FF264478"/>
      </patternFill>
    </fill>
    <fill>
      <patternFill patternType="solid">
        <fgColor rgb="FF43682B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92A9CF"/>
      </patternFill>
    </fill>
    <fill>
      <patternFill patternType="solid">
        <fgColor rgb="FF95B3D7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7F7F7F"/>
      </patternFill>
    </fill>
    <fill>
      <patternFill patternType="solid">
        <fgColor rgb="FF806000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70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right" vertical="top"/>
    </xf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7" borderId="0" xfId="0" applyFill="1"/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1" borderId="0" xfId="0" applyFill="1"/>
    <xf numFmtId="0" fontId="0" fillId="10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/>
    <xf numFmtId="0" fontId="8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9" fillId="18" borderId="1" xfId="0" applyFont="1" applyFill="1" applyBorder="1" applyAlignment="1">
      <alignment vertical="top" wrapText="1"/>
    </xf>
    <xf numFmtId="0" fontId="0" fillId="18" borderId="1" xfId="0" applyFill="1" applyBorder="1" applyAlignment="1">
      <alignment vertical="top" wrapText="1"/>
    </xf>
    <xf numFmtId="0" fontId="9" fillId="19" borderId="1" xfId="0" applyFont="1" applyFill="1" applyBorder="1" applyAlignment="1">
      <alignment vertical="top" wrapText="1"/>
    </xf>
    <xf numFmtId="0" fontId="0" fillId="19" borderId="1" xfId="0" applyFill="1" applyBorder="1" applyAlignment="1">
      <alignment vertical="top" wrapText="1"/>
    </xf>
    <xf numFmtId="0" fontId="9" fillId="20" borderId="1" xfId="0" applyFont="1" applyFill="1" applyBorder="1" applyAlignment="1">
      <alignment vertical="top" wrapText="1"/>
    </xf>
    <xf numFmtId="0" fontId="0" fillId="20" borderId="1" xfId="0" applyFill="1" applyBorder="1" applyAlignment="1">
      <alignment vertical="top" wrapText="1"/>
    </xf>
    <xf numFmtId="0" fontId="9" fillId="21" borderId="1" xfId="0" applyFont="1" applyFill="1" applyBorder="1" applyAlignment="1">
      <alignment vertical="top" wrapText="1"/>
    </xf>
    <xf numFmtId="0" fontId="0" fillId="21" borderId="1" xfId="0" applyFill="1" applyBorder="1" applyAlignment="1">
      <alignment vertical="top" wrapText="1"/>
    </xf>
    <xf numFmtId="0" fontId="9" fillId="22" borderId="1" xfId="0" applyFont="1" applyFill="1" applyBorder="1" applyAlignment="1">
      <alignment vertical="top" wrapText="1"/>
    </xf>
    <xf numFmtId="0" fontId="0" fillId="22" borderId="1" xfId="0" applyFill="1" applyBorder="1" applyAlignment="1">
      <alignment vertical="top" wrapText="1"/>
    </xf>
    <xf numFmtId="0" fontId="9" fillId="0" borderId="0" xfId="0" applyFont="1"/>
    <xf numFmtId="0" fontId="9" fillId="18" borderId="0" xfId="0" applyFont="1" applyFill="1"/>
    <xf numFmtId="0" fontId="11" fillId="0" borderId="0" xfId="0" applyFont="1"/>
    <xf numFmtId="0" fontId="8" fillId="23" borderId="0" xfId="0" applyFont="1" applyFill="1" applyAlignment="1">
      <alignment horizontal="center"/>
    </xf>
    <xf numFmtId="0" fontId="8" fillId="24" borderId="0" xfId="0" applyFont="1" applyFill="1" applyAlignment="1">
      <alignment horizontal="center"/>
    </xf>
    <xf numFmtId="0" fontId="8" fillId="25" borderId="0" xfId="0" applyFont="1" applyFill="1" applyAlignment="1">
      <alignment horizontal="center"/>
    </xf>
    <xf numFmtId="0" fontId="8" fillId="26" borderId="0" xfId="0" applyFont="1" applyFill="1" applyAlignment="1">
      <alignment horizontal="center"/>
    </xf>
    <xf numFmtId="0" fontId="8" fillId="27" borderId="0" xfId="0" applyFont="1" applyFill="1" applyAlignment="1">
      <alignment horizontal="center"/>
    </xf>
    <xf numFmtId="0" fontId="8" fillId="28" borderId="0" xfId="0" applyFont="1" applyFill="1" applyAlignment="1">
      <alignment horizontal="center"/>
    </xf>
    <xf numFmtId="0" fontId="8" fillId="29" borderId="0" xfId="0" applyFont="1" applyFill="1" applyAlignment="1">
      <alignment horizontal="center"/>
    </xf>
    <xf numFmtId="0" fontId="8" fillId="30" borderId="0" xfId="0" applyFont="1" applyFill="1" applyAlignment="1">
      <alignment horizontal="center"/>
    </xf>
    <xf numFmtId="0" fontId="8" fillId="31" borderId="0" xfId="0" applyFont="1" applyFill="1" applyAlignment="1">
      <alignment horizontal="center"/>
    </xf>
    <xf numFmtId="0" fontId="8" fillId="32" borderId="0" xfId="0" applyFont="1" applyFill="1" applyAlignment="1">
      <alignment horizontal="center"/>
    </xf>
    <xf numFmtId="0" fontId="8" fillId="33" borderId="0" xfId="0" applyFont="1" applyFill="1" applyAlignment="1">
      <alignment horizontal="center"/>
    </xf>
    <xf numFmtId="0" fontId="8" fillId="34" borderId="0" xfId="0" applyFont="1" applyFill="1" applyAlignment="1">
      <alignment horizontal="center"/>
    </xf>
    <xf numFmtId="0" fontId="8" fillId="35" borderId="0" xfId="0" applyFont="1" applyFill="1" applyAlignment="1">
      <alignment horizontal="center"/>
    </xf>
    <xf numFmtId="0" fontId="8" fillId="36" borderId="0" xfId="0" applyFont="1" applyFill="1" applyAlignment="1">
      <alignment horizontal="center"/>
    </xf>
    <xf numFmtId="0" fontId="8" fillId="37" borderId="0" xfId="0" applyFont="1" applyFill="1" applyAlignment="1">
      <alignment horizontal="center"/>
    </xf>
    <xf numFmtId="0" fontId="8" fillId="38" borderId="0" xfId="0" applyFont="1" applyFill="1" applyAlignment="1">
      <alignment horizontal="center"/>
    </xf>
    <xf numFmtId="0" fontId="8" fillId="39" borderId="0" xfId="0" applyFont="1" applyFill="1" applyAlignment="1">
      <alignment horizontal="center"/>
    </xf>
    <xf numFmtId="0" fontId="8" fillId="40" borderId="0" xfId="0" applyFont="1" applyFill="1" applyAlignment="1">
      <alignment horizontal="center"/>
    </xf>
    <xf numFmtId="0" fontId="8" fillId="41" borderId="0" xfId="0" applyFont="1" applyFill="1" applyAlignment="1">
      <alignment horizontal="center"/>
    </xf>
    <xf numFmtId="0" fontId="8" fillId="4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/>
    <xf numFmtId="0" fontId="7" fillId="0" borderId="0" xfId="0" applyFont="1"/>
    <xf numFmtId="0" fontId="6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center" vertical="center"/>
    </xf>
    <xf numFmtId="0" fontId="12" fillId="0" borderId="0" xfId="0" applyFont="1"/>
    <xf numFmtId="0" fontId="10" fillId="1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Spending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_AnalyticsData!$C$2</c:f>
              <c:strCache>
                <c:ptCount val="1"/>
                <c:pt idx="0">
                  <c:v>Spending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cat>
            <c:numRef>
              <c:f>_AnalyticsData!$A$3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_AnalyticsData!$C$3</c:f>
              <c:numCache>
                <c:formatCode>\$#,##0.00</c:formatCode>
                <c:ptCount val="1"/>
                <c:pt idx="0">
                  <c:v>929.6200000000008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5F-9648-AF45-F5C91BB74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Spending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_AnalyticsData!$G$2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D4-5046-90E4-3DB8870A98A5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D4-5046-90E4-3DB8870A98A5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D4-5046-90E4-3DB8870A98A5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FD4-5046-90E4-3DB8870A98A5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FD4-5046-90E4-3DB8870A98A5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FD4-5046-90E4-3DB8870A98A5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FD4-5046-90E4-3DB8870A98A5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FD4-5046-90E4-3DB8870A98A5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FD4-5046-90E4-3DB8870A98A5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FD4-5046-90E4-3DB8870A98A5}"/>
              </c:ext>
            </c:extLst>
          </c:dPt>
          <c:dPt>
            <c:idx val="10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FD4-5046-90E4-3DB8870A98A5}"/>
              </c:ext>
            </c:extLst>
          </c:dPt>
          <c:dPt>
            <c:idx val="11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1FD4-5046-90E4-3DB8870A98A5}"/>
              </c:ext>
            </c:extLst>
          </c:dPt>
          <c:dPt>
            <c:idx val="12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1FD4-5046-90E4-3DB8870A98A5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1FD4-5046-90E4-3DB8870A98A5}"/>
              </c:ext>
            </c:extLst>
          </c:dPt>
          <c:dPt>
            <c:idx val="14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1FD4-5046-90E4-3DB8870A98A5}"/>
              </c:ext>
            </c:extLst>
          </c:dPt>
          <c:dPt>
            <c:idx val="15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1FD4-5046-90E4-3DB8870A98A5}"/>
              </c:ext>
            </c:extLst>
          </c:dPt>
          <c:dPt>
            <c:idx val="16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1FD4-5046-90E4-3DB8870A98A5}"/>
              </c:ext>
            </c:extLst>
          </c:dPt>
          <c:dPt>
            <c:idx val="17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1FD4-5046-90E4-3DB8870A98A5}"/>
              </c:ext>
            </c:extLst>
          </c:dPt>
          <c:dPt>
            <c:idx val="18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1FD4-5046-90E4-3DB8870A98A5}"/>
              </c:ext>
            </c:extLst>
          </c:dPt>
          <c:dPt>
            <c:idx val="19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1FD4-5046-90E4-3DB8870A98A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_AnalyticsData!$E$3:$E$22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_AnalyticsData!$G$3:$G$22</c:f>
              <c:numCache>
                <c:formatCode>\$#,##0.00</c:formatCode>
                <c:ptCount val="20"/>
                <c:pt idx="0">
                  <c:v>137.88</c:v>
                </c:pt>
                <c:pt idx="1">
                  <c:v>127.81</c:v>
                </c:pt>
                <c:pt idx="2">
                  <c:v>110.57</c:v>
                </c:pt>
                <c:pt idx="3">
                  <c:v>76.929999999999993</c:v>
                </c:pt>
                <c:pt idx="4">
                  <c:v>71.789999999999992</c:v>
                </c:pt>
                <c:pt idx="5">
                  <c:v>60.9</c:v>
                </c:pt>
                <c:pt idx="6">
                  <c:v>59.78</c:v>
                </c:pt>
                <c:pt idx="7">
                  <c:v>36.71</c:v>
                </c:pt>
                <c:pt idx="8">
                  <c:v>31.81</c:v>
                </c:pt>
                <c:pt idx="9">
                  <c:v>30.69</c:v>
                </c:pt>
                <c:pt idx="10">
                  <c:v>30.54</c:v>
                </c:pt>
                <c:pt idx="11">
                  <c:v>29.22</c:v>
                </c:pt>
                <c:pt idx="12">
                  <c:v>25.94</c:v>
                </c:pt>
                <c:pt idx="13">
                  <c:v>21.08</c:v>
                </c:pt>
                <c:pt idx="14">
                  <c:v>19.48</c:v>
                </c:pt>
                <c:pt idx="15">
                  <c:v>17.87</c:v>
                </c:pt>
                <c:pt idx="16">
                  <c:v>14.38</c:v>
                </c:pt>
                <c:pt idx="17">
                  <c:v>14.05</c:v>
                </c:pt>
                <c:pt idx="18">
                  <c:v>8.1999999999999993</c:v>
                </c:pt>
                <c:pt idx="19">
                  <c:v>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FD4-5046-90E4-3DB8870A98A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Spending by Store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_AnalyticsData!$K$2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5D-9240-BCCB-047DA7D8CF95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5D-9240-BCCB-047DA7D8CF95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5D-9240-BCCB-047DA7D8CF95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A5D-9240-BCCB-047DA7D8CF95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A5D-9240-BCCB-047DA7D8CF95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A5D-9240-BCCB-047DA7D8CF95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A5D-9240-BCCB-047DA7D8CF95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2A5D-9240-BCCB-047DA7D8CF9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_AnalyticsData!$I$3:$I$10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_AnalyticsData!$K$3:$K$10</c:f>
              <c:numCache>
                <c:formatCode>\$#,##0.00</c:formatCode>
                <c:ptCount val="8"/>
                <c:pt idx="0">
                  <c:v>324.61</c:v>
                </c:pt>
                <c:pt idx="1">
                  <c:v>262.92000000000007</c:v>
                </c:pt>
                <c:pt idx="2">
                  <c:v>125.58</c:v>
                </c:pt>
                <c:pt idx="3">
                  <c:v>97.13000000000001</c:v>
                </c:pt>
                <c:pt idx="4">
                  <c:v>56.7</c:v>
                </c:pt>
                <c:pt idx="5">
                  <c:v>46.79</c:v>
                </c:pt>
                <c:pt idx="6">
                  <c:v>13.3</c:v>
                </c:pt>
                <c:pt idx="7">
                  <c:v>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A5D-9240-BCCB-047DA7D8CF9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Spending Share by Category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_AnalyticsData!$O$2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8E-1141-92D9-FE8A1FA065DA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8E-1141-92D9-FE8A1FA065DA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8E-1141-92D9-FE8A1FA065DA}"/>
              </c:ext>
            </c:extLst>
          </c:dPt>
          <c:dPt>
            <c:idx val="3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D8E-1141-92D9-FE8A1FA065D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D8E-1141-92D9-FE8A1FA065DA}"/>
              </c:ext>
            </c:extLst>
          </c:dPt>
          <c:dPt>
            <c:idx val="5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D8E-1141-92D9-FE8A1FA065DA}"/>
              </c:ext>
            </c:extLst>
          </c:dPt>
          <c:dPt>
            <c:idx val="6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D8E-1141-92D9-FE8A1FA065DA}"/>
              </c:ext>
            </c:extLst>
          </c:dPt>
          <c:dPt>
            <c:idx val="7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D8E-1141-92D9-FE8A1FA065DA}"/>
              </c:ext>
            </c:extLst>
          </c:dPt>
          <c:dPt>
            <c:idx val="8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D8E-1141-92D9-FE8A1FA065DA}"/>
              </c:ext>
            </c:extLst>
          </c:dPt>
          <c:dPt>
            <c:idx val="9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D8E-1141-92D9-FE8A1FA065DA}"/>
              </c:ext>
            </c:extLst>
          </c:dPt>
          <c:dPt>
            <c:idx val="10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D8E-1141-92D9-FE8A1FA065DA}"/>
              </c:ext>
            </c:extLst>
          </c:dPt>
          <c:dPt>
            <c:idx val="1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9D8E-1141-92D9-FE8A1FA065DA}"/>
              </c:ext>
            </c:extLst>
          </c:dPt>
          <c:dPt>
            <c:idx val="12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9D8E-1141-92D9-FE8A1FA065DA}"/>
              </c:ext>
            </c:extLst>
          </c:dPt>
          <c:dPt>
            <c:idx val="13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9D8E-1141-92D9-FE8A1FA065DA}"/>
              </c:ext>
            </c:extLst>
          </c:dPt>
          <c:dPt>
            <c:idx val="14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9D8E-1141-92D9-FE8A1FA065DA}"/>
              </c:ext>
            </c:extLst>
          </c:dPt>
          <c:dPt>
            <c:idx val="15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9D8E-1141-92D9-FE8A1FA065DA}"/>
              </c:ext>
            </c:extLst>
          </c:dPt>
          <c:dPt>
            <c:idx val="16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9D8E-1141-92D9-FE8A1FA065DA}"/>
              </c:ext>
            </c:extLst>
          </c:dPt>
          <c:dPt>
            <c:idx val="17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9D8E-1141-92D9-FE8A1FA065DA}"/>
              </c:ext>
            </c:extLst>
          </c:dPt>
          <c:dPt>
            <c:idx val="18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9D8E-1141-92D9-FE8A1FA065DA}"/>
              </c:ext>
            </c:extLst>
          </c:dPt>
          <c:dPt>
            <c:idx val="19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9D8E-1141-92D9-FE8A1FA065D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0"/>
            <c:showCatName val="1"/>
            <c:showSerName val="1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_AnalyticsData!$M$3:$M$22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_AnalyticsData!$O$3:$O$22</c:f>
              <c:numCache>
                <c:formatCode>\$#,##0.00</c:formatCode>
                <c:ptCount val="20"/>
                <c:pt idx="0">
                  <c:v>137.88</c:v>
                </c:pt>
                <c:pt idx="1">
                  <c:v>127.81</c:v>
                </c:pt>
                <c:pt idx="2">
                  <c:v>110.57</c:v>
                </c:pt>
                <c:pt idx="3">
                  <c:v>76.929999999999993</c:v>
                </c:pt>
                <c:pt idx="4">
                  <c:v>71.789999999999992</c:v>
                </c:pt>
                <c:pt idx="5">
                  <c:v>60.9</c:v>
                </c:pt>
                <c:pt idx="6">
                  <c:v>59.78</c:v>
                </c:pt>
                <c:pt idx="7">
                  <c:v>36.71</c:v>
                </c:pt>
                <c:pt idx="8">
                  <c:v>31.81</c:v>
                </c:pt>
                <c:pt idx="9">
                  <c:v>30.69</c:v>
                </c:pt>
                <c:pt idx="10">
                  <c:v>30.54</c:v>
                </c:pt>
                <c:pt idx="11">
                  <c:v>29.22</c:v>
                </c:pt>
                <c:pt idx="12">
                  <c:v>25.94</c:v>
                </c:pt>
                <c:pt idx="13">
                  <c:v>21.08</c:v>
                </c:pt>
                <c:pt idx="14">
                  <c:v>19.48</c:v>
                </c:pt>
                <c:pt idx="15">
                  <c:v>17.87</c:v>
                </c:pt>
                <c:pt idx="16">
                  <c:v>14.38</c:v>
                </c:pt>
                <c:pt idx="17">
                  <c:v>14.05</c:v>
                </c:pt>
                <c:pt idx="18">
                  <c:v>8.1999999999999993</c:v>
                </c:pt>
                <c:pt idx="19">
                  <c:v>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D8E-1141-92D9-FE8A1FA065DA}"/>
            </c:ext>
          </c:extLst>
        </c:ser>
        <c:dLbls>
          <c:showLegendKey val="1"/>
          <c:showVal val="0"/>
          <c:showCatName val="1"/>
          <c:showSerName val="1"/>
          <c:showPercent val="0"/>
          <c:showBubbleSize val="1"/>
          <c:showLeaderLines val="1"/>
        </c:dLbls>
        <c:firstSliceAng val="0"/>
        <c:holeSize val="58"/>
      </c:doughnut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Products by Spending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_AnalyticsData!$S$2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2C-3F47-A9C1-1E10D0F25CCC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2C-3F47-A9C1-1E10D0F25CCC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2C-3F47-A9C1-1E10D0F25CCC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92C-3F47-A9C1-1E10D0F25CCC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92C-3F47-A9C1-1E10D0F25CCC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92C-3F47-A9C1-1E10D0F25CCC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92C-3F47-A9C1-1E10D0F25CCC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92C-3F47-A9C1-1E10D0F25CCC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92C-3F47-A9C1-1E10D0F25CCC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92C-3F47-A9C1-1E10D0F25CC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_AnalyticsData!$Q$3:$Q$12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_AnalyticsData!$S$3:$S$12</c:f>
              <c:numCache>
                <c:formatCode>\$#,##0.00</c:formatCode>
                <c:ptCount val="10"/>
                <c:pt idx="0">
                  <c:v>46.91</c:v>
                </c:pt>
                <c:pt idx="1">
                  <c:v>46.79</c:v>
                </c:pt>
                <c:pt idx="2">
                  <c:v>39.369999999999997</c:v>
                </c:pt>
                <c:pt idx="3">
                  <c:v>35.97</c:v>
                </c:pt>
                <c:pt idx="4">
                  <c:v>27.96</c:v>
                </c:pt>
                <c:pt idx="5">
                  <c:v>25.94</c:v>
                </c:pt>
                <c:pt idx="6">
                  <c:v>22.11</c:v>
                </c:pt>
                <c:pt idx="7">
                  <c:v>21.98</c:v>
                </c:pt>
                <c:pt idx="8">
                  <c:v>21.74</c:v>
                </c:pt>
                <c:pt idx="9">
                  <c:v>20.37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2C-3F47-A9C1-1E10D0F25CC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Spending by Store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_AnalyticsData!$Z$2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_AnalyticsData!$Z$3</c:f>
              <c:numCache>
                <c:formatCode>\$#,##0.00</c:formatCode>
                <c:ptCount val="1"/>
                <c:pt idx="0">
                  <c:v>324.61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31-6C41-A1A9-3EF3669D2FB4}"/>
            </c:ext>
          </c:extLst>
        </c:ser>
        <c:ser>
          <c:idx val="1"/>
          <c:order val="1"/>
          <c:tx>
            <c:strRef>
              <c:f>_AnalyticsData!$AA$2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_AnalyticsData!$AA$3</c:f>
              <c:numCache>
                <c:formatCode>\$#,##0.00</c:formatCode>
                <c:ptCount val="1"/>
                <c:pt idx="0">
                  <c:v>262.92000000000007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C31-6C41-A1A9-3EF3669D2FB4}"/>
            </c:ext>
          </c:extLst>
        </c:ser>
        <c:ser>
          <c:idx val="2"/>
          <c:order val="2"/>
          <c:tx>
            <c:strRef>
              <c:f>_AnalyticsData!$AB$2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_AnalyticsData!$AB$3</c:f>
              <c:numCache>
                <c:formatCode>\$#,##0.00</c:formatCode>
                <c:ptCount val="1"/>
                <c:pt idx="0">
                  <c:v>125.58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C31-6C41-A1A9-3EF3669D2FB4}"/>
            </c:ext>
          </c:extLst>
        </c:ser>
        <c:ser>
          <c:idx val="3"/>
          <c:order val="3"/>
          <c:tx>
            <c:strRef>
              <c:f>_AnalyticsData!$AC$2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_AnalyticsData!$AC$3</c:f>
              <c:numCache>
                <c:formatCode>\$#,##0.00</c:formatCode>
                <c:ptCount val="1"/>
                <c:pt idx="0">
                  <c:v>97.13000000000001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C31-6C41-A1A9-3EF3669D2FB4}"/>
            </c:ext>
          </c:extLst>
        </c:ser>
        <c:ser>
          <c:idx val="4"/>
          <c:order val="4"/>
          <c:tx>
            <c:strRef>
              <c:f>_AnalyticsData!$AD$2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_AnalyticsData!$AD$3</c:f>
              <c:numCache>
                <c:formatCode>\$#,##0.00</c:formatCode>
                <c:ptCount val="1"/>
                <c:pt idx="0">
                  <c:v>56.7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C31-6C41-A1A9-3EF3669D2FB4}"/>
            </c:ext>
          </c:extLst>
        </c:ser>
        <c:ser>
          <c:idx val="5"/>
          <c:order val="5"/>
          <c:tx>
            <c:strRef>
              <c:f>_AnalyticsData!$AE$2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_AnalyticsData!$AE$3</c:f>
              <c:numCache>
                <c:formatCode>\$#,##0.00</c:formatCode>
                <c:ptCount val="1"/>
                <c:pt idx="0">
                  <c:v>46.79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C31-6C41-A1A9-3EF3669D2FB4}"/>
            </c:ext>
          </c:extLst>
        </c:ser>
        <c:ser>
          <c:idx val="6"/>
          <c:order val="6"/>
          <c:tx>
            <c:strRef>
              <c:f>_AnalyticsData!$AF$2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C55A11"/>
            </a:solidFill>
            <a:ln>
              <a:solidFill>
                <a:srgbClr val="C55A11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_AnalyticsData!$AF$3</c:f>
              <c:numCache>
                <c:formatCode>\$#,##0.00</c:formatCode>
                <c:ptCount val="1"/>
                <c:pt idx="0">
                  <c:v>13.3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55A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C31-6C41-A1A9-3EF3669D2FB4}"/>
            </c:ext>
          </c:extLst>
        </c:ser>
        <c:ser>
          <c:idx val="7"/>
          <c:order val="7"/>
          <c:tx>
            <c:strRef>
              <c:f>_AnalyticsData!$AG$2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  <a:prstDash val="solid"/>
            </a:ln>
          </c:spPr>
          <c:invertIfNegative val="1"/>
          <c:cat>
            <c:numRef>
              <c:f>_AnalyticsData!$Y$3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_AnalyticsData!$AG$3</c:f>
              <c:numCache>
                <c:formatCode>\$#,##0.00</c:formatCode>
                <c:ptCount val="1"/>
                <c:pt idx="0">
                  <c:v>2.59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7C31-6C41-A1A9-3EF3669D2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Purchase Frequency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_AnalyticsData!$W$2</c:f>
              <c:strCache>
                <c:ptCount val="1"/>
                <c:pt idx="0">
                  <c:v>Purchases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9A-114F-A50A-6BB94517B3E9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9A-114F-A50A-6BB94517B3E9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9A-114F-A50A-6BB94517B3E9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9A-114F-A50A-6BB94517B3E9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09A-114F-A50A-6BB94517B3E9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09A-114F-A50A-6BB94517B3E9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09A-114F-A50A-6BB94517B3E9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09A-114F-A50A-6BB94517B3E9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09A-114F-A50A-6BB94517B3E9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09A-114F-A50A-6BB94517B3E9}"/>
              </c:ext>
            </c:extLst>
          </c:dPt>
          <c:dPt>
            <c:idx val="10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09A-114F-A50A-6BB94517B3E9}"/>
              </c:ext>
            </c:extLst>
          </c:dPt>
          <c:dPt>
            <c:idx val="11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E09A-114F-A50A-6BB94517B3E9}"/>
              </c:ext>
            </c:extLst>
          </c:dPt>
          <c:dPt>
            <c:idx val="12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E09A-114F-A50A-6BB94517B3E9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E09A-114F-A50A-6BB94517B3E9}"/>
              </c:ext>
            </c:extLst>
          </c:dPt>
          <c:dPt>
            <c:idx val="14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E09A-114F-A50A-6BB94517B3E9}"/>
              </c:ext>
            </c:extLst>
          </c:dPt>
          <c:dPt>
            <c:idx val="15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E09A-114F-A50A-6BB94517B3E9}"/>
              </c:ext>
            </c:extLst>
          </c:dPt>
          <c:dPt>
            <c:idx val="16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E09A-114F-A50A-6BB94517B3E9}"/>
              </c:ext>
            </c:extLst>
          </c:dPt>
          <c:dPt>
            <c:idx val="17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E09A-114F-A50A-6BB94517B3E9}"/>
              </c:ext>
            </c:extLst>
          </c:dPt>
          <c:dPt>
            <c:idx val="18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E09A-114F-A50A-6BB94517B3E9}"/>
              </c:ext>
            </c:extLst>
          </c:dPt>
          <c:dPt>
            <c:idx val="19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E09A-114F-A50A-6BB94517B3E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_AnalyticsData!$U$3:$U$22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_AnalyticsData!$W$3:$W$22</c:f>
              <c:numCache>
                <c:formatCode>General</c:formatCode>
                <c:ptCount val="20"/>
                <c:pt idx="0">
                  <c:v>42</c:v>
                </c:pt>
                <c:pt idx="1">
                  <c:v>29</c:v>
                </c:pt>
                <c:pt idx="2">
                  <c:v>16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09A-114F-A50A-6BB94517B3E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Purchases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Spending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_SubAnalyticsData!$C$2</c:f>
              <c:strCache>
                <c:ptCount val="1"/>
                <c:pt idx="0">
                  <c:v>Spending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cat>
            <c:numRef>
              <c:f>_SubAnalyticsData!$A$3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_SubAnalyticsData!$C$3</c:f>
              <c:numCache>
                <c:formatCode>\$#,##0.00</c:formatCode>
                <c:ptCount val="1"/>
                <c:pt idx="0">
                  <c:v>929.6200000000008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43-9043-8B77-873A465E8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Spending by Sub-Category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_SubAnalyticsData!$G$2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14-5A40-99AF-B04C742283B0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14-5A40-99AF-B04C742283B0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14-5A40-99AF-B04C742283B0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C14-5A40-99AF-B04C742283B0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C14-5A40-99AF-B04C742283B0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C14-5A40-99AF-B04C742283B0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C14-5A40-99AF-B04C742283B0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C14-5A40-99AF-B04C742283B0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C14-5A40-99AF-B04C742283B0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C14-5A40-99AF-B04C742283B0}"/>
              </c:ext>
            </c:extLst>
          </c:dPt>
          <c:dPt>
            <c:idx val="10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C14-5A40-99AF-B04C742283B0}"/>
              </c:ext>
            </c:extLst>
          </c:dPt>
          <c:dPt>
            <c:idx val="11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C14-5A40-99AF-B04C742283B0}"/>
              </c:ext>
            </c:extLst>
          </c:dPt>
          <c:dPt>
            <c:idx val="12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DC14-5A40-99AF-B04C742283B0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DC14-5A40-99AF-B04C742283B0}"/>
              </c:ext>
            </c:extLst>
          </c:dPt>
          <c:dPt>
            <c:idx val="14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DC14-5A40-99AF-B04C742283B0}"/>
              </c:ext>
            </c:extLst>
          </c:dPt>
          <c:dPt>
            <c:idx val="15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DC14-5A40-99AF-B04C742283B0}"/>
              </c:ext>
            </c:extLst>
          </c:dPt>
          <c:dPt>
            <c:idx val="16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DC14-5A40-99AF-B04C742283B0}"/>
              </c:ext>
            </c:extLst>
          </c:dPt>
          <c:dPt>
            <c:idx val="17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DC14-5A40-99AF-B04C742283B0}"/>
              </c:ext>
            </c:extLst>
          </c:dPt>
          <c:dPt>
            <c:idx val="18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DC14-5A40-99AF-B04C742283B0}"/>
              </c:ext>
            </c:extLst>
          </c:dPt>
          <c:dPt>
            <c:idx val="19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DC14-5A40-99AF-B04C742283B0}"/>
              </c:ext>
            </c:extLst>
          </c:dPt>
          <c:dPt>
            <c:idx val="20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DC14-5A40-99AF-B04C742283B0}"/>
              </c:ext>
            </c:extLst>
          </c:dPt>
          <c:dPt>
            <c:idx val="21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DC14-5A40-99AF-B04C742283B0}"/>
              </c:ext>
            </c:extLst>
          </c:dPt>
          <c:dPt>
            <c:idx val="22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DC14-5A40-99AF-B04C742283B0}"/>
              </c:ext>
            </c:extLst>
          </c:dPt>
          <c:dPt>
            <c:idx val="23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DC14-5A40-99AF-B04C742283B0}"/>
              </c:ext>
            </c:extLst>
          </c:dPt>
          <c:dPt>
            <c:idx val="24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DC14-5A40-99AF-B04C742283B0}"/>
              </c:ext>
            </c:extLst>
          </c:dPt>
          <c:dPt>
            <c:idx val="25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DC14-5A40-99AF-B04C742283B0}"/>
              </c:ext>
            </c:extLst>
          </c:dPt>
          <c:dPt>
            <c:idx val="26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DC14-5A40-99AF-B04C742283B0}"/>
              </c:ext>
            </c:extLst>
          </c:dPt>
          <c:dPt>
            <c:idx val="27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DC14-5A40-99AF-B04C742283B0}"/>
              </c:ext>
            </c:extLst>
          </c:dPt>
          <c:dPt>
            <c:idx val="28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DC14-5A40-99AF-B04C742283B0}"/>
              </c:ext>
            </c:extLst>
          </c:dPt>
          <c:dPt>
            <c:idx val="29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DC14-5A40-99AF-B04C742283B0}"/>
              </c:ext>
            </c:extLst>
          </c:dPt>
          <c:dPt>
            <c:idx val="30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DC14-5A40-99AF-B04C742283B0}"/>
              </c:ext>
            </c:extLst>
          </c:dPt>
          <c:dPt>
            <c:idx val="31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DC14-5A40-99AF-B04C742283B0}"/>
              </c:ext>
            </c:extLst>
          </c:dPt>
          <c:dPt>
            <c:idx val="32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DC14-5A40-99AF-B04C742283B0}"/>
              </c:ext>
            </c:extLst>
          </c:dPt>
          <c:dPt>
            <c:idx val="33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DC14-5A40-99AF-B04C742283B0}"/>
              </c:ext>
            </c:extLst>
          </c:dPt>
          <c:dPt>
            <c:idx val="34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DC14-5A40-99AF-B04C742283B0}"/>
              </c:ext>
            </c:extLst>
          </c:dPt>
          <c:dPt>
            <c:idx val="35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DC14-5A40-99AF-B04C742283B0}"/>
              </c:ext>
            </c:extLst>
          </c:dPt>
          <c:dPt>
            <c:idx val="36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DC14-5A40-99AF-B04C742283B0}"/>
              </c:ext>
            </c:extLst>
          </c:dPt>
          <c:dPt>
            <c:idx val="37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DC14-5A40-99AF-B04C742283B0}"/>
              </c:ext>
            </c:extLst>
          </c:dPt>
          <c:dPt>
            <c:idx val="38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DC14-5A40-99AF-B04C742283B0}"/>
              </c:ext>
            </c:extLst>
          </c:dPt>
          <c:dPt>
            <c:idx val="39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DC14-5A40-99AF-B04C742283B0}"/>
              </c:ext>
            </c:extLst>
          </c:dPt>
          <c:dPt>
            <c:idx val="40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DC14-5A40-99AF-B04C742283B0}"/>
              </c:ext>
            </c:extLst>
          </c:dPt>
          <c:dPt>
            <c:idx val="41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DC14-5A40-99AF-B04C742283B0}"/>
              </c:ext>
            </c:extLst>
          </c:dPt>
          <c:dPt>
            <c:idx val="42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DC14-5A40-99AF-B04C742283B0}"/>
              </c:ext>
            </c:extLst>
          </c:dPt>
          <c:dPt>
            <c:idx val="43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DC14-5A40-99AF-B04C742283B0}"/>
              </c:ext>
            </c:extLst>
          </c:dPt>
          <c:dPt>
            <c:idx val="44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DC14-5A40-99AF-B04C742283B0}"/>
              </c:ext>
            </c:extLst>
          </c:dPt>
          <c:dPt>
            <c:idx val="45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DC14-5A40-99AF-B04C742283B0}"/>
              </c:ext>
            </c:extLst>
          </c:dPt>
          <c:dPt>
            <c:idx val="46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DC14-5A40-99AF-B04C742283B0}"/>
              </c:ext>
            </c:extLst>
          </c:dPt>
          <c:dPt>
            <c:idx val="47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DC14-5A40-99AF-B04C742283B0}"/>
              </c:ext>
            </c:extLst>
          </c:dPt>
          <c:dPt>
            <c:idx val="48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DC14-5A40-99AF-B04C742283B0}"/>
              </c:ext>
            </c:extLst>
          </c:dPt>
          <c:dPt>
            <c:idx val="49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DC14-5A40-99AF-B04C742283B0}"/>
              </c:ext>
            </c:extLst>
          </c:dPt>
          <c:dPt>
            <c:idx val="50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DC14-5A40-99AF-B04C742283B0}"/>
              </c:ext>
            </c:extLst>
          </c:dPt>
          <c:dPt>
            <c:idx val="51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DC14-5A40-99AF-B04C742283B0}"/>
              </c:ext>
            </c:extLst>
          </c:dPt>
          <c:dPt>
            <c:idx val="52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DC14-5A40-99AF-B04C742283B0}"/>
              </c:ext>
            </c:extLst>
          </c:dPt>
          <c:dPt>
            <c:idx val="53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DC14-5A40-99AF-B04C742283B0}"/>
              </c:ext>
            </c:extLst>
          </c:dPt>
          <c:dPt>
            <c:idx val="54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DC14-5A40-99AF-B04C742283B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_SubAnalyticsData!$E$3:$E$57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_SubAnalyticsData!$G$3:$G$57</c:f>
              <c:numCache>
                <c:formatCode>\$#,##0.00</c:formatCode>
                <c:ptCount val="55"/>
                <c:pt idx="0">
                  <c:v>71.789999999999992</c:v>
                </c:pt>
                <c:pt idx="1">
                  <c:v>68.86</c:v>
                </c:pt>
                <c:pt idx="2">
                  <c:v>59.78</c:v>
                </c:pt>
                <c:pt idx="3">
                  <c:v>54.91</c:v>
                </c:pt>
                <c:pt idx="4">
                  <c:v>52.830000000000013</c:v>
                </c:pt>
                <c:pt idx="5">
                  <c:v>48.169999999999987</c:v>
                </c:pt>
                <c:pt idx="6">
                  <c:v>43.72</c:v>
                </c:pt>
                <c:pt idx="7">
                  <c:v>35.97</c:v>
                </c:pt>
                <c:pt idx="8">
                  <c:v>30.69</c:v>
                </c:pt>
                <c:pt idx="9">
                  <c:v>30.47</c:v>
                </c:pt>
                <c:pt idx="10">
                  <c:v>25.94</c:v>
                </c:pt>
                <c:pt idx="11">
                  <c:v>25.82</c:v>
                </c:pt>
                <c:pt idx="12">
                  <c:v>24.18</c:v>
                </c:pt>
                <c:pt idx="13">
                  <c:v>22.25</c:v>
                </c:pt>
                <c:pt idx="14">
                  <c:v>20.37</c:v>
                </c:pt>
                <c:pt idx="15">
                  <c:v>19.57</c:v>
                </c:pt>
                <c:pt idx="16">
                  <c:v>19.48</c:v>
                </c:pt>
                <c:pt idx="17">
                  <c:v>18.739999999999998</c:v>
                </c:pt>
                <c:pt idx="18">
                  <c:v>18.04</c:v>
                </c:pt>
                <c:pt idx="19">
                  <c:v>17.87</c:v>
                </c:pt>
                <c:pt idx="20">
                  <c:v>14.38</c:v>
                </c:pt>
                <c:pt idx="21">
                  <c:v>13.38</c:v>
                </c:pt>
                <c:pt idx="22">
                  <c:v>11.72</c:v>
                </c:pt>
                <c:pt idx="23">
                  <c:v>11.59</c:v>
                </c:pt>
                <c:pt idx="24">
                  <c:v>11.53</c:v>
                </c:pt>
                <c:pt idx="25">
                  <c:v>9.9600000000000009</c:v>
                </c:pt>
                <c:pt idx="26">
                  <c:v>9.94</c:v>
                </c:pt>
                <c:pt idx="27">
                  <c:v>8.42</c:v>
                </c:pt>
                <c:pt idx="28">
                  <c:v>8.2899999999999991</c:v>
                </c:pt>
                <c:pt idx="29">
                  <c:v>8.1999999999999993</c:v>
                </c:pt>
                <c:pt idx="30">
                  <c:v>7.97</c:v>
                </c:pt>
                <c:pt idx="31">
                  <c:v>6.98</c:v>
                </c:pt>
                <c:pt idx="32">
                  <c:v>6.97</c:v>
                </c:pt>
                <c:pt idx="33">
                  <c:v>5.99</c:v>
                </c:pt>
                <c:pt idx="34">
                  <c:v>5.99</c:v>
                </c:pt>
                <c:pt idx="35">
                  <c:v>5.97</c:v>
                </c:pt>
                <c:pt idx="36">
                  <c:v>5.78</c:v>
                </c:pt>
                <c:pt idx="37">
                  <c:v>5.74</c:v>
                </c:pt>
                <c:pt idx="38">
                  <c:v>5.58</c:v>
                </c:pt>
                <c:pt idx="39">
                  <c:v>5.34</c:v>
                </c:pt>
                <c:pt idx="40">
                  <c:v>4.99</c:v>
                </c:pt>
                <c:pt idx="41">
                  <c:v>4.49</c:v>
                </c:pt>
                <c:pt idx="42">
                  <c:v>4.25</c:v>
                </c:pt>
                <c:pt idx="43">
                  <c:v>3.99</c:v>
                </c:pt>
                <c:pt idx="44">
                  <c:v>3.99</c:v>
                </c:pt>
                <c:pt idx="45">
                  <c:v>3.89</c:v>
                </c:pt>
                <c:pt idx="46">
                  <c:v>3.77</c:v>
                </c:pt>
                <c:pt idx="47">
                  <c:v>3.58</c:v>
                </c:pt>
                <c:pt idx="48">
                  <c:v>3.38</c:v>
                </c:pt>
                <c:pt idx="49">
                  <c:v>3.32</c:v>
                </c:pt>
                <c:pt idx="50">
                  <c:v>3.19</c:v>
                </c:pt>
                <c:pt idx="51">
                  <c:v>2.79</c:v>
                </c:pt>
                <c:pt idx="52">
                  <c:v>2.56</c:v>
                </c:pt>
                <c:pt idx="53">
                  <c:v>1.27</c:v>
                </c:pt>
                <c:pt idx="54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DC14-5A40-99AF-B04C742283B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Spending by Store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_SubAnalyticsData!$K$2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87-7F4E-BE64-12367A97488F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87-7F4E-BE64-12367A97488F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787-7F4E-BE64-12367A97488F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787-7F4E-BE64-12367A97488F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787-7F4E-BE64-12367A97488F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787-7F4E-BE64-12367A97488F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787-7F4E-BE64-12367A97488F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787-7F4E-BE64-12367A97488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_SubAnalyticsData!$I$3:$I$10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_SubAnalyticsData!$K$3:$K$10</c:f>
              <c:numCache>
                <c:formatCode>\$#,##0.00</c:formatCode>
                <c:ptCount val="8"/>
                <c:pt idx="0">
                  <c:v>324.61</c:v>
                </c:pt>
                <c:pt idx="1">
                  <c:v>262.92000000000007</c:v>
                </c:pt>
                <c:pt idx="2">
                  <c:v>125.58</c:v>
                </c:pt>
                <c:pt idx="3">
                  <c:v>97.13000000000001</c:v>
                </c:pt>
                <c:pt idx="4">
                  <c:v>56.7</c:v>
                </c:pt>
                <c:pt idx="5">
                  <c:v>46.79</c:v>
                </c:pt>
                <c:pt idx="6">
                  <c:v>13.3</c:v>
                </c:pt>
                <c:pt idx="7">
                  <c:v>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787-7F4E-BE64-12367A97488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Spending Share by Sub-Category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_SubAnalyticsData!$O$2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EF-F54A-B93D-2CEB263E6F2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EF-F54A-B93D-2CEB263E6F27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EF-F54A-B93D-2CEB263E6F27}"/>
              </c:ext>
            </c:extLst>
          </c:dPt>
          <c:dPt>
            <c:idx val="3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1EF-F54A-B93D-2CEB263E6F2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1EF-F54A-B93D-2CEB263E6F27}"/>
              </c:ext>
            </c:extLst>
          </c:dPt>
          <c:dPt>
            <c:idx val="5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1EF-F54A-B93D-2CEB263E6F27}"/>
              </c:ext>
            </c:extLst>
          </c:dPt>
          <c:dPt>
            <c:idx val="6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1EF-F54A-B93D-2CEB263E6F27}"/>
              </c:ext>
            </c:extLst>
          </c:dPt>
          <c:dPt>
            <c:idx val="7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21EF-F54A-B93D-2CEB263E6F27}"/>
              </c:ext>
            </c:extLst>
          </c:dPt>
          <c:dPt>
            <c:idx val="8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21EF-F54A-B93D-2CEB263E6F27}"/>
              </c:ext>
            </c:extLst>
          </c:dPt>
          <c:dPt>
            <c:idx val="9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21EF-F54A-B93D-2CEB263E6F27}"/>
              </c:ext>
            </c:extLst>
          </c:dPt>
          <c:dPt>
            <c:idx val="10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21EF-F54A-B93D-2CEB263E6F27}"/>
              </c:ext>
            </c:extLst>
          </c:dPt>
          <c:dPt>
            <c:idx val="1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21EF-F54A-B93D-2CEB263E6F27}"/>
              </c:ext>
            </c:extLst>
          </c:dPt>
          <c:dPt>
            <c:idx val="12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21EF-F54A-B93D-2CEB263E6F27}"/>
              </c:ext>
            </c:extLst>
          </c:dPt>
          <c:dPt>
            <c:idx val="13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21EF-F54A-B93D-2CEB263E6F27}"/>
              </c:ext>
            </c:extLst>
          </c:dPt>
          <c:dPt>
            <c:idx val="14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21EF-F54A-B93D-2CEB263E6F27}"/>
              </c:ext>
            </c:extLst>
          </c:dPt>
          <c:dPt>
            <c:idx val="15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21EF-F54A-B93D-2CEB263E6F27}"/>
              </c:ext>
            </c:extLst>
          </c:dPt>
          <c:dPt>
            <c:idx val="16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21EF-F54A-B93D-2CEB263E6F27}"/>
              </c:ext>
            </c:extLst>
          </c:dPt>
          <c:dPt>
            <c:idx val="17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21EF-F54A-B93D-2CEB263E6F27}"/>
              </c:ext>
            </c:extLst>
          </c:dPt>
          <c:dPt>
            <c:idx val="18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21EF-F54A-B93D-2CEB263E6F27}"/>
              </c:ext>
            </c:extLst>
          </c:dPt>
          <c:dPt>
            <c:idx val="19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21EF-F54A-B93D-2CEB263E6F27}"/>
              </c:ext>
            </c:extLst>
          </c:dPt>
          <c:dPt>
            <c:idx val="20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21EF-F54A-B93D-2CEB263E6F27}"/>
              </c:ext>
            </c:extLst>
          </c:dPt>
          <c:dPt>
            <c:idx val="2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21EF-F54A-B93D-2CEB263E6F27}"/>
              </c:ext>
            </c:extLst>
          </c:dPt>
          <c:dPt>
            <c:idx val="22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21EF-F54A-B93D-2CEB263E6F27}"/>
              </c:ext>
            </c:extLst>
          </c:dPt>
          <c:dPt>
            <c:idx val="23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21EF-F54A-B93D-2CEB263E6F27}"/>
              </c:ext>
            </c:extLst>
          </c:dPt>
          <c:dPt>
            <c:idx val="24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21EF-F54A-B93D-2CEB263E6F27}"/>
              </c:ext>
            </c:extLst>
          </c:dPt>
          <c:dPt>
            <c:idx val="25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21EF-F54A-B93D-2CEB263E6F27}"/>
              </c:ext>
            </c:extLst>
          </c:dPt>
          <c:dPt>
            <c:idx val="26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21EF-F54A-B93D-2CEB263E6F27}"/>
              </c:ext>
            </c:extLst>
          </c:dPt>
          <c:dPt>
            <c:idx val="27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21EF-F54A-B93D-2CEB263E6F27}"/>
              </c:ext>
            </c:extLst>
          </c:dPt>
          <c:dPt>
            <c:idx val="28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21EF-F54A-B93D-2CEB263E6F27}"/>
              </c:ext>
            </c:extLst>
          </c:dPt>
          <c:dPt>
            <c:idx val="29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21EF-F54A-B93D-2CEB263E6F27}"/>
              </c:ext>
            </c:extLst>
          </c:dPt>
          <c:dPt>
            <c:idx val="30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21EF-F54A-B93D-2CEB263E6F27}"/>
              </c:ext>
            </c:extLst>
          </c:dPt>
          <c:dPt>
            <c:idx val="3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21EF-F54A-B93D-2CEB263E6F27}"/>
              </c:ext>
            </c:extLst>
          </c:dPt>
          <c:dPt>
            <c:idx val="32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21EF-F54A-B93D-2CEB263E6F27}"/>
              </c:ext>
            </c:extLst>
          </c:dPt>
          <c:dPt>
            <c:idx val="33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21EF-F54A-B93D-2CEB263E6F27}"/>
              </c:ext>
            </c:extLst>
          </c:dPt>
          <c:dPt>
            <c:idx val="34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21EF-F54A-B93D-2CEB263E6F27}"/>
              </c:ext>
            </c:extLst>
          </c:dPt>
          <c:dPt>
            <c:idx val="35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21EF-F54A-B93D-2CEB263E6F27}"/>
              </c:ext>
            </c:extLst>
          </c:dPt>
          <c:dPt>
            <c:idx val="36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21EF-F54A-B93D-2CEB263E6F27}"/>
              </c:ext>
            </c:extLst>
          </c:dPt>
          <c:dPt>
            <c:idx val="37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21EF-F54A-B93D-2CEB263E6F27}"/>
              </c:ext>
            </c:extLst>
          </c:dPt>
          <c:dPt>
            <c:idx val="38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21EF-F54A-B93D-2CEB263E6F27}"/>
              </c:ext>
            </c:extLst>
          </c:dPt>
          <c:dPt>
            <c:idx val="39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21EF-F54A-B93D-2CEB263E6F27}"/>
              </c:ext>
            </c:extLst>
          </c:dPt>
          <c:dPt>
            <c:idx val="4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21EF-F54A-B93D-2CEB263E6F27}"/>
              </c:ext>
            </c:extLst>
          </c:dPt>
          <c:dPt>
            <c:idx val="4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21EF-F54A-B93D-2CEB263E6F27}"/>
              </c:ext>
            </c:extLst>
          </c:dPt>
          <c:dPt>
            <c:idx val="42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21EF-F54A-B93D-2CEB263E6F27}"/>
              </c:ext>
            </c:extLst>
          </c:dPt>
          <c:dPt>
            <c:idx val="43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21EF-F54A-B93D-2CEB263E6F27}"/>
              </c:ext>
            </c:extLst>
          </c:dPt>
          <c:dPt>
            <c:idx val="44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21EF-F54A-B93D-2CEB263E6F27}"/>
              </c:ext>
            </c:extLst>
          </c:dPt>
          <c:dPt>
            <c:idx val="45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21EF-F54A-B93D-2CEB263E6F27}"/>
              </c:ext>
            </c:extLst>
          </c:dPt>
          <c:dPt>
            <c:idx val="46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21EF-F54A-B93D-2CEB263E6F27}"/>
              </c:ext>
            </c:extLst>
          </c:dPt>
          <c:dPt>
            <c:idx val="47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21EF-F54A-B93D-2CEB263E6F27}"/>
              </c:ext>
            </c:extLst>
          </c:dPt>
          <c:dPt>
            <c:idx val="48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21EF-F54A-B93D-2CEB263E6F27}"/>
              </c:ext>
            </c:extLst>
          </c:dPt>
          <c:dPt>
            <c:idx val="49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21EF-F54A-B93D-2CEB263E6F27}"/>
              </c:ext>
            </c:extLst>
          </c:dPt>
          <c:dPt>
            <c:idx val="50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21EF-F54A-B93D-2CEB263E6F27}"/>
              </c:ext>
            </c:extLst>
          </c:dPt>
          <c:dPt>
            <c:idx val="5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21EF-F54A-B93D-2CEB263E6F27}"/>
              </c:ext>
            </c:extLst>
          </c:dPt>
          <c:dPt>
            <c:idx val="52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21EF-F54A-B93D-2CEB263E6F27}"/>
              </c:ext>
            </c:extLst>
          </c:dPt>
          <c:dPt>
            <c:idx val="53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21EF-F54A-B93D-2CEB263E6F27}"/>
              </c:ext>
            </c:extLst>
          </c:dPt>
          <c:dPt>
            <c:idx val="54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21EF-F54A-B93D-2CEB263E6F2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0"/>
            <c:showCatName val="1"/>
            <c:showSerName val="1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_SubAnalyticsData!$M$3:$M$57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_SubAnalyticsData!$O$3:$O$57</c:f>
              <c:numCache>
                <c:formatCode>\$#,##0.00</c:formatCode>
                <c:ptCount val="55"/>
                <c:pt idx="0">
                  <c:v>71.789999999999992</c:v>
                </c:pt>
                <c:pt idx="1">
                  <c:v>68.86</c:v>
                </c:pt>
                <c:pt idx="2">
                  <c:v>59.78</c:v>
                </c:pt>
                <c:pt idx="3">
                  <c:v>54.91</c:v>
                </c:pt>
                <c:pt idx="4">
                  <c:v>52.830000000000013</c:v>
                </c:pt>
                <c:pt idx="5">
                  <c:v>48.169999999999987</c:v>
                </c:pt>
                <c:pt idx="6">
                  <c:v>43.72</c:v>
                </c:pt>
                <c:pt idx="7">
                  <c:v>35.97</c:v>
                </c:pt>
                <c:pt idx="8">
                  <c:v>30.69</c:v>
                </c:pt>
                <c:pt idx="9">
                  <c:v>30.47</c:v>
                </c:pt>
                <c:pt idx="10">
                  <c:v>25.94</c:v>
                </c:pt>
                <c:pt idx="11">
                  <c:v>25.82</c:v>
                </c:pt>
                <c:pt idx="12">
                  <c:v>24.18</c:v>
                </c:pt>
                <c:pt idx="13">
                  <c:v>22.25</c:v>
                </c:pt>
                <c:pt idx="14">
                  <c:v>20.37</c:v>
                </c:pt>
                <c:pt idx="15">
                  <c:v>19.57</c:v>
                </c:pt>
                <c:pt idx="16">
                  <c:v>19.48</c:v>
                </c:pt>
                <c:pt idx="17">
                  <c:v>18.739999999999998</c:v>
                </c:pt>
                <c:pt idx="18">
                  <c:v>18.04</c:v>
                </c:pt>
                <c:pt idx="19">
                  <c:v>17.87</c:v>
                </c:pt>
                <c:pt idx="20">
                  <c:v>14.38</c:v>
                </c:pt>
                <c:pt idx="21">
                  <c:v>13.38</c:v>
                </c:pt>
                <c:pt idx="22">
                  <c:v>11.72</c:v>
                </c:pt>
                <c:pt idx="23">
                  <c:v>11.59</c:v>
                </c:pt>
                <c:pt idx="24">
                  <c:v>11.53</c:v>
                </c:pt>
                <c:pt idx="25">
                  <c:v>9.9600000000000009</c:v>
                </c:pt>
                <c:pt idx="26">
                  <c:v>9.94</c:v>
                </c:pt>
                <c:pt idx="27">
                  <c:v>8.42</c:v>
                </c:pt>
                <c:pt idx="28">
                  <c:v>8.2899999999999991</c:v>
                </c:pt>
                <c:pt idx="29">
                  <c:v>8.1999999999999993</c:v>
                </c:pt>
                <c:pt idx="30">
                  <c:v>7.97</c:v>
                </c:pt>
                <c:pt idx="31">
                  <c:v>6.98</c:v>
                </c:pt>
                <c:pt idx="32">
                  <c:v>6.97</c:v>
                </c:pt>
                <c:pt idx="33">
                  <c:v>5.99</c:v>
                </c:pt>
                <c:pt idx="34">
                  <c:v>5.99</c:v>
                </c:pt>
                <c:pt idx="35">
                  <c:v>5.97</c:v>
                </c:pt>
                <c:pt idx="36">
                  <c:v>5.78</c:v>
                </c:pt>
                <c:pt idx="37">
                  <c:v>5.74</c:v>
                </c:pt>
                <c:pt idx="38">
                  <c:v>5.58</c:v>
                </c:pt>
                <c:pt idx="39">
                  <c:v>5.34</c:v>
                </c:pt>
                <c:pt idx="40">
                  <c:v>4.99</c:v>
                </c:pt>
                <c:pt idx="41">
                  <c:v>4.49</c:v>
                </c:pt>
                <c:pt idx="42">
                  <c:v>4.25</c:v>
                </c:pt>
                <c:pt idx="43">
                  <c:v>3.99</c:v>
                </c:pt>
                <c:pt idx="44">
                  <c:v>3.99</c:v>
                </c:pt>
                <c:pt idx="45">
                  <c:v>3.89</c:v>
                </c:pt>
                <c:pt idx="46">
                  <c:v>3.77</c:v>
                </c:pt>
                <c:pt idx="47">
                  <c:v>3.58</c:v>
                </c:pt>
                <c:pt idx="48">
                  <c:v>3.38</c:v>
                </c:pt>
                <c:pt idx="49">
                  <c:v>3.32</c:v>
                </c:pt>
                <c:pt idx="50">
                  <c:v>3.19</c:v>
                </c:pt>
                <c:pt idx="51">
                  <c:v>2.79</c:v>
                </c:pt>
                <c:pt idx="52">
                  <c:v>2.56</c:v>
                </c:pt>
                <c:pt idx="53">
                  <c:v>1.27</c:v>
                </c:pt>
                <c:pt idx="54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21EF-F54A-B93D-2CEB263E6F27}"/>
            </c:ext>
          </c:extLst>
        </c:ser>
        <c:dLbls>
          <c:showLegendKey val="1"/>
          <c:showVal val="0"/>
          <c:showCatName val="1"/>
          <c:showSerName val="1"/>
          <c:showPercent val="0"/>
          <c:showBubbleSize val="1"/>
          <c:showLeaderLines val="1"/>
        </c:dLbls>
        <c:firstSliceAng val="0"/>
        <c:holeSize val="58"/>
      </c:doughnut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Products by Spending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_SubAnalyticsData!$S$2</c:f>
              <c:strCache>
                <c:ptCount val="1"/>
                <c:pt idx="0">
                  <c:v>Spending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7B-5F43-BE66-ECCE13136968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7B-5F43-BE66-ECCE13136968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7B-5F43-BE66-ECCE13136968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C7B-5F43-BE66-ECCE13136968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C7B-5F43-BE66-ECCE13136968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C7B-5F43-BE66-ECCE13136968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C7B-5F43-BE66-ECCE13136968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C7B-5F43-BE66-ECCE13136968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C7B-5F43-BE66-ECCE13136968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C7B-5F43-BE66-ECCE1313696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_SubAnalyticsData!$Q$3:$Q$12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_SubAnalyticsData!$S$3:$S$12</c:f>
              <c:numCache>
                <c:formatCode>\$#,##0.00</c:formatCode>
                <c:ptCount val="10"/>
                <c:pt idx="0">
                  <c:v>46.91</c:v>
                </c:pt>
                <c:pt idx="1">
                  <c:v>46.79</c:v>
                </c:pt>
                <c:pt idx="2">
                  <c:v>39.369999999999997</c:v>
                </c:pt>
                <c:pt idx="3">
                  <c:v>35.97</c:v>
                </c:pt>
                <c:pt idx="4">
                  <c:v>27.96</c:v>
                </c:pt>
                <c:pt idx="5">
                  <c:v>25.94</c:v>
                </c:pt>
                <c:pt idx="6">
                  <c:v>22.11</c:v>
                </c:pt>
                <c:pt idx="7">
                  <c:v>21.98</c:v>
                </c:pt>
                <c:pt idx="8">
                  <c:v>21.74</c:v>
                </c:pt>
                <c:pt idx="9">
                  <c:v>20.37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C7B-5F43-BE66-ECCE1313696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Spending by Store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_SubAnalyticsData!$Z$2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_SubAnalyticsData!$Z$3</c:f>
              <c:numCache>
                <c:formatCode>\$#,##0.00</c:formatCode>
                <c:ptCount val="1"/>
                <c:pt idx="0">
                  <c:v>324.61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CD-F04D-A763-9736A0E5C0D6}"/>
            </c:ext>
          </c:extLst>
        </c:ser>
        <c:ser>
          <c:idx val="1"/>
          <c:order val="1"/>
          <c:tx>
            <c:strRef>
              <c:f>_SubAnalyticsData!$AA$2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_SubAnalyticsData!$AA$3</c:f>
              <c:numCache>
                <c:formatCode>\$#,##0.00</c:formatCode>
                <c:ptCount val="1"/>
                <c:pt idx="0">
                  <c:v>262.92000000000007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CD-F04D-A763-9736A0E5C0D6}"/>
            </c:ext>
          </c:extLst>
        </c:ser>
        <c:ser>
          <c:idx val="2"/>
          <c:order val="2"/>
          <c:tx>
            <c:strRef>
              <c:f>_SubAnalyticsData!$AB$2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_SubAnalyticsData!$AB$3</c:f>
              <c:numCache>
                <c:formatCode>\$#,##0.00</c:formatCode>
                <c:ptCount val="1"/>
                <c:pt idx="0">
                  <c:v>125.58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4CD-F04D-A763-9736A0E5C0D6}"/>
            </c:ext>
          </c:extLst>
        </c:ser>
        <c:ser>
          <c:idx val="3"/>
          <c:order val="3"/>
          <c:tx>
            <c:strRef>
              <c:f>_SubAnalyticsData!$AC$2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_SubAnalyticsData!$AC$3</c:f>
              <c:numCache>
                <c:formatCode>\$#,##0.00</c:formatCode>
                <c:ptCount val="1"/>
                <c:pt idx="0">
                  <c:v>97.13000000000001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4CD-F04D-A763-9736A0E5C0D6}"/>
            </c:ext>
          </c:extLst>
        </c:ser>
        <c:ser>
          <c:idx val="4"/>
          <c:order val="4"/>
          <c:tx>
            <c:strRef>
              <c:f>_SubAnalyticsData!$AD$2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_SubAnalyticsData!$AD$3</c:f>
              <c:numCache>
                <c:formatCode>\$#,##0.00</c:formatCode>
                <c:ptCount val="1"/>
                <c:pt idx="0">
                  <c:v>56.7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4CD-F04D-A763-9736A0E5C0D6}"/>
            </c:ext>
          </c:extLst>
        </c:ser>
        <c:ser>
          <c:idx val="5"/>
          <c:order val="5"/>
          <c:tx>
            <c:strRef>
              <c:f>_SubAnalyticsData!$AE$2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_SubAnalyticsData!$AE$3</c:f>
              <c:numCache>
                <c:formatCode>\$#,##0.00</c:formatCode>
                <c:ptCount val="1"/>
                <c:pt idx="0">
                  <c:v>46.79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4CD-F04D-A763-9736A0E5C0D6}"/>
            </c:ext>
          </c:extLst>
        </c:ser>
        <c:ser>
          <c:idx val="6"/>
          <c:order val="6"/>
          <c:tx>
            <c:strRef>
              <c:f>_SubAnalyticsData!$AF$2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C55A11"/>
            </a:solidFill>
            <a:ln>
              <a:solidFill>
                <a:srgbClr val="C55A11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_SubAnalyticsData!$AF$3</c:f>
              <c:numCache>
                <c:formatCode>\$#,##0.00</c:formatCode>
                <c:ptCount val="1"/>
                <c:pt idx="0">
                  <c:v>13.3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55A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4CD-F04D-A763-9736A0E5C0D6}"/>
            </c:ext>
          </c:extLst>
        </c:ser>
        <c:ser>
          <c:idx val="7"/>
          <c:order val="7"/>
          <c:tx>
            <c:strRef>
              <c:f>_SubAnalyticsData!$AG$2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  <a:prstDash val="solid"/>
            </a:ln>
          </c:spPr>
          <c:invertIfNegative val="1"/>
          <c:cat>
            <c:numRef>
              <c:f>_SubAnalyticsData!$Y$3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_SubAnalyticsData!$AG$3</c:f>
              <c:numCache>
                <c:formatCode>\$#,##0.00</c:formatCode>
                <c:ptCount val="1"/>
                <c:pt idx="0">
                  <c:v>2.59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4823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54CD-F04D-A763-9736A0E5C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Spending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Purchase Frequency by Sub-Category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_SubAnalyticsData!$W$2</c:f>
              <c:strCache>
                <c:ptCount val="1"/>
                <c:pt idx="0">
                  <c:v>Purchases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60-E44F-A7A7-889FE41177CA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60-E44F-A7A7-889FE41177CA}"/>
              </c:ext>
            </c:extLst>
          </c:dPt>
          <c:dPt>
            <c:idx val="2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60-E44F-A7A7-889FE41177CA}"/>
              </c:ext>
            </c:extLst>
          </c:dPt>
          <c:dPt>
            <c:idx val="3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60-E44F-A7A7-889FE41177CA}"/>
              </c:ext>
            </c:extLst>
          </c:dPt>
          <c:dPt>
            <c:idx val="4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60-E44F-A7A7-889FE41177CA}"/>
              </c:ext>
            </c:extLst>
          </c:dPt>
          <c:dPt>
            <c:idx val="5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460-E44F-A7A7-889FE41177CA}"/>
              </c:ext>
            </c:extLst>
          </c:dPt>
          <c:dPt>
            <c:idx val="6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460-E44F-A7A7-889FE41177CA}"/>
              </c:ext>
            </c:extLst>
          </c:dPt>
          <c:dPt>
            <c:idx val="7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460-E44F-A7A7-889FE41177CA}"/>
              </c:ext>
            </c:extLst>
          </c:dPt>
          <c:dPt>
            <c:idx val="8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460-E44F-A7A7-889FE41177CA}"/>
              </c:ext>
            </c:extLst>
          </c:dPt>
          <c:dPt>
            <c:idx val="9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460-E44F-A7A7-889FE41177CA}"/>
              </c:ext>
            </c:extLst>
          </c:dPt>
          <c:dPt>
            <c:idx val="10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460-E44F-A7A7-889FE41177CA}"/>
              </c:ext>
            </c:extLst>
          </c:dPt>
          <c:dPt>
            <c:idx val="11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0460-E44F-A7A7-889FE41177CA}"/>
              </c:ext>
            </c:extLst>
          </c:dPt>
          <c:dPt>
            <c:idx val="12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0460-E44F-A7A7-889FE41177CA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0460-E44F-A7A7-889FE41177CA}"/>
              </c:ext>
            </c:extLst>
          </c:dPt>
          <c:dPt>
            <c:idx val="14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0460-E44F-A7A7-889FE41177CA}"/>
              </c:ext>
            </c:extLst>
          </c:dPt>
          <c:dPt>
            <c:idx val="15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0460-E44F-A7A7-889FE41177CA}"/>
              </c:ext>
            </c:extLst>
          </c:dPt>
          <c:dPt>
            <c:idx val="16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0460-E44F-A7A7-889FE41177CA}"/>
              </c:ext>
            </c:extLst>
          </c:dPt>
          <c:dPt>
            <c:idx val="17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0460-E44F-A7A7-889FE41177CA}"/>
              </c:ext>
            </c:extLst>
          </c:dPt>
          <c:dPt>
            <c:idx val="18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0460-E44F-A7A7-889FE41177CA}"/>
              </c:ext>
            </c:extLst>
          </c:dPt>
          <c:dPt>
            <c:idx val="19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0460-E44F-A7A7-889FE41177CA}"/>
              </c:ext>
            </c:extLst>
          </c:dPt>
          <c:dPt>
            <c:idx val="20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0460-E44F-A7A7-889FE41177CA}"/>
              </c:ext>
            </c:extLst>
          </c:dPt>
          <c:dPt>
            <c:idx val="21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0460-E44F-A7A7-889FE41177CA}"/>
              </c:ext>
            </c:extLst>
          </c:dPt>
          <c:dPt>
            <c:idx val="22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0460-E44F-A7A7-889FE41177CA}"/>
              </c:ext>
            </c:extLst>
          </c:dPt>
          <c:dPt>
            <c:idx val="23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0460-E44F-A7A7-889FE41177CA}"/>
              </c:ext>
            </c:extLst>
          </c:dPt>
          <c:dPt>
            <c:idx val="24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0460-E44F-A7A7-889FE41177CA}"/>
              </c:ext>
            </c:extLst>
          </c:dPt>
          <c:dPt>
            <c:idx val="25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0460-E44F-A7A7-889FE41177CA}"/>
              </c:ext>
            </c:extLst>
          </c:dPt>
          <c:dPt>
            <c:idx val="26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0460-E44F-A7A7-889FE41177CA}"/>
              </c:ext>
            </c:extLst>
          </c:dPt>
          <c:dPt>
            <c:idx val="27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0460-E44F-A7A7-889FE41177CA}"/>
              </c:ext>
            </c:extLst>
          </c:dPt>
          <c:dPt>
            <c:idx val="28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0460-E44F-A7A7-889FE41177CA}"/>
              </c:ext>
            </c:extLst>
          </c:dPt>
          <c:dPt>
            <c:idx val="29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0460-E44F-A7A7-889FE41177CA}"/>
              </c:ext>
            </c:extLst>
          </c:dPt>
          <c:dPt>
            <c:idx val="30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0460-E44F-A7A7-889FE41177CA}"/>
              </c:ext>
            </c:extLst>
          </c:dPt>
          <c:dPt>
            <c:idx val="31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0460-E44F-A7A7-889FE41177CA}"/>
              </c:ext>
            </c:extLst>
          </c:dPt>
          <c:dPt>
            <c:idx val="32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0460-E44F-A7A7-889FE41177CA}"/>
              </c:ext>
            </c:extLst>
          </c:dPt>
          <c:dPt>
            <c:idx val="33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0460-E44F-A7A7-889FE41177CA}"/>
              </c:ext>
            </c:extLst>
          </c:dPt>
          <c:dPt>
            <c:idx val="34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0460-E44F-A7A7-889FE41177CA}"/>
              </c:ext>
            </c:extLst>
          </c:dPt>
          <c:dPt>
            <c:idx val="35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0460-E44F-A7A7-889FE41177CA}"/>
              </c:ext>
            </c:extLst>
          </c:dPt>
          <c:dPt>
            <c:idx val="36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0460-E44F-A7A7-889FE41177CA}"/>
              </c:ext>
            </c:extLst>
          </c:dPt>
          <c:dPt>
            <c:idx val="37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0460-E44F-A7A7-889FE41177CA}"/>
              </c:ext>
            </c:extLst>
          </c:dPt>
          <c:dPt>
            <c:idx val="38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0460-E44F-A7A7-889FE41177CA}"/>
              </c:ext>
            </c:extLst>
          </c:dPt>
          <c:dPt>
            <c:idx val="39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0460-E44F-A7A7-889FE41177CA}"/>
              </c:ext>
            </c:extLst>
          </c:dPt>
          <c:dPt>
            <c:idx val="40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0460-E44F-A7A7-889FE41177CA}"/>
              </c:ext>
            </c:extLst>
          </c:dPt>
          <c:dPt>
            <c:idx val="41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0460-E44F-A7A7-889FE41177CA}"/>
              </c:ext>
            </c:extLst>
          </c:dPt>
          <c:dPt>
            <c:idx val="42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0460-E44F-A7A7-889FE41177CA}"/>
              </c:ext>
            </c:extLst>
          </c:dPt>
          <c:dPt>
            <c:idx val="43"/>
            <c:invertIfNegative val="1"/>
            <c:bubble3D val="0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0460-E44F-A7A7-889FE41177CA}"/>
              </c:ext>
            </c:extLst>
          </c:dPt>
          <c:dPt>
            <c:idx val="44"/>
            <c:invertIfNegative val="1"/>
            <c:bubble3D val="0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0460-E44F-A7A7-889FE41177CA}"/>
              </c:ext>
            </c:extLst>
          </c:dPt>
          <c:dPt>
            <c:idx val="45"/>
            <c:invertIfNegative val="1"/>
            <c:bubble3D val="0"/>
            <c:spPr>
              <a:solidFill>
                <a:srgbClr val="264478"/>
              </a:solidFill>
              <a:ln>
                <a:solidFill>
                  <a:srgbClr val="26447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0460-E44F-A7A7-889FE41177CA}"/>
              </c:ext>
            </c:extLst>
          </c:dPt>
          <c:dPt>
            <c:idx val="46"/>
            <c:invertIfNegative val="1"/>
            <c:bubble3D val="0"/>
            <c:spPr>
              <a:solidFill>
                <a:srgbClr val="9E480E"/>
              </a:solidFill>
              <a:ln>
                <a:solidFill>
                  <a:srgbClr val="9E480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0460-E44F-A7A7-889FE41177CA}"/>
              </c:ext>
            </c:extLst>
          </c:dPt>
          <c:dPt>
            <c:idx val="47"/>
            <c:invertIfNegative val="1"/>
            <c:bubble3D val="0"/>
            <c:spPr>
              <a:solidFill>
                <a:srgbClr val="636363"/>
              </a:solidFill>
              <a:ln>
                <a:solidFill>
                  <a:srgbClr val="63636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0460-E44F-A7A7-889FE41177CA}"/>
              </c:ext>
            </c:extLst>
          </c:dPt>
          <c:dPt>
            <c:idx val="48"/>
            <c:invertIfNegative val="1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0460-E44F-A7A7-889FE41177CA}"/>
              </c:ext>
            </c:extLst>
          </c:dPt>
          <c:dPt>
            <c:idx val="49"/>
            <c:invertIfNegative val="1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0460-E44F-A7A7-889FE41177CA}"/>
              </c:ext>
            </c:extLst>
          </c:dPt>
          <c:dPt>
            <c:idx val="50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0460-E44F-A7A7-889FE41177CA}"/>
              </c:ext>
            </c:extLst>
          </c:dPt>
          <c:dPt>
            <c:idx val="51"/>
            <c:invertIfNegative val="1"/>
            <c:bubble3D val="0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0460-E44F-A7A7-889FE41177CA}"/>
              </c:ext>
            </c:extLst>
          </c:dPt>
          <c:dPt>
            <c:idx val="52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0460-E44F-A7A7-889FE41177CA}"/>
              </c:ext>
            </c:extLst>
          </c:dPt>
          <c:dPt>
            <c:idx val="53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0460-E44F-A7A7-889FE41177CA}"/>
              </c:ext>
            </c:extLst>
          </c:dPt>
          <c:dPt>
            <c:idx val="54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0460-E44F-A7A7-889FE41177C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_SubAnalyticsData!$U$3:$U$57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_SubAnalyticsData!$W$3:$W$57</c:f>
              <c:numCache>
                <c:formatCode>General</c:formatCode>
                <c:ptCount val="55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0460-E44F-A7A7-889FE41177C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Purchases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Budget vs Category Spending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'BP 9_26 26'!$AH$1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c:spPr>
          <c:invertIfNegative val="1"/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26'!$AH$2:$AH$3</c:f>
              <c:numCache>
                <c:formatCode>\$#,##0.00</c:formatCode>
                <c:ptCount val="2"/>
                <c:pt idx="0">
                  <c:v>1400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F9-8644-8CAE-98D4C0CFF371}"/>
            </c:ext>
          </c:extLst>
        </c:ser>
        <c:ser>
          <c:idx val="1"/>
          <c:order val="1"/>
          <c:tx>
            <c:strRef>
              <c:f>'BP 9_26 26'!$AI$1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26'!$AI$2:$AI$3</c:f>
              <c:numCache>
                <c:formatCode>\$#,##0.00</c:formatCode>
                <c:ptCount val="2"/>
                <c:pt idx="0">
                  <c:v>0</c:v>
                </c:pt>
                <c:pt idx="1">
                  <c:v>17.87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2F9-8644-8CAE-98D4C0CFF371}"/>
            </c:ext>
          </c:extLst>
        </c:ser>
        <c:ser>
          <c:idx val="2"/>
          <c:order val="2"/>
          <c:tx>
            <c:strRef>
              <c:f>'BP 9_26 26'!$AJ$1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26'!$AJ$2:$AJ$3</c:f>
              <c:numCache>
                <c:formatCode>\$#,##0.00</c:formatCode>
                <c:ptCount val="2"/>
                <c:pt idx="0">
                  <c:v>0</c:v>
                </c:pt>
                <c:pt idx="1">
                  <c:v>59.78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2F9-8644-8CAE-98D4C0CFF371}"/>
            </c:ext>
          </c:extLst>
        </c:ser>
        <c:ser>
          <c:idx val="3"/>
          <c:order val="3"/>
          <c:tx>
            <c:strRef>
              <c:f>'BP 9_26 26'!$AK$1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26'!$AK$2:$AK$3</c:f>
              <c:numCache>
                <c:formatCode>\$#,##0.00</c:formatCode>
                <c:ptCount val="2"/>
                <c:pt idx="0">
                  <c:v>0</c:v>
                </c:pt>
                <c:pt idx="1">
                  <c:v>31.81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2F9-8644-8CAE-98D4C0CFF371}"/>
            </c:ext>
          </c:extLst>
        </c:ser>
        <c:ser>
          <c:idx val="4"/>
          <c:order val="4"/>
          <c:tx>
            <c:strRef>
              <c:f>'BP 9_26 26'!$AL$1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26'!$AL$2:$AL$3</c:f>
              <c:numCache>
                <c:formatCode>\$#,##0.00</c:formatCode>
                <c:ptCount val="2"/>
                <c:pt idx="0">
                  <c:v>0</c:v>
                </c:pt>
                <c:pt idx="1">
                  <c:v>3.99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72F9-8644-8CAE-98D4C0CFF371}"/>
            </c:ext>
          </c:extLst>
        </c:ser>
        <c:ser>
          <c:idx val="5"/>
          <c:order val="5"/>
          <c:tx>
            <c:strRef>
              <c:f>'BP 9_26 26'!$AM$1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26'!$AM$2:$AM$3</c:f>
              <c:numCache>
                <c:formatCode>\$#,##0.00</c:formatCode>
                <c:ptCount val="2"/>
                <c:pt idx="0">
                  <c:v>0</c:v>
                </c:pt>
                <c:pt idx="1">
                  <c:v>19.48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72F9-8644-8CAE-98D4C0CFF371}"/>
            </c:ext>
          </c:extLst>
        </c:ser>
        <c:ser>
          <c:idx val="6"/>
          <c:order val="6"/>
          <c:tx>
            <c:strRef>
              <c:f>'BP 9_26 26'!$AN$1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255E91"/>
            </a:solidFill>
            <a:ln>
              <a:solidFill>
                <a:srgbClr val="255E9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26'!$AN$2:$AN$3</c:f>
              <c:numCache>
                <c:formatCode>\$#,##0.00</c:formatCode>
                <c:ptCount val="2"/>
                <c:pt idx="0">
                  <c:v>0</c:v>
                </c:pt>
                <c:pt idx="1">
                  <c:v>21.08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5E9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72F9-8644-8CAE-98D4C0CFF371}"/>
            </c:ext>
          </c:extLst>
        </c:ser>
        <c:ser>
          <c:idx val="7"/>
          <c:order val="7"/>
          <c:tx>
            <c:strRef>
              <c:f>'BP 9_26 26'!$AO$1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9E480E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26'!$AO$2:$AO$3</c:f>
              <c:numCache>
                <c:formatCode>\$#,##0.00</c:formatCode>
                <c:ptCount val="2"/>
                <c:pt idx="0">
                  <c:v>0</c:v>
                </c:pt>
                <c:pt idx="1">
                  <c:v>-144.13999999999999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E480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72F9-8644-8CAE-98D4C0CFF371}"/>
            </c:ext>
          </c:extLst>
        </c:ser>
        <c:ser>
          <c:idx val="8"/>
          <c:order val="8"/>
          <c:tx>
            <c:strRef>
              <c:f>'BP 9_26 26'!$AP$1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636363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26'!$AP$2:$AP$3</c:f>
              <c:numCache>
                <c:formatCode>\$#,##0.00</c:formatCode>
                <c:ptCount val="2"/>
                <c:pt idx="0">
                  <c:v>0</c:v>
                </c:pt>
                <c:pt idx="1">
                  <c:v>137.88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3636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72F9-8644-8CAE-98D4C0CFF371}"/>
            </c:ext>
          </c:extLst>
        </c:ser>
        <c:ser>
          <c:idx val="9"/>
          <c:order val="9"/>
          <c:tx>
            <c:strRef>
              <c:f>'BP 9_26 26'!$AQ$1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997300"/>
            </a:solidFill>
            <a:ln>
              <a:solidFill>
                <a:srgbClr val="9973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26'!$AQ$2:$AQ$3</c:f>
              <c:numCache>
                <c:formatCode>\$#,##0.00</c:formatCode>
                <c:ptCount val="2"/>
                <c:pt idx="0">
                  <c:v>0</c:v>
                </c:pt>
                <c:pt idx="1">
                  <c:v>36.71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973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72F9-8644-8CAE-98D4C0CFF371}"/>
            </c:ext>
          </c:extLst>
        </c:ser>
        <c:ser>
          <c:idx val="10"/>
          <c:order val="10"/>
          <c:tx>
            <c:strRef>
              <c:f>'BP 9_26 26'!$AR$1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264478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26'!$AR$2:$AR$3</c:f>
              <c:numCache>
                <c:formatCode>\$#,##0.00</c:formatCode>
                <c:ptCount val="2"/>
                <c:pt idx="0">
                  <c:v>0</c:v>
                </c:pt>
                <c:pt idx="1">
                  <c:v>8.1999999999999993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644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72F9-8644-8CAE-98D4C0CFF371}"/>
            </c:ext>
          </c:extLst>
        </c:ser>
        <c:ser>
          <c:idx val="11"/>
          <c:order val="11"/>
          <c:tx>
            <c:strRef>
              <c:f>'BP 9_26 26'!$AS$1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43682B"/>
            </a:solidFill>
            <a:ln>
              <a:solidFill>
                <a:srgbClr val="43682B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26'!$AS$2:$AS$3</c:f>
              <c:numCache>
                <c:formatCode>\$#,##0.00</c:formatCode>
                <c:ptCount val="2"/>
                <c:pt idx="0">
                  <c:v>0</c:v>
                </c:pt>
                <c:pt idx="1">
                  <c:v>30.69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3682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72F9-8644-8CAE-98D4C0CFF371}"/>
            </c:ext>
          </c:extLst>
        </c:ser>
        <c:ser>
          <c:idx val="12"/>
          <c:order val="12"/>
          <c:tx>
            <c:strRef>
              <c:f>'BP 9_26 26'!$AT$1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8064A2"/>
            </a:solidFill>
            <a:ln>
              <a:solidFill>
                <a:srgbClr val="8064A2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26'!$AT$2:$AT$3</c:f>
              <c:numCache>
                <c:formatCode>\$#,##0.00</c:formatCode>
                <c:ptCount val="2"/>
                <c:pt idx="0">
                  <c:v>0</c:v>
                </c:pt>
                <c:pt idx="1">
                  <c:v>60.9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4A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72F9-8644-8CAE-98D4C0CFF371}"/>
            </c:ext>
          </c:extLst>
        </c:ser>
        <c:ser>
          <c:idx val="13"/>
          <c:order val="13"/>
          <c:tx>
            <c:strRef>
              <c:f>'BP 9_26 26'!$AU$1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4BACC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26'!$AU$2:$AU$3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BACC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72F9-8644-8CAE-98D4C0CFF371}"/>
            </c:ext>
          </c:extLst>
        </c:ser>
        <c:ser>
          <c:idx val="14"/>
          <c:order val="14"/>
          <c:tx>
            <c:strRef>
              <c:f>'BP 9_26 26'!$AV$1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rgbClr val="F79646"/>
            </a:solidFill>
            <a:ln>
              <a:solidFill>
                <a:srgbClr val="F7964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26'!$AV$2:$AV$3</c:f>
              <c:numCache>
                <c:formatCode>\$#,##0.00</c:formatCode>
                <c:ptCount val="2"/>
                <c:pt idx="0">
                  <c:v>0</c:v>
                </c:pt>
                <c:pt idx="1">
                  <c:v>14.05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7964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72F9-8644-8CAE-98D4C0CFF371}"/>
            </c:ext>
          </c:extLst>
        </c:ser>
        <c:ser>
          <c:idx val="15"/>
          <c:order val="15"/>
          <c:tx>
            <c:strRef>
              <c:f>'BP 9_26 26'!$AW$1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92A9CF"/>
            </a:solidFill>
            <a:ln>
              <a:solidFill>
                <a:srgbClr val="92A9C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26'!$AW$2:$AW$3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2A9C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72F9-8644-8CAE-98D4C0CFF371}"/>
            </c:ext>
          </c:extLst>
        </c:ser>
        <c:ser>
          <c:idx val="16"/>
          <c:order val="16"/>
          <c:tx>
            <c:strRef>
              <c:f>'BP 9_26 26'!$AX$1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95B3D7"/>
            </a:solidFill>
            <a:ln>
              <a:solidFill>
                <a:srgbClr val="95B3D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26'!$AX$2:$AX$3</c:f>
              <c:numCache>
                <c:formatCode>\$#,##0.00</c:formatCode>
                <c:ptCount val="2"/>
                <c:pt idx="0">
                  <c:v>0</c:v>
                </c:pt>
                <c:pt idx="1">
                  <c:v>110.57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5B3D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72F9-8644-8CAE-98D4C0CFF371}"/>
            </c:ext>
          </c:extLst>
        </c:ser>
        <c:ser>
          <c:idx val="17"/>
          <c:order val="17"/>
          <c:tx>
            <c:strRef>
              <c:f>'BP 9_26 26'!$AY$1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26'!$AY$2:$AY$3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504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72F9-8644-8CAE-98D4C0CFF371}"/>
            </c:ext>
          </c:extLst>
        </c:ser>
        <c:ser>
          <c:idx val="18"/>
          <c:order val="18"/>
          <c:tx>
            <c:strRef>
              <c:f>'BP 9_26 26'!$AZ$1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rgbClr val="9BBB59"/>
            </a:solidFill>
            <a:ln>
              <a:solidFill>
                <a:srgbClr val="9BBB59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26'!$AZ$2:$AZ$3</c:f>
              <c:numCache>
                <c:formatCode>\$#,##0.00</c:formatCode>
                <c:ptCount val="2"/>
                <c:pt idx="0">
                  <c:v>0</c:v>
                </c:pt>
                <c:pt idx="1">
                  <c:v>76.929999999999993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BBB5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72F9-8644-8CAE-98D4C0CFF371}"/>
            </c:ext>
          </c:extLst>
        </c:ser>
        <c:ser>
          <c:idx val="19"/>
          <c:order val="19"/>
          <c:tx>
            <c:strRef>
              <c:f>'BP 9_26 26'!$BA$1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26'!$BA$2:$BA$3</c:f>
              <c:numCache>
                <c:formatCode>\$#,##0.00</c:formatCode>
                <c:ptCount val="2"/>
                <c:pt idx="0">
                  <c:v>0</c:v>
                </c:pt>
                <c:pt idx="1">
                  <c:v>25.94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72F9-8644-8CAE-98D4C0CFF371}"/>
            </c:ext>
          </c:extLst>
        </c:ser>
        <c:ser>
          <c:idx val="20"/>
          <c:order val="20"/>
          <c:tx>
            <c:strRef>
              <c:f>'BP 9_26 26'!$BB$1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6000"/>
            </a:solidFill>
            <a:ln>
              <a:solidFill>
                <a:srgbClr val="806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26'!$BB$2:$BB$3</c:f>
              <c:numCache>
                <c:formatCode>\$#,##0.00</c:formatCode>
                <c:ptCount val="2"/>
                <c:pt idx="0">
                  <c:v>0</c:v>
                </c:pt>
                <c:pt idx="1">
                  <c:v>71.789999999999992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72F9-8644-8CAE-98D4C0CFF371}"/>
            </c:ext>
          </c:extLst>
        </c:ser>
        <c:ser>
          <c:idx val="21"/>
          <c:order val="21"/>
          <c:tx>
            <c:strRef>
              <c:f>'BP 9_26 26'!$BC$1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26'!$BC$2:$BC$3</c:f>
              <c:numCache>
                <c:formatCode>\$#,##0.00</c:formatCode>
                <c:ptCount val="2"/>
                <c:pt idx="0">
                  <c:v>0</c:v>
                </c:pt>
                <c:pt idx="1">
                  <c:v>127.81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72F9-8644-8CAE-98D4C0CFF371}"/>
            </c:ext>
          </c:extLst>
        </c:ser>
        <c:ser>
          <c:idx val="22"/>
          <c:order val="22"/>
          <c:tx>
            <c:strRef>
              <c:f>'BP 9_26 26'!$BD$1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26'!$BD$2:$BD$3</c:f>
              <c:numCache>
                <c:formatCode>\$#,##0.00</c:formatCode>
                <c:ptCount val="2"/>
                <c:pt idx="0">
                  <c:v>0</c:v>
                </c:pt>
                <c:pt idx="1">
                  <c:v>29.22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72F9-8644-8CAE-98D4C0CFF371}"/>
            </c:ext>
          </c:extLst>
        </c:ser>
        <c:ser>
          <c:idx val="23"/>
          <c:order val="23"/>
          <c:tx>
            <c:strRef>
              <c:f>'BP 9_26 26'!$BE$1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26'!$BE$2:$BE$3</c:f>
              <c:numCache>
                <c:formatCode>\$#,##0.00</c:formatCode>
                <c:ptCount val="2"/>
                <c:pt idx="0">
                  <c:v>0</c:v>
                </c:pt>
                <c:pt idx="1">
                  <c:v>30.54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E-72F9-8644-8CAE-98D4C0CFF371}"/>
            </c:ext>
          </c:extLst>
        </c:ser>
        <c:ser>
          <c:idx val="24"/>
          <c:order val="24"/>
          <c:tx>
            <c:strRef>
              <c:f>'BP 9_26 26'!$BF$1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26'!$BF$2:$BF$3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0-72F9-8644-8CAE-98D4C0CFF371}"/>
            </c:ext>
          </c:extLst>
        </c:ser>
        <c:ser>
          <c:idx val="25"/>
          <c:order val="25"/>
          <c:tx>
            <c:strRef>
              <c:f>'BP 9_26 26'!$BG$1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2F9-8644-8CAE-98D4C0CFF3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 26'!$BG$2:$BG$3</c:f>
              <c:numCache>
                <c:formatCode>\$#,##0.00</c:formatCode>
                <c:ptCount val="2"/>
                <c:pt idx="0">
                  <c:v>0</c:v>
                </c:pt>
                <c:pt idx="1">
                  <c:v>14.38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2-72F9-8644-8CAE-98D4C0CFF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Budget vs Category Spending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'BP 9_26w1 26'!$AH$1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c:spPr>
          <c:invertIfNegative val="1"/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26'!$AH$2:$AH$3</c:f>
              <c:numCache>
                <c:formatCode>\$#,##0.00</c:formatCode>
                <c:ptCount val="2"/>
                <c:pt idx="0">
                  <c:v>233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60-534D-BBAF-4486CD93426B}"/>
            </c:ext>
          </c:extLst>
        </c:ser>
        <c:ser>
          <c:idx val="1"/>
          <c:order val="1"/>
          <c:tx>
            <c:strRef>
              <c:f>'BP 9_26w1 26'!$AI$1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26'!$AI$2:$AI$3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660-534D-BBAF-4486CD93426B}"/>
            </c:ext>
          </c:extLst>
        </c:ser>
        <c:ser>
          <c:idx val="2"/>
          <c:order val="2"/>
          <c:tx>
            <c:strRef>
              <c:f>'BP 9_26w1 26'!$AJ$1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26'!$AJ$2:$AJ$3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660-534D-BBAF-4486CD93426B}"/>
            </c:ext>
          </c:extLst>
        </c:ser>
        <c:ser>
          <c:idx val="3"/>
          <c:order val="3"/>
          <c:tx>
            <c:strRef>
              <c:f>'BP 9_26w1 26'!$AK$1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26'!$AK$2:$AK$3</c:f>
              <c:numCache>
                <c:formatCode>\$#,##0.00</c:formatCode>
                <c:ptCount val="2"/>
                <c:pt idx="0">
                  <c:v>0</c:v>
                </c:pt>
                <c:pt idx="1">
                  <c:v>6.79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660-534D-BBAF-4486CD93426B}"/>
            </c:ext>
          </c:extLst>
        </c:ser>
        <c:ser>
          <c:idx val="4"/>
          <c:order val="4"/>
          <c:tx>
            <c:strRef>
              <c:f>'BP 9_26w1 26'!$AL$1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26'!$AL$2:$AL$3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5660-534D-BBAF-4486CD93426B}"/>
            </c:ext>
          </c:extLst>
        </c:ser>
        <c:ser>
          <c:idx val="5"/>
          <c:order val="5"/>
          <c:tx>
            <c:strRef>
              <c:f>'BP 9_26w1 26'!$AM$1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26'!$AM$2:$AM$3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5660-534D-BBAF-4486CD93426B}"/>
            </c:ext>
          </c:extLst>
        </c:ser>
        <c:ser>
          <c:idx val="6"/>
          <c:order val="6"/>
          <c:tx>
            <c:strRef>
              <c:f>'BP 9_26w1 26'!$AN$1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255E91"/>
            </a:solidFill>
            <a:ln>
              <a:solidFill>
                <a:srgbClr val="255E9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26'!$AN$2:$AN$3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5E9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5660-534D-BBAF-4486CD93426B}"/>
            </c:ext>
          </c:extLst>
        </c:ser>
        <c:ser>
          <c:idx val="7"/>
          <c:order val="7"/>
          <c:tx>
            <c:strRef>
              <c:f>'BP 9_26w1 26'!$AO$1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9E480E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26'!$AO$2:$AO$3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E480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5660-534D-BBAF-4486CD93426B}"/>
            </c:ext>
          </c:extLst>
        </c:ser>
        <c:ser>
          <c:idx val="8"/>
          <c:order val="8"/>
          <c:tx>
            <c:strRef>
              <c:f>'BP 9_26w1 26'!$AP$1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636363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26'!$AP$2:$AP$3</c:f>
              <c:numCache>
                <c:formatCode>\$#,##0.00</c:formatCode>
                <c:ptCount val="2"/>
                <c:pt idx="0">
                  <c:v>0</c:v>
                </c:pt>
                <c:pt idx="1">
                  <c:v>26.16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3636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5660-534D-BBAF-4486CD93426B}"/>
            </c:ext>
          </c:extLst>
        </c:ser>
        <c:ser>
          <c:idx val="9"/>
          <c:order val="9"/>
          <c:tx>
            <c:strRef>
              <c:f>'BP 9_26w1 26'!$AQ$1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997300"/>
            </a:solidFill>
            <a:ln>
              <a:solidFill>
                <a:srgbClr val="9973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26'!$AQ$2:$AQ$3</c:f>
              <c:numCache>
                <c:formatCode>\$#,##0.00</c:formatCode>
                <c:ptCount val="2"/>
                <c:pt idx="0">
                  <c:v>0</c:v>
                </c:pt>
                <c:pt idx="1">
                  <c:v>29.75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973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5660-534D-BBAF-4486CD93426B}"/>
            </c:ext>
          </c:extLst>
        </c:ser>
        <c:ser>
          <c:idx val="10"/>
          <c:order val="10"/>
          <c:tx>
            <c:strRef>
              <c:f>'BP 9_26w1 26'!$AR$1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264478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26'!$AR$2:$AR$3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644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5660-534D-BBAF-4486CD93426B}"/>
            </c:ext>
          </c:extLst>
        </c:ser>
        <c:ser>
          <c:idx val="11"/>
          <c:order val="11"/>
          <c:tx>
            <c:strRef>
              <c:f>'BP 9_26w1 26'!$AS$1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43682B"/>
            </a:solidFill>
            <a:ln>
              <a:solidFill>
                <a:srgbClr val="43682B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26'!$AS$2:$AS$3</c:f>
              <c:numCache>
                <c:formatCode>\$#,##0.00</c:formatCode>
                <c:ptCount val="2"/>
                <c:pt idx="0">
                  <c:v>0</c:v>
                </c:pt>
                <c:pt idx="1">
                  <c:v>1.87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3682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5660-534D-BBAF-4486CD93426B}"/>
            </c:ext>
          </c:extLst>
        </c:ser>
        <c:ser>
          <c:idx val="12"/>
          <c:order val="12"/>
          <c:tx>
            <c:strRef>
              <c:f>'BP 9_26w1 26'!$AT$1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8064A2"/>
            </a:solidFill>
            <a:ln>
              <a:solidFill>
                <a:srgbClr val="8064A2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26'!$AT$2:$AT$3</c:f>
              <c:numCache>
                <c:formatCode>\$#,##0.00</c:formatCode>
                <c:ptCount val="2"/>
                <c:pt idx="0">
                  <c:v>0</c:v>
                </c:pt>
                <c:pt idx="1">
                  <c:v>52.9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4A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5660-534D-BBAF-4486CD93426B}"/>
            </c:ext>
          </c:extLst>
        </c:ser>
        <c:ser>
          <c:idx val="13"/>
          <c:order val="13"/>
          <c:tx>
            <c:strRef>
              <c:f>'BP 9_26w1 26'!$AU$1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4BACC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26'!$AU$2:$AU$3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BACC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5660-534D-BBAF-4486CD93426B}"/>
            </c:ext>
          </c:extLst>
        </c:ser>
        <c:ser>
          <c:idx val="14"/>
          <c:order val="14"/>
          <c:tx>
            <c:strRef>
              <c:f>'BP 9_26w1 26'!$AV$1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rgbClr val="F79646"/>
            </a:solidFill>
            <a:ln>
              <a:solidFill>
                <a:srgbClr val="F7964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26'!$AV$2:$AV$3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7964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5660-534D-BBAF-4486CD93426B}"/>
            </c:ext>
          </c:extLst>
        </c:ser>
        <c:ser>
          <c:idx val="15"/>
          <c:order val="15"/>
          <c:tx>
            <c:strRef>
              <c:f>'BP 9_26w1 26'!$AW$1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92A9CF"/>
            </a:solidFill>
            <a:ln>
              <a:solidFill>
                <a:srgbClr val="92A9C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26'!$AW$2:$AW$3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2A9C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5660-534D-BBAF-4486CD93426B}"/>
            </c:ext>
          </c:extLst>
        </c:ser>
        <c:ser>
          <c:idx val="16"/>
          <c:order val="16"/>
          <c:tx>
            <c:strRef>
              <c:f>'BP 9_26w1 26'!$AX$1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95B3D7"/>
            </a:solidFill>
            <a:ln>
              <a:solidFill>
                <a:srgbClr val="95B3D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26'!$AX$2:$AX$3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5B3D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5660-534D-BBAF-4486CD93426B}"/>
            </c:ext>
          </c:extLst>
        </c:ser>
        <c:ser>
          <c:idx val="17"/>
          <c:order val="17"/>
          <c:tx>
            <c:strRef>
              <c:f>'BP 9_26w1 26'!$AY$1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26'!$AY$2:$AY$3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504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5660-534D-BBAF-4486CD93426B}"/>
            </c:ext>
          </c:extLst>
        </c:ser>
        <c:ser>
          <c:idx val="18"/>
          <c:order val="18"/>
          <c:tx>
            <c:strRef>
              <c:f>'BP 9_26w1 26'!$AZ$1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rgbClr val="9BBB59"/>
            </a:solidFill>
            <a:ln>
              <a:solidFill>
                <a:srgbClr val="9BBB59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26'!$AZ$2:$AZ$3</c:f>
              <c:numCache>
                <c:formatCode>\$#,##0.00</c:formatCode>
                <c:ptCount val="2"/>
                <c:pt idx="0">
                  <c:v>0</c:v>
                </c:pt>
                <c:pt idx="1">
                  <c:v>18.57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BBB5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5660-534D-BBAF-4486CD93426B}"/>
            </c:ext>
          </c:extLst>
        </c:ser>
        <c:ser>
          <c:idx val="19"/>
          <c:order val="19"/>
          <c:tx>
            <c:strRef>
              <c:f>'BP 9_26w1 26'!$BA$1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26'!$BA$2:$BA$3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5660-534D-BBAF-4486CD93426B}"/>
            </c:ext>
          </c:extLst>
        </c:ser>
        <c:ser>
          <c:idx val="20"/>
          <c:order val="20"/>
          <c:tx>
            <c:strRef>
              <c:f>'BP 9_26w1 26'!$BB$1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6000"/>
            </a:solidFill>
            <a:ln>
              <a:solidFill>
                <a:srgbClr val="806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26'!$BB$2:$BB$3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5660-534D-BBAF-4486CD93426B}"/>
            </c:ext>
          </c:extLst>
        </c:ser>
        <c:ser>
          <c:idx val="21"/>
          <c:order val="21"/>
          <c:tx>
            <c:strRef>
              <c:f>'BP 9_26w1 26'!$BC$1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26'!$BC$2:$BC$3</c:f>
              <c:numCache>
                <c:formatCode>\$#,##0.00</c:formatCode>
                <c:ptCount val="2"/>
                <c:pt idx="0">
                  <c:v>0</c:v>
                </c:pt>
                <c:pt idx="1">
                  <c:v>18.760000000000002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5660-534D-BBAF-4486CD93426B}"/>
            </c:ext>
          </c:extLst>
        </c:ser>
        <c:ser>
          <c:idx val="22"/>
          <c:order val="22"/>
          <c:tx>
            <c:strRef>
              <c:f>'BP 9_26w1 26'!$BD$1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26'!$BD$2:$BD$3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5660-534D-BBAF-4486CD93426B}"/>
            </c:ext>
          </c:extLst>
        </c:ser>
        <c:ser>
          <c:idx val="23"/>
          <c:order val="23"/>
          <c:tx>
            <c:strRef>
              <c:f>'BP 9_26w1 26'!$BE$1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26'!$BE$2:$BE$3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E-5660-534D-BBAF-4486CD93426B}"/>
            </c:ext>
          </c:extLst>
        </c:ser>
        <c:ser>
          <c:idx val="24"/>
          <c:order val="24"/>
          <c:tx>
            <c:strRef>
              <c:f>'BP 9_26w1 26'!$BF$1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26'!$BF$2:$BF$3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0-5660-534D-BBAF-4486CD93426B}"/>
            </c:ext>
          </c:extLst>
        </c:ser>
        <c:ser>
          <c:idx val="25"/>
          <c:order val="25"/>
          <c:tx>
            <c:strRef>
              <c:f>'BP 9_26w1 26'!$BG$1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5660-534D-BBAF-4486CD9342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9_26w1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9_26w1 26'!$BG$2:$BG$3</c:f>
              <c:numCache>
                <c:formatCode>\$#,##0.00</c:formatCode>
                <c:ptCount val="2"/>
                <c:pt idx="0">
                  <c:v>0</c:v>
                </c:pt>
                <c:pt idx="1">
                  <c:v>7.19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2-5660-534D-BBAF-4486CD934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Budget vs Category Spending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'BP 9_26w2 26'!$AH$1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c:spPr>
          <c:invertIfNegative val="1"/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26'!$AH$2:$AH$3</c:f>
              <c:numCache>
                <c:formatCode>\$#,##0.00</c:formatCode>
                <c:ptCount val="2"/>
                <c:pt idx="0">
                  <c:v>326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A2-B54A-8FAC-31EA0DC2C84F}"/>
            </c:ext>
          </c:extLst>
        </c:ser>
        <c:ser>
          <c:idx val="1"/>
          <c:order val="1"/>
          <c:tx>
            <c:strRef>
              <c:f>'BP 9_26w2 26'!$AI$1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26'!$AI$2:$AI$3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7A2-B54A-8FAC-31EA0DC2C84F}"/>
            </c:ext>
          </c:extLst>
        </c:ser>
        <c:ser>
          <c:idx val="2"/>
          <c:order val="2"/>
          <c:tx>
            <c:strRef>
              <c:f>'BP 9_26w2 26'!$AJ$1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26'!$AJ$2:$AJ$3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7A2-B54A-8FAC-31EA0DC2C84F}"/>
            </c:ext>
          </c:extLst>
        </c:ser>
        <c:ser>
          <c:idx val="3"/>
          <c:order val="3"/>
          <c:tx>
            <c:strRef>
              <c:f>'BP 9_26w2 26'!$AK$1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26'!$AK$2:$AK$3</c:f>
              <c:numCache>
                <c:formatCode>\$#,##0.00</c:formatCode>
                <c:ptCount val="2"/>
                <c:pt idx="0">
                  <c:v>0</c:v>
                </c:pt>
                <c:pt idx="1">
                  <c:v>15.77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D7A2-B54A-8FAC-31EA0DC2C84F}"/>
            </c:ext>
          </c:extLst>
        </c:ser>
        <c:ser>
          <c:idx val="4"/>
          <c:order val="4"/>
          <c:tx>
            <c:strRef>
              <c:f>'BP 9_26w2 26'!$AL$1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26'!$AL$2:$AL$3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D7A2-B54A-8FAC-31EA0DC2C84F}"/>
            </c:ext>
          </c:extLst>
        </c:ser>
        <c:ser>
          <c:idx val="5"/>
          <c:order val="5"/>
          <c:tx>
            <c:strRef>
              <c:f>'BP 9_26w2 26'!$AM$1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26'!$AM$2:$AM$3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D7A2-B54A-8FAC-31EA0DC2C84F}"/>
            </c:ext>
          </c:extLst>
        </c:ser>
        <c:ser>
          <c:idx val="6"/>
          <c:order val="6"/>
          <c:tx>
            <c:strRef>
              <c:f>'BP 9_26w2 26'!$AN$1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255E91"/>
            </a:solidFill>
            <a:ln>
              <a:solidFill>
                <a:srgbClr val="255E9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26'!$AN$2:$AN$3</c:f>
              <c:numCache>
                <c:formatCode>\$#,##0.00</c:formatCode>
                <c:ptCount val="2"/>
                <c:pt idx="0">
                  <c:v>0</c:v>
                </c:pt>
                <c:pt idx="1">
                  <c:v>7.17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5E9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D7A2-B54A-8FAC-31EA0DC2C84F}"/>
            </c:ext>
          </c:extLst>
        </c:ser>
        <c:ser>
          <c:idx val="7"/>
          <c:order val="7"/>
          <c:tx>
            <c:strRef>
              <c:f>'BP 9_26w2 26'!$AO$1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9E480E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26'!$AO$2:$AO$3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E480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D7A2-B54A-8FAC-31EA0DC2C84F}"/>
            </c:ext>
          </c:extLst>
        </c:ser>
        <c:ser>
          <c:idx val="8"/>
          <c:order val="8"/>
          <c:tx>
            <c:strRef>
              <c:f>'BP 9_26w2 26'!$AP$1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636363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26'!$AP$2:$AP$3</c:f>
              <c:numCache>
                <c:formatCode>\$#,##0.00</c:formatCode>
                <c:ptCount val="2"/>
                <c:pt idx="0">
                  <c:v>0</c:v>
                </c:pt>
                <c:pt idx="1">
                  <c:v>38.53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3636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D7A2-B54A-8FAC-31EA0DC2C84F}"/>
            </c:ext>
          </c:extLst>
        </c:ser>
        <c:ser>
          <c:idx val="9"/>
          <c:order val="9"/>
          <c:tx>
            <c:strRef>
              <c:f>'BP 9_26w2 26'!$AQ$1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997300"/>
            </a:solidFill>
            <a:ln>
              <a:solidFill>
                <a:srgbClr val="9973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26'!$AQ$2:$AQ$3</c:f>
              <c:numCache>
                <c:formatCode>\$#,##0.00</c:formatCode>
                <c:ptCount val="2"/>
                <c:pt idx="0">
                  <c:v>0</c:v>
                </c:pt>
                <c:pt idx="1">
                  <c:v>6.9600000000000009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973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D7A2-B54A-8FAC-31EA0DC2C84F}"/>
            </c:ext>
          </c:extLst>
        </c:ser>
        <c:ser>
          <c:idx val="10"/>
          <c:order val="10"/>
          <c:tx>
            <c:strRef>
              <c:f>'BP 9_26w2 26'!$AR$1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264478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26'!$AR$2:$AR$3</c:f>
              <c:numCache>
                <c:formatCode>\$#,##0.00</c:formatCode>
                <c:ptCount val="2"/>
                <c:pt idx="0">
                  <c:v>0</c:v>
                </c:pt>
                <c:pt idx="1">
                  <c:v>3.32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644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D7A2-B54A-8FAC-31EA0DC2C84F}"/>
            </c:ext>
          </c:extLst>
        </c:ser>
        <c:ser>
          <c:idx val="11"/>
          <c:order val="11"/>
          <c:tx>
            <c:strRef>
              <c:f>'BP 9_26w2 26'!$AS$1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43682B"/>
            </a:solidFill>
            <a:ln>
              <a:solidFill>
                <a:srgbClr val="43682B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26'!$AS$2:$AS$3</c:f>
              <c:numCache>
                <c:formatCode>\$#,##0.00</c:formatCode>
                <c:ptCount val="2"/>
                <c:pt idx="0">
                  <c:v>0</c:v>
                </c:pt>
                <c:pt idx="1">
                  <c:v>1.56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3682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D7A2-B54A-8FAC-31EA0DC2C84F}"/>
            </c:ext>
          </c:extLst>
        </c:ser>
        <c:ser>
          <c:idx val="12"/>
          <c:order val="12"/>
          <c:tx>
            <c:strRef>
              <c:f>'BP 9_26w2 26'!$AT$1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8064A2"/>
            </a:solidFill>
            <a:ln>
              <a:solidFill>
                <a:srgbClr val="8064A2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26'!$AT$2:$AT$3</c:f>
              <c:numCache>
                <c:formatCode>\$#,##0.00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4A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D7A2-B54A-8FAC-31EA0DC2C84F}"/>
            </c:ext>
          </c:extLst>
        </c:ser>
        <c:ser>
          <c:idx val="13"/>
          <c:order val="13"/>
          <c:tx>
            <c:strRef>
              <c:f>'BP 9_26w2 26'!$AU$1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4BACC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26'!$AU$2:$AU$3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BACC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D7A2-B54A-8FAC-31EA0DC2C84F}"/>
            </c:ext>
          </c:extLst>
        </c:ser>
        <c:ser>
          <c:idx val="14"/>
          <c:order val="14"/>
          <c:tx>
            <c:strRef>
              <c:f>'BP 9_26w2 26'!$AV$1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rgbClr val="F79646"/>
            </a:solidFill>
            <a:ln>
              <a:solidFill>
                <a:srgbClr val="F7964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26'!$AV$2:$AV$3</c:f>
              <c:numCache>
                <c:formatCode>\$#,##0.00</c:formatCode>
                <c:ptCount val="2"/>
                <c:pt idx="0">
                  <c:v>0</c:v>
                </c:pt>
                <c:pt idx="1">
                  <c:v>12.78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7964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D7A2-B54A-8FAC-31EA0DC2C84F}"/>
            </c:ext>
          </c:extLst>
        </c:ser>
        <c:ser>
          <c:idx val="15"/>
          <c:order val="15"/>
          <c:tx>
            <c:strRef>
              <c:f>'BP 9_26w2 26'!$AW$1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92A9CF"/>
            </a:solidFill>
            <a:ln>
              <a:solidFill>
                <a:srgbClr val="92A9C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26'!$AW$2:$AW$3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2A9C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D7A2-B54A-8FAC-31EA0DC2C84F}"/>
            </c:ext>
          </c:extLst>
        </c:ser>
        <c:ser>
          <c:idx val="16"/>
          <c:order val="16"/>
          <c:tx>
            <c:strRef>
              <c:f>'BP 9_26w2 26'!$AX$1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95B3D7"/>
            </a:solidFill>
            <a:ln>
              <a:solidFill>
                <a:srgbClr val="95B3D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26'!$AX$2:$AX$3</c:f>
              <c:numCache>
                <c:formatCode>\$#,##0.00</c:formatCode>
                <c:ptCount val="2"/>
                <c:pt idx="0">
                  <c:v>0</c:v>
                </c:pt>
                <c:pt idx="1">
                  <c:v>104.83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5B3D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D7A2-B54A-8FAC-31EA0DC2C84F}"/>
            </c:ext>
          </c:extLst>
        </c:ser>
        <c:ser>
          <c:idx val="17"/>
          <c:order val="17"/>
          <c:tx>
            <c:strRef>
              <c:f>'BP 9_26w2 26'!$AY$1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26'!$AY$2:$AY$3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504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D7A2-B54A-8FAC-31EA0DC2C84F}"/>
            </c:ext>
          </c:extLst>
        </c:ser>
        <c:ser>
          <c:idx val="18"/>
          <c:order val="18"/>
          <c:tx>
            <c:strRef>
              <c:f>'BP 9_26w2 26'!$AZ$1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rgbClr val="9BBB59"/>
            </a:solidFill>
            <a:ln>
              <a:solidFill>
                <a:srgbClr val="9BBB59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26'!$AZ$2:$AZ$3</c:f>
              <c:numCache>
                <c:formatCode>\$#,##0.00</c:formatCode>
                <c:ptCount val="2"/>
                <c:pt idx="0">
                  <c:v>0</c:v>
                </c:pt>
                <c:pt idx="1">
                  <c:v>0.99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BBB5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D7A2-B54A-8FAC-31EA0DC2C84F}"/>
            </c:ext>
          </c:extLst>
        </c:ser>
        <c:ser>
          <c:idx val="19"/>
          <c:order val="19"/>
          <c:tx>
            <c:strRef>
              <c:f>'BP 9_26w2 26'!$BA$1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26'!$BA$2:$BA$3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D7A2-B54A-8FAC-31EA0DC2C84F}"/>
            </c:ext>
          </c:extLst>
        </c:ser>
        <c:ser>
          <c:idx val="20"/>
          <c:order val="20"/>
          <c:tx>
            <c:strRef>
              <c:f>'BP 9_26w2 26'!$BB$1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6000"/>
            </a:solidFill>
            <a:ln>
              <a:solidFill>
                <a:srgbClr val="806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26'!$BB$2:$BB$3</c:f>
              <c:numCache>
                <c:formatCode>\$#,##0.00</c:formatCode>
                <c:ptCount val="2"/>
                <c:pt idx="0">
                  <c:v>0</c:v>
                </c:pt>
                <c:pt idx="1">
                  <c:v>69.199999999999989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D7A2-B54A-8FAC-31EA0DC2C84F}"/>
            </c:ext>
          </c:extLst>
        </c:ser>
        <c:ser>
          <c:idx val="21"/>
          <c:order val="21"/>
          <c:tx>
            <c:strRef>
              <c:f>'BP 9_26w2 26'!$BC$1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26'!$BC$2:$BC$3</c:f>
              <c:numCache>
                <c:formatCode>\$#,##0.00</c:formatCode>
                <c:ptCount val="2"/>
                <c:pt idx="0">
                  <c:v>0</c:v>
                </c:pt>
                <c:pt idx="1">
                  <c:v>46.66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D7A2-B54A-8FAC-31EA0DC2C84F}"/>
            </c:ext>
          </c:extLst>
        </c:ser>
        <c:ser>
          <c:idx val="22"/>
          <c:order val="22"/>
          <c:tx>
            <c:strRef>
              <c:f>'BP 9_26w2 26'!$BD$1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26'!$BD$2:$BD$3</c:f>
              <c:numCache>
                <c:formatCode>\$#,##0.00</c:formatCode>
                <c:ptCount val="2"/>
                <c:pt idx="0">
                  <c:v>0</c:v>
                </c:pt>
                <c:pt idx="1">
                  <c:v>6.97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D7A2-B54A-8FAC-31EA0DC2C84F}"/>
            </c:ext>
          </c:extLst>
        </c:ser>
        <c:ser>
          <c:idx val="23"/>
          <c:order val="23"/>
          <c:tx>
            <c:strRef>
              <c:f>'BP 9_26w2 26'!$BE$1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26'!$BE$2:$BE$3</c:f>
              <c:numCache>
                <c:formatCode>\$#,##0.00</c:formatCode>
                <c:ptCount val="2"/>
                <c:pt idx="0">
                  <c:v>0</c:v>
                </c:pt>
                <c:pt idx="1">
                  <c:v>3.89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E-D7A2-B54A-8FAC-31EA0DC2C84F}"/>
            </c:ext>
          </c:extLst>
        </c:ser>
        <c:ser>
          <c:idx val="24"/>
          <c:order val="24"/>
          <c:tx>
            <c:strRef>
              <c:f>'BP 9_26w2 26'!$BF$1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26'!$BF$2:$BF$3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0-D7A2-B54A-8FAC-31EA0DC2C84F}"/>
            </c:ext>
          </c:extLst>
        </c:ser>
        <c:ser>
          <c:idx val="25"/>
          <c:order val="25"/>
          <c:tx>
            <c:strRef>
              <c:f>'BP 9_26w2 26'!$BG$1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D7A2-B54A-8FAC-31EA0DC2C8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9_26w2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9_26w2 26'!$BG$2:$BG$3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2-D7A2-B54A-8FAC-31EA0DC2C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Budget vs Category Spending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'BP 9_26w3 26'!$AH$1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c:spPr>
          <c:invertIfNegative val="1"/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26'!$AH$2:$AH$3</c:f>
              <c:numCache>
                <c:formatCode>\$#,##0.00</c:formatCode>
                <c:ptCount val="2"/>
                <c:pt idx="0">
                  <c:v>326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94-2943-9F9B-A221D76DC907}"/>
            </c:ext>
          </c:extLst>
        </c:ser>
        <c:ser>
          <c:idx val="1"/>
          <c:order val="1"/>
          <c:tx>
            <c:strRef>
              <c:f>'BP 9_26w3 26'!$AI$1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26'!$AI$2:$AI$3</c:f>
              <c:numCache>
                <c:formatCode>\$#,##0.00</c:formatCode>
                <c:ptCount val="2"/>
                <c:pt idx="0">
                  <c:v>0</c:v>
                </c:pt>
                <c:pt idx="1">
                  <c:v>17.87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894-2943-9F9B-A221D76DC907}"/>
            </c:ext>
          </c:extLst>
        </c:ser>
        <c:ser>
          <c:idx val="2"/>
          <c:order val="2"/>
          <c:tx>
            <c:strRef>
              <c:f>'BP 9_26w3 26'!$AJ$1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26'!$AJ$2:$AJ$3</c:f>
              <c:numCache>
                <c:formatCode>\$#,##0.00</c:formatCode>
                <c:ptCount val="2"/>
                <c:pt idx="0">
                  <c:v>0</c:v>
                </c:pt>
                <c:pt idx="1">
                  <c:v>12.99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894-2943-9F9B-A221D76DC907}"/>
            </c:ext>
          </c:extLst>
        </c:ser>
        <c:ser>
          <c:idx val="3"/>
          <c:order val="3"/>
          <c:tx>
            <c:strRef>
              <c:f>'BP 9_26w3 26'!$AK$1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26'!$AK$2:$AK$3</c:f>
              <c:numCache>
                <c:formatCode>\$#,##0.00</c:formatCode>
                <c:ptCount val="2"/>
                <c:pt idx="0">
                  <c:v>0</c:v>
                </c:pt>
                <c:pt idx="1">
                  <c:v>9.25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894-2943-9F9B-A221D76DC907}"/>
            </c:ext>
          </c:extLst>
        </c:ser>
        <c:ser>
          <c:idx val="4"/>
          <c:order val="4"/>
          <c:tx>
            <c:strRef>
              <c:f>'BP 9_26w3 26'!$AL$1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26'!$AL$2:$AL$3</c:f>
              <c:numCache>
                <c:formatCode>\$#,##0.00</c:formatCode>
                <c:ptCount val="2"/>
                <c:pt idx="0">
                  <c:v>0</c:v>
                </c:pt>
                <c:pt idx="1">
                  <c:v>3.99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4894-2943-9F9B-A221D76DC907}"/>
            </c:ext>
          </c:extLst>
        </c:ser>
        <c:ser>
          <c:idx val="5"/>
          <c:order val="5"/>
          <c:tx>
            <c:strRef>
              <c:f>'BP 9_26w3 26'!$AM$1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26'!$AM$2:$AM$3</c:f>
              <c:numCache>
                <c:formatCode>\$#,##0.00</c:formatCode>
                <c:ptCount val="2"/>
                <c:pt idx="0">
                  <c:v>0</c:v>
                </c:pt>
                <c:pt idx="1">
                  <c:v>19.48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4894-2943-9F9B-A221D76DC907}"/>
            </c:ext>
          </c:extLst>
        </c:ser>
        <c:ser>
          <c:idx val="6"/>
          <c:order val="6"/>
          <c:tx>
            <c:strRef>
              <c:f>'BP 9_26w3 26'!$AN$1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255E91"/>
            </a:solidFill>
            <a:ln>
              <a:solidFill>
                <a:srgbClr val="255E9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26'!$AN$2:$AN$3</c:f>
              <c:numCache>
                <c:formatCode>\$#,##0.00</c:formatCode>
                <c:ptCount val="2"/>
                <c:pt idx="0">
                  <c:v>0</c:v>
                </c:pt>
                <c:pt idx="1">
                  <c:v>13.91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5E9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4894-2943-9F9B-A221D76DC907}"/>
            </c:ext>
          </c:extLst>
        </c:ser>
        <c:ser>
          <c:idx val="7"/>
          <c:order val="7"/>
          <c:tx>
            <c:strRef>
              <c:f>'BP 9_26w3 26'!$AO$1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9E480E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26'!$AO$2:$AO$3</c:f>
              <c:numCache>
                <c:formatCode>\$#,##0.00</c:formatCode>
                <c:ptCount val="2"/>
                <c:pt idx="0">
                  <c:v>0</c:v>
                </c:pt>
                <c:pt idx="1">
                  <c:v>-144.13999999999999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E480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4894-2943-9F9B-A221D76DC907}"/>
            </c:ext>
          </c:extLst>
        </c:ser>
        <c:ser>
          <c:idx val="8"/>
          <c:order val="8"/>
          <c:tx>
            <c:strRef>
              <c:f>'BP 9_26w3 26'!$AP$1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636363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26'!$AP$2:$AP$3</c:f>
              <c:numCache>
                <c:formatCode>\$#,##0.00</c:formatCode>
                <c:ptCount val="2"/>
                <c:pt idx="0">
                  <c:v>0</c:v>
                </c:pt>
                <c:pt idx="1">
                  <c:v>73.19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3636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4894-2943-9F9B-A221D76DC907}"/>
            </c:ext>
          </c:extLst>
        </c:ser>
        <c:ser>
          <c:idx val="9"/>
          <c:order val="9"/>
          <c:tx>
            <c:strRef>
              <c:f>'BP 9_26w3 26'!$AQ$1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997300"/>
            </a:solidFill>
            <a:ln>
              <a:solidFill>
                <a:srgbClr val="9973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26'!$AQ$2:$AQ$3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973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4894-2943-9F9B-A221D76DC907}"/>
            </c:ext>
          </c:extLst>
        </c:ser>
        <c:ser>
          <c:idx val="10"/>
          <c:order val="10"/>
          <c:tx>
            <c:strRef>
              <c:f>'BP 9_26w3 26'!$AR$1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264478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26'!$AR$2:$AR$3</c:f>
              <c:numCache>
                <c:formatCode>\$#,##0.00</c:formatCode>
                <c:ptCount val="2"/>
                <c:pt idx="0">
                  <c:v>0</c:v>
                </c:pt>
                <c:pt idx="1">
                  <c:v>4.88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644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4894-2943-9F9B-A221D76DC907}"/>
            </c:ext>
          </c:extLst>
        </c:ser>
        <c:ser>
          <c:idx val="11"/>
          <c:order val="11"/>
          <c:tx>
            <c:strRef>
              <c:f>'BP 9_26w3 26'!$AS$1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43682B"/>
            </a:solidFill>
            <a:ln>
              <a:solidFill>
                <a:srgbClr val="43682B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26'!$AS$2:$AS$3</c:f>
              <c:numCache>
                <c:formatCode>\$#,##0.00</c:formatCode>
                <c:ptCount val="2"/>
                <c:pt idx="0">
                  <c:v>0</c:v>
                </c:pt>
                <c:pt idx="1">
                  <c:v>27.26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3682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4894-2943-9F9B-A221D76DC907}"/>
            </c:ext>
          </c:extLst>
        </c:ser>
        <c:ser>
          <c:idx val="12"/>
          <c:order val="12"/>
          <c:tx>
            <c:strRef>
              <c:f>'BP 9_26w3 26'!$AT$1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8064A2"/>
            </a:solidFill>
            <a:ln>
              <a:solidFill>
                <a:srgbClr val="8064A2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26'!$AT$2:$AT$3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4A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4894-2943-9F9B-A221D76DC907}"/>
            </c:ext>
          </c:extLst>
        </c:ser>
        <c:ser>
          <c:idx val="13"/>
          <c:order val="13"/>
          <c:tx>
            <c:strRef>
              <c:f>'BP 9_26w3 26'!$AU$1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4BACC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26'!$AU$2:$AU$3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BACC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4894-2943-9F9B-A221D76DC907}"/>
            </c:ext>
          </c:extLst>
        </c:ser>
        <c:ser>
          <c:idx val="14"/>
          <c:order val="14"/>
          <c:tx>
            <c:strRef>
              <c:f>'BP 9_26w3 26'!$AV$1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rgbClr val="F79646"/>
            </a:solidFill>
            <a:ln>
              <a:solidFill>
                <a:srgbClr val="F7964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26'!$AV$2:$AV$3</c:f>
              <c:numCache>
                <c:formatCode>\$#,##0.00</c:formatCode>
                <c:ptCount val="2"/>
                <c:pt idx="0">
                  <c:v>0</c:v>
                </c:pt>
                <c:pt idx="1">
                  <c:v>1.27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7964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4894-2943-9F9B-A221D76DC907}"/>
            </c:ext>
          </c:extLst>
        </c:ser>
        <c:ser>
          <c:idx val="15"/>
          <c:order val="15"/>
          <c:tx>
            <c:strRef>
              <c:f>'BP 9_26w3 26'!$AW$1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92A9CF"/>
            </a:solidFill>
            <a:ln>
              <a:solidFill>
                <a:srgbClr val="92A9C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26'!$AW$2:$AW$3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2A9C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4894-2943-9F9B-A221D76DC907}"/>
            </c:ext>
          </c:extLst>
        </c:ser>
        <c:ser>
          <c:idx val="16"/>
          <c:order val="16"/>
          <c:tx>
            <c:strRef>
              <c:f>'BP 9_26w3 26'!$AX$1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95B3D7"/>
            </a:solidFill>
            <a:ln>
              <a:solidFill>
                <a:srgbClr val="95B3D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26'!$AX$2:$AX$3</c:f>
              <c:numCache>
                <c:formatCode>\$#,##0.00</c:formatCode>
                <c:ptCount val="2"/>
                <c:pt idx="0">
                  <c:v>0</c:v>
                </c:pt>
                <c:pt idx="1">
                  <c:v>5.74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5B3D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4894-2943-9F9B-A221D76DC907}"/>
            </c:ext>
          </c:extLst>
        </c:ser>
        <c:ser>
          <c:idx val="17"/>
          <c:order val="17"/>
          <c:tx>
            <c:strRef>
              <c:f>'BP 9_26w3 26'!$AY$1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26'!$AY$2:$AY$3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504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4894-2943-9F9B-A221D76DC907}"/>
            </c:ext>
          </c:extLst>
        </c:ser>
        <c:ser>
          <c:idx val="18"/>
          <c:order val="18"/>
          <c:tx>
            <c:strRef>
              <c:f>'BP 9_26w3 26'!$AZ$1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rgbClr val="9BBB59"/>
            </a:solidFill>
            <a:ln>
              <a:solidFill>
                <a:srgbClr val="9BBB59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26'!$AZ$2:$AZ$3</c:f>
              <c:numCache>
                <c:formatCode>\$#,##0.00</c:formatCode>
                <c:ptCount val="2"/>
                <c:pt idx="0">
                  <c:v>0</c:v>
                </c:pt>
                <c:pt idx="1">
                  <c:v>57.37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BBB5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4894-2943-9F9B-A221D76DC907}"/>
            </c:ext>
          </c:extLst>
        </c:ser>
        <c:ser>
          <c:idx val="19"/>
          <c:order val="19"/>
          <c:tx>
            <c:strRef>
              <c:f>'BP 9_26w3 26'!$BA$1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26'!$BA$2:$BA$3</c:f>
              <c:numCache>
                <c:formatCode>\$#,##0.00</c:formatCode>
                <c:ptCount val="2"/>
                <c:pt idx="0">
                  <c:v>0</c:v>
                </c:pt>
                <c:pt idx="1">
                  <c:v>25.94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4894-2943-9F9B-A221D76DC907}"/>
            </c:ext>
          </c:extLst>
        </c:ser>
        <c:ser>
          <c:idx val="20"/>
          <c:order val="20"/>
          <c:tx>
            <c:strRef>
              <c:f>'BP 9_26w3 26'!$BB$1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6000"/>
            </a:solidFill>
            <a:ln>
              <a:solidFill>
                <a:srgbClr val="806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26'!$BB$2:$BB$3</c:f>
              <c:numCache>
                <c:formatCode>\$#,##0.00</c:formatCode>
                <c:ptCount val="2"/>
                <c:pt idx="0">
                  <c:v>0</c:v>
                </c:pt>
                <c:pt idx="1">
                  <c:v>2.59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4894-2943-9F9B-A221D76DC907}"/>
            </c:ext>
          </c:extLst>
        </c:ser>
        <c:ser>
          <c:idx val="21"/>
          <c:order val="21"/>
          <c:tx>
            <c:strRef>
              <c:f>'BP 9_26w3 26'!$BC$1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26'!$BC$2:$BC$3</c:f>
              <c:numCache>
                <c:formatCode>\$#,##0.00</c:formatCode>
                <c:ptCount val="2"/>
                <c:pt idx="0">
                  <c:v>0</c:v>
                </c:pt>
                <c:pt idx="1">
                  <c:v>62.389999999999993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4894-2943-9F9B-A221D76DC907}"/>
            </c:ext>
          </c:extLst>
        </c:ser>
        <c:ser>
          <c:idx val="22"/>
          <c:order val="22"/>
          <c:tx>
            <c:strRef>
              <c:f>'BP 9_26w3 26'!$BD$1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26'!$BD$2:$BD$3</c:f>
              <c:numCache>
                <c:formatCode>\$#,##0.00</c:formatCode>
                <c:ptCount val="2"/>
                <c:pt idx="0">
                  <c:v>0</c:v>
                </c:pt>
                <c:pt idx="1">
                  <c:v>22.25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4894-2943-9F9B-A221D76DC907}"/>
            </c:ext>
          </c:extLst>
        </c:ser>
        <c:ser>
          <c:idx val="23"/>
          <c:order val="23"/>
          <c:tx>
            <c:strRef>
              <c:f>'BP 9_26w3 26'!$BE$1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26'!$BE$2:$BE$3</c:f>
              <c:numCache>
                <c:formatCode>\$#,##0.00</c:formatCode>
                <c:ptCount val="2"/>
                <c:pt idx="0">
                  <c:v>0</c:v>
                </c:pt>
                <c:pt idx="1">
                  <c:v>26.65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E-4894-2943-9F9B-A221D76DC907}"/>
            </c:ext>
          </c:extLst>
        </c:ser>
        <c:ser>
          <c:idx val="24"/>
          <c:order val="24"/>
          <c:tx>
            <c:strRef>
              <c:f>'BP 9_26w3 26'!$BF$1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26'!$BF$2:$BF$3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0-4894-2943-9F9B-A221D76DC907}"/>
            </c:ext>
          </c:extLst>
        </c:ser>
        <c:ser>
          <c:idx val="25"/>
          <c:order val="25"/>
          <c:tx>
            <c:strRef>
              <c:f>'BP 9_26w3 26'!$BG$1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894-2943-9F9B-A221D76DC9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9_26w3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9_26w3 26'!$BG$2:$BG$3</c:f>
              <c:numCache>
                <c:formatCode>\$#,##0.00</c:formatCode>
                <c:ptCount val="2"/>
                <c:pt idx="0">
                  <c:v>0</c:v>
                </c:pt>
                <c:pt idx="1">
                  <c:v>7.19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2-4894-2943-9F9B-A221D76DC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t>Budget vs Category Spending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'BP 9_26w4 26'!$AH$1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c:spPr>
          <c:invertIfNegative val="1"/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26'!$AH$2:$AH$3</c:f>
              <c:numCache>
                <c:formatCode>\$#,##0.00</c:formatCode>
                <c:ptCount val="2"/>
                <c:pt idx="0">
                  <c:v>326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9BD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94-2C4A-BAE8-8A83562B79E5}"/>
            </c:ext>
          </c:extLst>
        </c:ser>
        <c:ser>
          <c:idx val="1"/>
          <c:order val="1"/>
          <c:tx>
            <c:strRef>
              <c:f>'BP 9_26w4 26'!$AI$1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26'!$AI$2:$AI$3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C94-2C4A-BAE8-8A83562B79E5}"/>
            </c:ext>
          </c:extLst>
        </c:ser>
        <c:ser>
          <c:idx val="2"/>
          <c:order val="2"/>
          <c:tx>
            <c:strRef>
              <c:f>'BP 9_26w4 26'!$AJ$1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26'!$AJ$2:$AJ$3</c:f>
              <c:numCache>
                <c:formatCode>\$#,##0.00</c:formatCode>
                <c:ptCount val="2"/>
                <c:pt idx="0">
                  <c:v>0</c:v>
                </c:pt>
                <c:pt idx="1">
                  <c:v>46.79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C94-2C4A-BAE8-8A83562B79E5}"/>
            </c:ext>
          </c:extLst>
        </c:ser>
        <c:ser>
          <c:idx val="3"/>
          <c:order val="3"/>
          <c:tx>
            <c:strRef>
              <c:f>'BP 9_26w4 26'!$AK$1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26'!$AK$2:$AK$3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BC94-2C4A-BAE8-8A83562B79E5}"/>
            </c:ext>
          </c:extLst>
        </c:ser>
        <c:ser>
          <c:idx val="4"/>
          <c:order val="4"/>
          <c:tx>
            <c:strRef>
              <c:f>'BP 9_26w4 26'!$AL$1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26'!$AL$2:$AL$3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BC94-2C4A-BAE8-8A83562B79E5}"/>
            </c:ext>
          </c:extLst>
        </c:ser>
        <c:ser>
          <c:idx val="5"/>
          <c:order val="5"/>
          <c:tx>
            <c:strRef>
              <c:f>'BP 9_26w4 26'!$AM$1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26'!$AM$2:$AM$3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BC94-2C4A-BAE8-8A83562B79E5}"/>
            </c:ext>
          </c:extLst>
        </c:ser>
        <c:ser>
          <c:idx val="6"/>
          <c:order val="6"/>
          <c:tx>
            <c:strRef>
              <c:f>'BP 9_26w4 26'!$AN$1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255E91"/>
            </a:solidFill>
            <a:ln>
              <a:solidFill>
                <a:srgbClr val="255E9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26'!$AN$2:$AN$3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5E9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BC94-2C4A-BAE8-8A83562B79E5}"/>
            </c:ext>
          </c:extLst>
        </c:ser>
        <c:ser>
          <c:idx val="7"/>
          <c:order val="7"/>
          <c:tx>
            <c:strRef>
              <c:f>'BP 9_26w4 26'!$AO$1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9E480E"/>
            </a:solidFill>
            <a:ln>
              <a:solidFill>
                <a:srgbClr val="9E480E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26'!$AO$2:$AO$3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E480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BC94-2C4A-BAE8-8A83562B79E5}"/>
            </c:ext>
          </c:extLst>
        </c:ser>
        <c:ser>
          <c:idx val="8"/>
          <c:order val="8"/>
          <c:tx>
            <c:strRef>
              <c:f>'BP 9_26w4 26'!$AP$1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636363"/>
            </a:solidFill>
            <a:ln>
              <a:solidFill>
                <a:srgbClr val="636363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26'!$AP$2:$AP$3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3636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BC94-2C4A-BAE8-8A83562B79E5}"/>
            </c:ext>
          </c:extLst>
        </c:ser>
        <c:ser>
          <c:idx val="9"/>
          <c:order val="9"/>
          <c:tx>
            <c:strRef>
              <c:f>'BP 9_26w4 26'!$AQ$1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997300"/>
            </a:solidFill>
            <a:ln>
              <a:solidFill>
                <a:srgbClr val="9973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26'!$AQ$2:$AQ$3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973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BC94-2C4A-BAE8-8A83562B79E5}"/>
            </c:ext>
          </c:extLst>
        </c:ser>
        <c:ser>
          <c:idx val="10"/>
          <c:order val="10"/>
          <c:tx>
            <c:strRef>
              <c:f>'BP 9_26w4 26'!$AR$1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264478"/>
            </a:solidFill>
            <a:ln>
              <a:solidFill>
                <a:srgbClr val="264478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26'!$AR$2:$AR$3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644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BC94-2C4A-BAE8-8A83562B79E5}"/>
            </c:ext>
          </c:extLst>
        </c:ser>
        <c:ser>
          <c:idx val="11"/>
          <c:order val="11"/>
          <c:tx>
            <c:strRef>
              <c:f>'BP 9_26w4 26'!$AS$1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43682B"/>
            </a:solidFill>
            <a:ln>
              <a:solidFill>
                <a:srgbClr val="43682B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26'!$AS$2:$AS$3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3682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BC94-2C4A-BAE8-8A83562B79E5}"/>
            </c:ext>
          </c:extLst>
        </c:ser>
        <c:ser>
          <c:idx val="12"/>
          <c:order val="12"/>
          <c:tx>
            <c:strRef>
              <c:f>'BP 9_26w4 26'!$AT$1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8064A2"/>
            </a:solidFill>
            <a:ln>
              <a:solidFill>
                <a:srgbClr val="8064A2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26'!$AT$2:$AT$3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4A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BC94-2C4A-BAE8-8A83562B79E5}"/>
            </c:ext>
          </c:extLst>
        </c:ser>
        <c:ser>
          <c:idx val="13"/>
          <c:order val="13"/>
          <c:tx>
            <c:strRef>
              <c:f>'BP 9_26w4 26'!$AU$1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4BACC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26'!$AU$2:$AU$3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BACC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BC94-2C4A-BAE8-8A83562B79E5}"/>
            </c:ext>
          </c:extLst>
        </c:ser>
        <c:ser>
          <c:idx val="14"/>
          <c:order val="14"/>
          <c:tx>
            <c:strRef>
              <c:f>'BP 9_26w4 26'!$AV$1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rgbClr val="F79646"/>
            </a:solidFill>
            <a:ln>
              <a:solidFill>
                <a:srgbClr val="F79646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26'!$AV$2:$AV$3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7964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BC94-2C4A-BAE8-8A83562B79E5}"/>
            </c:ext>
          </c:extLst>
        </c:ser>
        <c:ser>
          <c:idx val="15"/>
          <c:order val="15"/>
          <c:tx>
            <c:strRef>
              <c:f>'BP 9_26w4 26'!$AW$1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92A9CF"/>
            </a:solidFill>
            <a:ln>
              <a:solidFill>
                <a:srgbClr val="92A9C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26'!$AW$2:$AW$3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2A9C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BC94-2C4A-BAE8-8A83562B79E5}"/>
            </c:ext>
          </c:extLst>
        </c:ser>
        <c:ser>
          <c:idx val="16"/>
          <c:order val="16"/>
          <c:tx>
            <c:strRef>
              <c:f>'BP 9_26w4 26'!$AX$1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95B3D7"/>
            </a:solidFill>
            <a:ln>
              <a:solidFill>
                <a:srgbClr val="95B3D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26'!$AX$2:$AX$3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5B3D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BC94-2C4A-BAE8-8A83562B79E5}"/>
            </c:ext>
          </c:extLst>
        </c:ser>
        <c:ser>
          <c:idx val="17"/>
          <c:order val="17"/>
          <c:tx>
            <c:strRef>
              <c:f>'BP 9_26w4 26'!$AY$1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26'!$AY$2:$AY$3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504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BC94-2C4A-BAE8-8A83562B79E5}"/>
            </c:ext>
          </c:extLst>
        </c:ser>
        <c:ser>
          <c:idx val="18"/>
          <c:order val="18"/>
          <c:tx>
            <c:strRef>
              <c:f>'BP 9_26w4 26'!$AZ$1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rgbClr val="9BBB59"/>
            </a:solidFill>
            <a:ln>
              <a:solidFill>
                <a:srgbClr val="9BBB59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26'!$AZ$2:$AZ$3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BBB5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BC94-2C4A-BAE8-8A83562B79E5}"/>
            </c:ext>
          </c:extLst>
        </c:ser>
        <c:ser>
          <c:idx val="19"/>
          <c:order val="19"/>
          <c:tx>
            <c:strRef>
              <c:f>'BP 9_26w4 26'!$BA$1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26'!$BA$2:$BA$3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BC94-2C4A-BAE8-8A83562B79E5}"/>
            </c:ext>
          </c:extLst>
        </c:ser>
        <c:ser>
          <c:idx val="20"/>
          <c:order val="20"/>
          <c:tx>
            <c:strRef>
              <c:f>'BP 9_26w4 26'!$BB$1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6000"/>
            </a:solidFill>
            <a:ln>
              <a:solidFill>
                <a:srgbClr val="806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26'!$BB$2:$BB$3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06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BC94-2C4A-BAE8-8A83562B79E5}"/>
            </c:ext>
          </c:extLst>
        </c:ser>
        <c:ser>
          <c:idx val="21"/>
          <c:order val="21"/>
          <c:tx>
            <c:strRef>
              <c:f>'BP 9_26w4 26'!$BC$1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26'!$BC$2:$BC$3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BC94-2C4A-BAE8-8A83562B79E5}"/>
            </c:ext>
          </c:extLst>
        </c:ser>
        <c:ser>
          <c:idx val="22"/>
          <c:order val="22"/>
          <c:tx>
            <c:strRef>
              <c:f>'BP 9_26w4 26'!$BD$1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26'!$BD$2:$BD$3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BC94-2C4A-BAE8-8A83562B79E5}"/>
            </c:ext>
          </c:extLst>
        </c:ser>
        <c:ser>
          <c:idx val="23"/>
          <c:order val="23"/>
          <c:tx>
            <c:strRef>
              <c:f>'BP 9_26w4 26'!$BE$1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rgbClr val="A5A5A5"/>
            </a:solidFill>
            <a:ln>
              <a:solidFill>
                <a:srgbClr val="A5A5A5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26'!$BE$2:$BE$3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5A5A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E-BC94-2C4A-BAE8-8A83562B79E5}"/>
            </c:ext>
          </c:extLst>
        </c:ser>
        <c:ser>
          <c:idx val="24"/>
          <c:order val="24"/>
          <c:tx>
            <c:strRef>
              <c:f>'BP 9_26w4 26'!$BF$1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26'!$BF$2:$BF$3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0-BC94-2C4A-BAE8-8A83562B79E5}"/>
            </c:ext>
          </c:extLst>
        </c:ser>
        <c:ser>
          <c:idx val="25"/>
          <c:order val="25"/>
          <c:tx>
            <c:strRef>
              <c:f>'BP 9_26w4 26'!$BG$1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dLbls>
            <c:dLbl>
              <c:idx val="1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C94-2C4A-BAE8-8A83562B79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'BP 9_26w4 26'!$AG$2:$AG$3</c:f>
              <c:strCache>
                <c:ptCount val="2"/>
                <c:pt idx="0">
                  <c:v>Budget</c:v>
                </c:pt>
                <c:pt idx="1">
                  <c:v>Spent</c:v>
                </c:pt>
              </c:strCache>
            </c:strRef>
          </c:cat>
          <c:val>
            <c:numRef>
              <c:f>'BP 9_26w4 26'!$BG$2:$BG$3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2-BC94-2C4A-BAE8-8A83562B7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9180000" cy="52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9180000" cy="52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79</xdr:row>
      <xdr:rowOff>0</xdr:rowOff>
    </xdr:from>
    <xdr:ext cx="9180000" cy="52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115</xdr:row>
      <xdr:rowOff>0</xdr:rowOff>
    </xdr:from>
    <xdr:ext cx="9180000" cy="59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151</xdr:row>
      <xdr:rowOff>0</xdr:rowOff>
    </xdr:from>
    <xdr:ext cx="9180000" cy="52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187</xdr:row>
      <xdr:rowOff>0</xdr:rowOff>
    </xdr:from>
    <xdr:ext cx="9180000" cy="59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223</xdr:row>
      <xdr:rowOff>0</xdr:rowOff>
    </xdr:from>
    <xdr:ext cx="9180000" cy="52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9180000" cy="52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9180000" cy="52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103</xdr:row>
      <xdr:rowOff>0</xdr:rowOff>
    </xdr:from>
    <xdr:ext cx="9180000" cy="52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139</xdr:row>
      <xdr:rowOff>0</xdr:rowOff>
    </xdr:from>
    <xdr:ext cx="9180000" cy="59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199</xdr:row>
      <xdr:rowOff>0</xdr:rowOff>
    </xdr:from>
    <xdr:ext cx="9180000" cy="52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235</xdr:row>
      <xdr:rowOff>0</xdr:rowOff>
    </xdr:from>
    <xdr:ext cx="9180000" cy="59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271</xdr:row>
      <xdr:rowOff>0</xdr:rowOff>
    </xdr:from>
    <xdr:ext cx="9180000" cy="52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6"/>
  <sheetViews>
    <sheetView workbookViewId="0">
      <pane ySplit="1" topLeftCell="A243" activePane="bottomLeft" state="frozen"/>
      <selection pane="bottomLeft" activeCell="C269" sqref="C269"/>
    </sheetView>
  </sheetViews>
  <sheetFormatPr baseColWidth="10" defaultColWidth="8.83203125" defaultRowHeight="15" x14ac:dyDescent="0.2"/>
  <cols>
    <col min="1" max="1" width="14" customWidth="1"/>
    <col min="2" max="2" width="3" customWidth="1"/>
    <col min="3" max="4" width="18" customWidth="1"/>
    <col min="5" max="5" width="34" customWidth="1"/>
    <col min="6" max="6" width="14" customWidth="1"/>
    <col min="7" max="7" width="16" customWidth="1"/>
    <col min="8" max="8" width="28" bestFit="1" customWidth="1"/>
    <col min="9" max="9" width="22" customWidth="1"/>
    <col min="10" max="21" width="14" customWidth="1"/>
  </cols>
  <sheetData>
    <row r="1" spans="1:21" x14ac:dyDescent="0.2">
      <c r="A1" s="8" t="s">
        <v>333</v>
      </c>
      <c r="B1" s="8"/>
      <c r="C1" s="8" t="s">
        <v>334</v>
      </c>
      <c r="D1" s="8" t="s">
        <v>335</v>
      </c>
      <c r="E1" s="8" t="s">
        <v>336</v>
      </c>
      <c r="F1" s="8" t="s">
        <v>337</v>
      </c>
      <c r="G1" s="8" t="s">
        <v>338</v>
      </c>
      <c r="H1" s="8" t="s">
        <v>339</v>
      </c>
      <c r="I1" s="8" t="s">
        <v>1</v>
      </c>
      <c r="J1" s="8" t="s">
        <v>340</v>
      </c>
      <c r="K1" s="8" t="s">
        <v>341</v>
      </c>
      <c r="L1" s="8" t="s">
        <v>342</v>
      </c>
      <c r="M1" s="8" t="s">
        <v>343</v>
      </c>
      <c r="N1" s="8" t="s">
        <v>344</v>
      </c>
      <c r="O1" s="8" t="s">
        <v>345</v>
      </c>
      <c r="P1" s="8" t="s">
        <v>346</v>
      </c>
      <c r="Q1" s="8" t="s">
        <v>347</v>
      </c>
      <c r="R1" s="8" t="s">
        <v>348</v>
      </c>
      <c r="S1" s="8" t="s">
        <v>349</v>
      </c>
      <c r="T1" s="8" t="s">
        <v>350</v>
      </c>
      <c r="U1" s="8" t="s">
        <v>351</v>
      </c>
    </row>
    <row r="2" spans="1:21" x14ac:dyDescent="0.2">
      <c r="A2" s="1">
        <f t="shared" ref="A2:A65" si="0">SUM(K2,M2,O2,Q2,S2,U2)</f>
        <v>6.67</v>
      </c>
      <c r="C2" t="s">
        <v>352</v>
      </c>
      <c r="D2" t="s">
        <v>353</v>
      </c>
      <c r="E2" t="s">
        <v>354</v>
      </c>
      <c r="F2" t="s">
        <v>353</v>
      </c>
      <c r="G2" t="s">
        <v>355</v>
      </c>
      <c r="H2" t="s">
        <v>49</v>
      </c>
      <c r="I2" t="s">
        <v>48</v>
      </c>
      <c r="J2" s="2">
        <v>46240</v>
      </c>
      <c r="K2" s="1">
        <v>6.67</v>
      </c>
    </row>
    <row r="3" spans="1:21" x14ac:dyDescent="0.2">
      <c r="A3" s="1">
        <f t="shared" si="0"/>
        <v>39.770000000000003</v>
      </c>
      <c r="C3" t="s">
        <v>352</v>
      </c>
      <c r="D3" t="s">
        <v>353</v>
      </c>
      <c r="E3" t="s">
        <v>356</v>
      </c>
      <c r="F3" t="s">
        <v>353</v>
      </c>
      <c r="G3" t="s">
        <v>355</v>
      </c>
      <c r="H3" t="s">
        <v>41</v>
      </c>
      <c r="I3" t="s">
        <v>34</v>
      </c>
      <c r="J3" s="2">
        <v>46240</v>
      </c>
      <c r="K3" s="1">
        <v>39.770000000000003</v>
      </c>
    </row>
    <row r="4" spans="1:21" x14ac:dyDescent="0.2">
      <c r="A4" s="1">
        <f t="shared" si="0"/>
        <v>4.17</v>
      </c>
      <c r="C4" t="s">
        <v>352</v>
      </c>
      <c r="D4" t="s">
        <v>353</v>
      </c>
      <c r="E4" t="s">
        <v>357</v>
      </c>
      <c r="F4" t="s">
        <v>353</v>
      </c>
      <c r="G4" t="s">
        <v>355</v>
      </c>
      <c r="H4" t="s">
        <v>250</v>
      </c>
      <c r="I4" t="s">
        <v>249</v>
      </c>
      <c r="J4" s="2">
        <v>46240</v>
      </c>
      <c r="K4" s="1">
        <v>4.17</v>
      </c>
    </row>
    <row r="5" spans="1:21" x14ac:dyDescent="0.2">
      <c r="A5" s="1">
        <f t="shared" si="0"/>
        <v>4.96</v>
      </c>
      <c r="C5" t="s">
        <v>352</v>
      </c>
      <c r="D5" t="s">
        <v>353</v>
      </c>
      <c r="E5" t="s">
        <v>358</v>
      </c>
      <c r="F5" t="s">
        <v>353</v>
      </c>
      <c r="G5" t="s">
        <v>355</v>
      </c>
      <c r="H5" t="s">
        <v>46</v>
      </c>
      <c r="I5" t="s">
        <v>43</v>
      </c>
      <c r="J5" s="2">
        <v>46240</v>
      </c>
      <c r="K5" s="1">
        <v>4.96</v>
      </c>
    </row>
    <row r="6" spans="1:21" x14ac:dyDescent="0.2">
      <c r="A6" s="1">
        <f t="shared" si="0"/>
        <v>2.54</v>
      </c>
      <c r="C6" t="s">
        <v>352</v>
      </c>
      <c r="D6" t="s">
        <v>353</v>
      </c>
      <c r="E6" t="s">
        <v>359</v>
      </c>
      <c r="F6" t="s">
        <v>353</v>
      </c>
      <c r="G6" t="s">
        <v>355</v>
      </c>
      <c r="H6" t="s">
        <v>297</v>
      </c>
      <c r="I6" t="s">
        <v>292</v>
      </c>
      <c r="J6" s="2">
        <v>46240</v>
      </c>
      <c r="K6" s="1">
        <v>2.54</v>
      </c>
    </row>
    <row r="7" spans="1:21" x14ac:dyDescent="0.2">
      <c r="A7" s="1">
        <f t="shared" si="0"/>
        <v>3.48</v>
      </c>
      <c r="C7" t="s">
        <v>352</v>
      </c>
      <c r="D7" t="s">
        <v>353</v>
      </c>
      <c r="E7" t="s">
        <v>360</v>
      </c>
      <c r="F7" t="s">
        <v>353</v>
      </c>
      <c r="G7" t="s">
        <v>355</v>
      </c>
      <c r="H7" t="s">
        <v>143</v>
      </c>
      <c r="I7" t="s">
        <v>142</v>
      </c>
      <c r="J7" s="2">
        <v>46240</v>
      </c>
      <c r="K7" s="1">
        <v>3.48</v>
      </c>
    </row>
    <row r="8" spans="1:21" x14ac:dyDescent="0.2">
      <c r="A8" s="1">
        <f t="shared" si="0"/>
        <v>5</v>
      </c>
      <c r="C8" t="s">
        <v>352</v>
      </c>
      <c r="D8" t="s">
        <v>353</v>
      </c>
      <c r="E8" t="s">
        <v>361</v>
      </c>
      <c r="F8" t="s">
        <v>353</v>
      </c>
      <c r="G8" t="s">
        <v>355</v>
      </c>
      <c r="H8" t="s">
        <v>132</v>
      </c>
      <c r="I8" t="s">
        <v>130</v>
      </c>
      <c r="J8" s="2">
        <v>46240</v>
      </c>
      <c r="K8" s="1">
        <v>5</v>
      </c>
    </row>
    <row r="9" spans="1:21" x14ac:dyDescent="0.2">
      <c r="A9" s="1">
        <f t="shared" si="0"/>
        <v>2.77</v>
      </c>
      <c r="C9" t="s">
        <v>352</v>
      </c>
      <c r="D9" t="s">
        <v>353</v>
      </c>
      <c r="E9" t="s">
        <v>362</v>
      </c>
      <c r="F9" t="s">
        <v>353</v>
      </c>
      <c r="G9" t="s">
        <v>355</v>
      </c>
      <c r="H9" t="s">
        <v>133</v>
      </c>
      <c r="I9" t="s">
        <v>130</v>
      </c>
      <c r="J9" s="2">
        <v>46240</v>
      </c>
      <c r="K9" s="1">
        <v>2.77</v>
      </c>
    </row>
    <row r="10" spans="1:21" x14ac:dyDescent="0.2">
      <c r="A10" s="1">
        <f t="shared" si="0"/>
        <v>8.9600000000000009</v>
      </c>
      <c r="C10" t="s">
        <v>352</v>
      </c>
      <c r="D10" t="s">
        <v>353</v>
      </c>
      <c r="E10" t="s">
        <v>363</v>
      </c>
      <c r="F10" t="s">
        <v>353</v>
      </c>
      <c r="G10" t="s">
        <v>355</v>
      </c>
      <c r="H10" t="s">
        <v>42</v>
      </c>
      <c r="I10" t="s">
        <v>34</v>
      </c>
      <c r="J10" s="2">
        <v>46240</v>
      </c>
      <c r="K10" s="1">
        <v>4.4800000000000004</v>
      </c>
      <c r="L10" s="2">
        <v>46241</v>
      </c>
      <c r="M10" s="1">
        <v>4.4800000000000004</v>
      </c>
    </row>
    <row r="11" spans="1:21" x14ac:dyDescent="0.2">
      <c r="A11" s="1">
        <f t="shared" si="0"/>
        <v>13.92</v>
      </c>
      <c r="C11" t="s">
        <v>352</v>
      </c>
      <c r="D11" t="s">
        <v>353</v>
      </c>
      <c r="E11" t="s">
        <v>364</v>
      </c>
      <c r="F11" t="s">
        <v>353</v>
      </c>
      <c r="G11" t="s">
        <v>355</v>
      </c>
      <c r="H11" t="s">
        <v>216</v>
      </c>
      <c r="I11" t="s">
        <v>214</v>
      </c>
      <c r="J11" s="2">
        <v>46240</v>
      </c>
      <c r="K11" s="1">
        <v>6.96</v>
      </c>
      <c r="L11" s="2">
        <v>46241</v>
      </c>
      <c r="M11" s="1">
        <v>6.96</v>
      </c>
    </row>
    <row r="12" spans="1:21" x14ac:dyDescent="0.2">
      <c r="A12" s="1">
        <f t="shared" si="0"/>
        <v>16.739999999999998</v>
      </c>
      <c r="C12" t="s">
        <v>352</v>
      </c>
      <c r="D12" t="s">
        <v>353</v>
      </c>
      <c r="E12" t="s">
        <v>365</v>
      </c>
      <c r="F12" t="s">
        <v>353</v>
      </c>
      <c r="G12" t="s">
        <v>355</v>
      </c>
      <c r="H12" t="s">
        <v>45</v>
      </c>
      <c r="I12" t="s">
        <v>43</v>
      </c>
      <c r="J12" s="2">
        <v>46240</v>
      </c>
      <c r="K12" s="1">
        <v>8.3699999999999992</v>
      </c>
      <c r="L12" s="2">
        <v>46241</v>
      </c>
      <c r="M12" s="1">
        <v>8.3699999999999992</v>
      </c>
    </row>
    <row r="13" spans="1:21" x14ac:dyDescent="0.2">
      <c r="A13" s="1">
        <f t="shared" si="0"/>
        <v>47.88</v>
      </c>
      <c r="C13" t="s">
        <v>352</v>
      </c>
      <c r="D13" t="s">
        <v>353</v>
      </c>
      <c r="E13" t="s">
        <v>366</v>
      </c>
      <c r="F13" t="s">
        <v>353</v>
      </c>
      <c r="G13" t="s">
        <v>355</v>
      </c>
      <c r="H13" t="s">
        <v>81</v>
      </c>
      <c r="I13" t="s">
        <v>80</v>
      </c>
      <c r="J13" s="2">
        <v>46240</v>
      </c>
      <c r="K13" s="1">
        <v>23.94</v>
      </c>
      <c r="L13" s="2">
        <v>46241</v>
      </c>
      <c r="M13" s="1">
        <v>23.94</v>
      </c>
    </row>
    <row r="14" spans="1:21" x14ac:dyDescent="0.2">
      <c r="A14" s="1">
        <f t="shared" si="0"/>
        <v>6.32</v>
      </c>
      <c r="C14" t="s">
        <v>352</v>
      </c>
      <c r="D14" t="s">
        <v>353</v>
      </c>
      <c r="E14" t="s">
        <v>367</v>
      </c>
      <c r="F14" t="s">
        <v>353</v>
      </c>
      <c r="G14" t="s">
        <v>355</v>
      </c>
      <c r="H14" t="s">
        <v>294</v>
      </c>
      <c r="I14" t="s">
        <v>292</v>
      </c>
      <c r="J14" s="2">
        <v>46240</v>
      </c>
      <c r="K14" s="1">
        <v>3.16</v>
      </c>
      <c r="L14" s="2">
        <v>46241</v>
      </c>
      <c r="M14" s="1">
        <v>3.16</v>
      </c>
    </row>
    <row r="15" spans="1:21" x14ac:dyDescent="0.2">
      <c r="A15" s="1">
        <f t="shared" si="0"/>
        <v>11.64</v>
      </c>
      <c r="C15" t="s">
        <v>352</v>
      </c>
      <c r="D15" t="s">
        <v>353</v>
      </c>
      <c r="E15" t="s">
        <v>368</v>
      </c>
      <c r="F15" t="s">
        <v>353</v>
      </c>
      <c r="G15" t="s">
        <v>355</v>
      </c>
      <c r="H15" t="s">
        <v>39</v>
      </c>
      <c r="I15" t="s">
        <v>34</v>
      </c>
      <c r="J15" s="2">
        <v>46240</v>
      </c>
      <c r="K15" s="1">
        <v>5.82</v>
      </c>
      <c r="L15" s="2">
        <v>46241</v>
      </c>
      <c r="M15" s="1">
        <v>5.82</v>
      </c>
    </row>
    <row r="16" spans="1:21" x14ac:dyDescent="0.2">
      <c r="A16" s="1">
        <f t="shared" si="0"/>
        <v>15.94</v>
      </c>
      <c r="C16" t="s">
        <v>352</v>
      </c>
      <c r="D16" t="s">
        <v>353</v>
      </c>
      <c r="E16" t="s">
        <v>369</v>
      </c>
      <c r="F16" t="s">
        <v>353</v>
      </c>
      <c r="G16" t="s">
        <v>355</v>
      </c>
      <c r="H16" t="s">
        <v>38</v>
      </c>
      <c r="I16" t="s">
        <v>34</v>
      </c>
      <c r="J16" s="2">
        <v>46240</v>
      </c>
      <c r="K16" s="1">
        <v>7.97</v>
      </c>
      <c r="L16" s="2">
        <v>46241</v>
      </c>
      <c r="M16" s="1">
        <v>7.97</v>
      </c>
    </row>
    <row r="17" spans="1:15" x14ac:dyDescent="0.2">
      <c r="A17" s="1">
        <f t="shared" si="0"/>
        <v>10.64</v>
      </c>
      <c r="C17" t="s">
        <v>352</v>
      </c>
      <c r="D17" t="s">
        <v>353</v>
      </c>
      <c r="E17" t="s">
        <v>370</v>
      </c>
      <c r="F17" t="s">
        <v>353</v>
      </c>
      <c r="G17" t="s">
        <v>355</v>
      </c>
      <c r="H17" t="s">
        <v>236</v>
      </c>
      <c r="I17" t="s">
        <v>235</v>
      </c>
      <c r="J17" s="2">
        <v>46240</v>
      </c>
      <c r="K17" s="1">
        <v>5.32</v>
      </c>
      <c r="L17" s="2">
        <v>46241</v>
      </c>
      <c r="M17" s="1">
        <v>5.32</v>
      </c>
    </row>
    <row r="18" spans="1:15" x14ac:dyDescent="0.2">
      <c r="A18" s="1">
        <f t="shared" si="0"/>
        <v>9.94</v>
      </c>
      <c r="C18" t="s">
        <v>352</v>
      </c>
      <c r="D18" t="s">
        <v>353</v>
      </c>
      <c r="E18" t="s">
        <v>371</v>
      </c>
      <c r="F18" t="s">
        <v>353</v>
      </c>
      <c r="G18" t="s">
        <v>355</v>
      </c>
      <c r="H18" t="s">
        <v>58</v>
      </c>
      <c r="I18" t="s">
        <v>57</v>
      </c>
      <c r="J18" s="2">
        <v>46240</v>
      </c>
      <c r="K18">
        <v>4.97</v>
      </c>
      <c r="L18" s="2">
        <v>46241</v>
      </c>
      <c r="M18" s="1">
        <v>4.97</v>
      </c>
    </row>
    <row r="19" spans="1:15" x14ac:dyDescent="0.2">
      <c r="A19" s="1">
        <f t="shared" si="0"/>
        <v>9.94</v>
      </c>
      <c r="C19" t="s">
        <v>352</v>
      </c>
      <c r="D19" t="s">
        <v>353</v>
      </c>
      <c r="E19" t="s">
        <v>372</v>
      </c>
      <c r="F19" t="s">
        <v>353</v>
      </c>
      <c r="G19" t="s">
        <v>355</v>
      </c>
      <c r="H19" t="s">
        <v>58</v>
      </c>
      <c r="I19" t="s">
        <v>57</v>
      </c>
      <c r="J19" s="2">
        <v>46240</v>
      </c>
      <c r="K19" s="1">
        <v>4.97</v>
      </c>
      <c r="L19" s="2">
        <v>46241</v>
      </c>
      <c r="M19" s="1">
        <v>4.97</v>
      </c>
    </row>
    <row r="20" spans="1:15" x14ac:dyDescent="0.2">
      <c r="A20" s="1">
        <f t="shared" si="0"/>
        <v>9.76</v>
      </c>
      <c r="C20" t="s">
        <v>352</v>
      </c>
      <c r="D20" t="s">
        <v>353</v>
      </c>
      <c r="E20" t="s">
        <v>373</v>
      </c>
      <c r="F20" t="s">
        <v>353</v>
      </c>
      <c r="G20" t="s">
        <v>355</v>
      </c>
      <c r="H20" t="s">
        <v>127</v>
      </c>
      <c r="I20" t="s">
        <v>126</v>
      </c>
      <c r="J20" s="2">
        <v>46240</v>
      </c>
      <c r="K20" s="1">
        <v>4.88</v>
      </c>
      <c r="L20" s="2">
        <v>46241</v>
      </c>
      <c r="M20" s="1">
        <v>4.88</v>
      </c>
    </row>
    <row r="21" spans="1:15" x14ac:dyDescent="0.2">
      <c r="A21" s="1">
        <f t="shared" si="0"/>
        <v>19.34</v>
      </c>
      <c r="C21" t="s">
        <v>352</v>
      </c>
      <c r="D21" t="s">
        <v>353</v>
      </c>
      <c r="E21" t="s">
        <v>374</v>
      </c>
      <c r="F21" t="s">
        <v>353</v>
      </c>
      <c r="G21" t="s">
        <v>355</v>
      </c>
      <c r="H21" t="s">
        <v>328</v>
      </c>
      <c r="I21" t="s">
        <v>320</v>
      </c>
      <c r="J21" s="2">
        <v>46240</v>
      </c>
      <c r="K21" s="1">
        <v>9.67</v>
      </c>
      <c r="L21" s="2">
        <v>46241</v>
      </c>
      <c r="M21" s="1">
        <v>9.67</v>
      </c>
    </row>
    <row r="22" spans="1:15" x14ac:dyDescent="0.2">
      <c r="A22" s="1">
        <f t="shared" si="0"/>
        <v>15.92</v>
      </c>
      <c r="C22" t="s">
        <v>352</v>
      </c>
      <c r="D22" t="s">
        <v>353</v>
      </c>
      <c r="E22" t="s">
        <v>375</v>
      </c>
      <c r="F22" t="s">
        <v>353</v>
      </c>
      <c r="G22" t="s">
        <v>355</v>
      </c>
      <c r="H22" t="s">
        <v>148</v>
      </c>
      <c r="I22" t="s">
        <v>142</v>
      </c>
      <c r="J22" s="2">
        <v>46240</v>
      </c>
      <c r="K22" s="1">
        <v>7.96</v>
      </c>
      <c r="L22" s="2">
        <v>46241</v>
      </c>
      <c r="M22" s="1">
        <v>7.96</v>
      </c>
    </row>
    <row r="23" spans="1:15" x14ac:dyDescent="0.2">
      <c r="A23" s="1">
        <f t="shared" si="0"/>
        <v>9.94</v>
      </c>
      <c r="C23" t="s">
        <v>352</v>
      </c>
      <c r="D23" t="s">
        <v>353</v>
      </c>
      <c r="E23" t="s">
        <v>376</v>
      </c>
      <c r="F23" t="s">
        <v>353</v>
      </c>
      <c r="G23" t="s">
        <v>355</v>
      </c>
      <c r="H23" t="s">
        <v>153</v>
      </c>
      <c r="I23" t="s">
        <v>142</v>
      </c>
      <c r="J23" s="2">
        <v>46240</v>
      </c>
      <c r="K23" s="1">
        <v>4.97</v>
      </c>
      <c r="L23" s="2">
        <v>46241</v>
      </c>
      <c r="M23" s="1">
        <v>4.97</v>
      </c>
    </row>
    <row r="24" spans="1:15" x14ac:dyDescent="0.2">
      <c r="A24" s="1">
        <f t="shared" si="0"/>
        <v>5.49</v>
      </c>
      <c r="C24" t="s">
        <v>352</v>
      </c>
      <c r="D24" t="s">
        <v>353</v>
      </c>
      <c r="E24" t="s">
        <v>360</v>
      </c>
      <c r="F24" t="s">
        <v>353</v>
      </c>
      <c r="G24" t="s">
        <v>355</v>
      </c>
      <c r="H24" t="s">
        <v>143</v>
      </c>
      <c r="I24" t="s">
        <v>142</v>
      </c>
      <c r="J24" s="2">
        <v>46240</v>
      </c>
      <c r="K24" s="1">
        <v>1.83</v>
      </c>
      <c r="L24" s="2">
        <v>46241</v>
      </c>
      <c r="M24" s="1">
        <v>1.83</v>
      </c>
      <c r="N24" s="2">
        <v>46241</v>
      </c>
      <c r="O24" s="1">
        <v>1.83</v>
      </c>
    </row>
    <row r="25" spans="1:15" x14ac:dyDescent="0.2">
      <c r="A25" s="1">
        <f t="shared" si="0"/>
        <v>19.96</v>
      </c>
      <c r="C25" t="s">
        <v>352</v>
      </c>
      <c r="D25" t="s">
        <v>353</v>
      </c>
      <c r="E25" t="s">
        <v>377</v>
      </c>
      <c r="F25" t="s">
        <v>353</v>
      </c>
      <c r="G25" t="s">
        <v>355</v>
      </c>
      <c r="H25" t="s">
        <v>37</v>
      </c>
      <c r="I25" t="s">
        <v>34</v>
      </c>
      <c r="J25" s="2">
        <v>46240</v>
      </c>
      <c r="K25" s="1">
        <v>9.98</v>
      </c>
      <c r="L25" s="2">
        <v>46241</v>
      </c>
      <c r="M25" s="1">
        <v>9.98</v>
      </c>
    </row>
    <row r="26" spans="1:15" x14ac:dyDescent="0.2">
      <c r="A26" s="1">
        <f t="shared" si="0"/>
        <v>6.67</v>
      </c>
      <c r="C26" t="s">
        <v>352</v>
      </c>
      <c r="D26" t="s">
        <v>353</v>
      </c>
      <c r="E26" t="s">
        <v>378</v>
      </c>
      <c r="F26" t="s">
        <v>353</v>
      </c>
      <c r="G26" t="s">
        <v>355</v>
      </c>
      <c r="H26" t="s">
        <v>49</v>
      </c>
      <c r="I26" t="s">
        <v>48</v>
      </c>
      <c r="J26" s="2">
        <v>46241</v>
      </c>
      <c r="K26" s="1">
        <v>6.67</v>
      </c>
    </row>
    <row r="27" spans="1:15" x14ac:dyDescent="0.2">
      <c r="A27" s="1">
        <f t="shared" si="0"/>
        <v>39.770000000000003</v>
      </c>
      <c r="C27" t="s">
        <v>352</v>
      </c>
      <c r="D27" t="s">
        <v>353</v>
      </c>
      <c r="E27" t="s">
        <v>379</v>
      </c>
      <c r="F27" t="s">
        <v>353</v>
      </c>
      <c r="G27" t="s">
        <v>355</v>
      </c>
      <c r="H27" t="s">
        <v>41</v>
      </c>
      <c r="I27" t="s">
        <v>34</v>
      </c>
      <c r="J27" s="2">
        <v>46241</v>
      </c>
      <c r="K27" s="1">
        <v>39.770000000000003</v>
      </c>
    </row>
    <row r="28" spans="1:15" x14ac:dyDescent="0.2">
      <c r="A28" s="1">
        <f t="shared" si="0"/>
        <v>4.17</v>
      </c>
      <c r="C28" t="s">
        <v>352</v>
      </c>
      <c r="D28" t="s">
        <v>353</v>
      </c>
      <c r="E28" t="s">
        <v>380</v>
      </c>
      <c r="F28" t="s">
        <v>353</v>
      </c>
      <c r="G28" t="s">
        <v>355</v>
      </c>
      <c r="H28" t="s">
        <v>250</v>
      </c>
      <c r="I28" t="s">
        <v>249</v>
      </c>
      <c r="J28" s="2">
        <v>46241</v>
      </c>
      <c r="K28" s="1">
        <v>4.17</v>
      </c>
    </row>
    <row r="29" spans="1:15" x14ac:dyDescent="0.2">
      <c r="A29" s="1">
        <f t="shared" si="0"/>
        <v>4.96</v>
      </c>
      <c r="C29" t="s">
        <v>352</v>
      </c>
      <c r="D29" t="s">
        <v>353</v>
      </c>
      <c r="E29" t="s">
        <v>381</v>
      </c>
      <c r="F29" t="s">
        <v>353</v>
      </c>
      <c r="G29" t="s">
        <v>355</v>
      </c>
      <c r="H29" t="s">
        <v>46</v>
      </c>
      <c r="I29" t="s">
        <v>43</v>
      </c>
      <c r="J29" s="2">
        <v>46241</v>
      </c>
      <c r="K29" s="1">
        <v>4.96</v>
      </c>
    </row>
    <row r="30" spans="1:15" x14ac:dyDescent="0.2">
      <c r="A30" s="1">
        <f t="shared" si="0"/>
        <v>11.76</v>
      </c>
      <c r="C30" t="s">
        <v>352</v>
      </c>
      <c r="D30" t="s">
        <v>353</v>
      </c>
      <c r="E30" t="s">
        <v>382</v>
      </c>
      <c r="F30" t="s">
        <v>353</v>
      </c>
      <c r="G30" t="s">
        <v>355</v>
      </c>
      <c r="H30" t="s">
        <v>209</v>
      </c>
      <c r="I30" t="s">
        <v>208</v>
      </c>
      <c r="J30" s="2">
        <v>46241</v>
      </c>
      <c r="K30" s="1">
        <v>11.76</v>
      </c>
    </row>
    <row r="31" spans="1:15" x14ac:dyDescent="0.2">
      <c r="A31" s="1">
        <f t="shared" si="0"/>
        <v>2.54</v>
      </c>
      <c r="C31" t="s">
        <v>352</v>
      </c>
      <c r="D31" t="s">
        <v>353</v>
      </c>
      <c r="E31" t="s">
        <v>383</v>
      </c>
      <c r="F31" t="s">
        <v>353</v>
      </c>
      <c r="G31" t="s">
        <v>355</v>
      </c>
      <c r="H31" t="s">
        <v>297</v>
      </c>
      <c r="I31" t="s">
        <v>292</v>
      </c>
      <c r="J31" s="2">
        <v>46241</v>
      </c>
      <c r="K31" s="1">
        <v>2.54</v>
      </c>
    </row>
    <row r="32" spans="1:15" x14ac:dyDescent="0.2">
      <c r="A32" s="1">
        <f t="shared" si="0"/>
        <v>5</v>
      </c>
      <c r="C32" t="s">
        <v>352</v>
      </c>
      <c r="D32" t="s">
        <v>353</v>
      </c>
      <c r="E32" t="s">
        <v>384</v>
      </c>
      <c r="F32" t="s">
        <v>353</v>
      </c>
      <c r="G32" t="s">
        <v>355</v>
      </c>
      <c r="H32" t="s">
        <v>132</v>
      </c>
      <c r="I32" t="s">
        <v>130</v>
      </c>
      <c r="J32" s="2">
        <v>46241</v>
      </c>
      <c r="K32" s="1">
        <v>5</v>
      </c>
    </row>
    <row r="33" spans="1:13" x14ac:dyDescent="0.2">
      <c r="A33" s="1">
        <f t="shared" si="0"/>
        <v>5.97</v>
      </c>
      <c r="C33" t="s">
        <v>352</v>
      </c>
      <c r="D33" t="s">
        <v>353</v>
      </c>
      <c r="E33" t="s">
        <v>385</v>
      </c>
      <c r="F33" t="s">
        <v>353</v>
      </c>
      <c r="G33" t="s">
        <v>355</v>
      </c>
      <c r="H33" t="s">
        <v>304</v>
      </c>
      <c r="I33" t="s">
        <v>302</v>
      </c>
      <c r="J33" s="2">
        <v>46247</v>
      </c>
      <c r="K33" s="1">
        <v>5.97</v>
      </c>
    </row>
    <row r="34" spans="1:13" x14ac:dyDescent="0.2">
      <c r="A34" s="1">
        <f t="shared" si="0"/>
        <v>6.88</v>
      </c>
      <c r="C34" t="s">
        <v>352</v>
      </c>
      <c r="D34" t="s">
        <v>353</v>
      </c>
      <c r="E34" t="s">
        <v>386</v>
      </c>
      <c r="F34" t="s">
        <v>353</v>
      </c>
      <c r="G34" t="s">
        <v>355</v>
      </c>
      <c r="H34" t="s">
        <v>275</v>
      </c>
      <c r="I34" t="s">
        <v>274</v>
      </c>
      <c r="J34" s="2">
        <v>46247</v>
      </c>
      <c r="K34" s="1">
        <v>6.88</v>
      </c>
    </row>
    <row r="35" spans="1:13" x14ac:dyDescent="0.2">
      <c r="A35" s="1">
        <f t="shared" si="0"/>
        <v>6.48</v>
      </c>
      <c r="C35" t="s">
        <v>352</v>
      </c>
      <c r="D35" t="s">
        <v>353</v>
      </c>
      <c r="E35" t="s">
        <v>387</v>
      </c>
      <c r="F35" t="s">
        <v>353</v>
      </c>
      <c r="G35" t="s">
        <v>355</v>
      </c>
      <c r="H35" t="s">
        <v>109</v>
      </c>
      <c r="I35" t="s">
        <v>108</v>
      </c>
      <c r="J35" s="2">
        <v>46247</v>
      </c>
      <c r="K35" s="1">
        <v>6.48</v>
      </c>
    </row>
    <row r="36" spans="1:13" x14ac:dyDescent="0.2">
      <c r="A36" s="1">
        <f t="shared" si="0"/>
        <v>5.74</v>
      </c>
      <c r="C36" t="s">
        <v>352</v>
      </c>
      <c r="D36" t="s">
        <v>353</v>
      </c>
      <c r="E36" t="s">
        <v>388</v>
      </c>
      <c r="F36" t="s">
        <v>353</v>
      </c>
      <c r="G36" t="s">
        <v>355</v>
      </c>
      <c r="H36" t="s">
        <v>222</v>
      </c>
      <c r="I36" t="s">
        <v>221</v>
      </c>
      <c r="J36" s="2">
        <v>46247</v>
      </c>
      <c r="K36" s="1">
        <v>5.74</v>
      </c>
    </row>
    <row r="37" spans="1:13" x14ac:dyDescent="0.2">
      <c r="A37" s="1">
        <f t="shared" si="0"/>
        <v>5.98</v>
      </c>
      <c r="C37" t="s">
        <v>352</v>
      </c>
      <c r="D37" t="s">
        <v>353</v>
      </c>
      <c r="E37" t="s">
        <v>389</v>
      </c>
      <c r="F37" t="s">
        <v>353</v>
      </c>
      <c r="G37" t="s">
        <v>355</v>
      </c>
      <c r="H37" t="s">
        <v>63</v>
      </c>
      <c r="I37" t="s">
        <v>60</v>
      </c>
      <c r="J37" s="2">
        <v>46247</v>
      </c>
      <c r="K37" s="1">
        <v>5.98</v>
      </c>
    </row>
    <row r="38" spans="1:13" x14ac:dyDescent="0.2">
      <c r="A38" s="1">
        <f t="shared" si="0"/>
        <v>1.27</v>
      </c>
      <c r="C38" t="s">
        <v>352</v>
      </c>
      <c r="D38" t="s">
        <v>353</v>
      </c>
      <c r="E38" t="s">
        <v>390</v>
      </c>
      <c r="F38" t="s">
        <v>353</v>
      </c>
      <c r="G38" t="s">
        <v>355</v>
      </c>
      <c r="H38" t="s">
        <v>213</v>
      </c>
      <c r="I38" t="s">
        <v>212</v>
      </c>
      <c r="J38" s="2">
        <v>46247</v>
      </c>
      <c r="K38" s="1">
        <v>1.27</v>
      </c>
    </row>
    <row r="39" spans="1:13" x14ac:dyDescent="0.2">
      <c r="A39" s="1">
        <f t="shared" si="0"/>
        <v>11.93</v>
      </c>
      <c r="C39" t="s">
        <v>352</v>
      </c>
      <c r="D39" t="s">
        <v>353</v>
      </c>
      <c r="E39" t="s">
        <v>391</v>
      </c>
      <c r="F39" t="s">
        <v>353</v>
      </c>
      <c r="G39" t="s">
        <v>355</v>
      </c>
      <c r="H39" t="s">
        <v>85</v>
      </c>
      <c r="I39" t="s">
        <v>84</v>
      </c>
      <c r="J39" s="2">
        <v>46247</v>
      </c>
      <c r="K39" s="1">
        <v>11.93</v>
      </c>
    </row>
    <row r="40" spans="1:13" x14ac:dyDescent="0.2">
      <c r="A40" s="1">
        <f t="shared" si="0"/>
        <v>7.98</v>
      </c>
      <c r="C40" t="s">
        <v>352</v>
      </c>
      <c r="D40" t="s">
        <v>353</v>
      </c>
      <c r="E40" t="s">
        <v>392</v>
      </c>
      <c r="F40" t="s">
        <v>353</v>
      </c>
      <c r="G40" t="s">
        <v>355</v>
      </c>
      <c r="H40" t="s">
        <v>138</v>
      </c>
      <c r="I40" t="s">
        <v>137</v>
      </c>
      <c r="J40" s="2">
        <v>46247</v>
      </c>
      <c r="K40" s="1">
        <v>7.98</v>
      </c>
    </row>
    <row r="41" spans="1:13" x14ac:dyDescent="0.2">
      <c r="A41" s="1">
        <f t="shared" si="0"/>
        <v>6.48</v>
      </c>
      <c r="C41" t="s">
        <v>352</v>
      </c>
      <c r="D41" t="s">
        <v>353</v>
      </c>
      <c r="E41" t="s">
        <v>393</v>
      </c>
      <c r="F41" t="s">
        <v>353</v>
      </c>
      <c r="G41" t="s">
        <v>355</v>
      </c>
      <c r="H41" t="s">
        <v>139</v>
      </c>
      <c r="I41" t="s">
        <v>137</v>
      </c>
      <c r="J41" s="2">
        <v>46247</v>
      </c>
      <c r="K41" s="1">
        <v>6.48</v>
      </c>
    </row>
    <row r="42" spans="1:13" x14ac:dyDescent="0.2">
      <c r="A42" s="1">
        <f t="shared" si="0"/>
        <v>2.08</v>
      </c>
      <c r="C42" t="s">
        <v>352</v>
      </c>
      <c r="D42" t="s">
        <v>353</v>
      </c>
      <c r="E42" t="s">
        <v>394</v>
      </c>
      <c r="F42" t="s">
        <v>353</v>
      </c>
      <c r="G42" t="s">
        <v>355</v>
      </c>
      <c r="H42" t="s">
        <v>182</v>
      </c>
      <c r="I42" t="s">
        <v>169</v>
      </c>
      <c r="J42" s="2">
        <v>46247</v>
      </c>
      <c r="K42" s="1">
        <v>2.08</v>
      </c>
    </row>
    <row r="43" spans="1:13" x14ac:dyDescent="0.2">
      <c r="A43" s="1">
        <f t="shared" si="0"/>
        <v>3.16</v>
      </c>
      <c r="C43" t="s">
        <v>352</v>
      </c>
      <c r="D43" t="s">
        <v>353</v>
      </c>
      <c r="E43" t="s">
        <v>395</v>
      </c>
      <c r="F43" t="s">
        <v>396</v>
      </c>
      <c r="G43" t="s">
        <v>355</v>
      </c>
      <c r="H43" t="s">
        <v>231</v>
      </c>
      <c r="I43" t="s">
        <v>230</v>
      </c>
      <c r="J43" s="2">
        <v>46247</v>
      </c>
      <c r="K43" s="1">
        <v>3.16</v>
      </c>
    </row>
    <row r="44" spans="1:13" x14ac:dyDescent="0.2">
      <c r="A44" s="1">
        <f t="shared" si="0"/>
        <v>0.84</v>
      </c>
      <c r="C44" t="s">
        <v>352</v>
      </c>
      <c r="D44" t="s">
        <v>353</v>
      </c>
      <c r="E44" t="s">
        <v>397</v>
      </c>
      <c r="F44" t="s">
        <v>353</v>
      </c>
      <c r="G44" t="s">
        <v>355</v>
      </c>
      <c r="H44" t="s">
        <v>193</v>
      </c>
      <c r="I44" t="s">
        <v>169</v>
      </c>
      <c r="J44" s="2">
        <v>46247</v>
      </c>
      <c r="K44" s="1">
        <v>0.42</v>
      </c>
      <c r="L44" s="2">
        <v>46247</v>
      </c>
      <c r="M44" s="1">
        <v>0.42</v>
      </c>
    </row>
    <row r="45" spans="1:13" x14ac:dyDescent="0.2">
      <c r="A45" s="1">
        <f t="shared" si="0"/>
        <v>1.2</v>
      </c>
      <c r="C45" t="s">
        <v>352</v>
      </c>
      <c r="D45" t="s">
        <v>353</v>
      </c>
      <c r="E45" t="s">
        <v>398</v>
      </c>
      <c r="F45" t="s">
        <v>353</v>
      </c>
      <c r="G45" t="s">
        <v>355</v>
      </c>
      <c r="H45" t="s">
        <v>194</v>
      </c>
      <c r="I45" t="s">
        <v>169</v>
      </c>
      <c r="J45" s="2">
        <v>46247</v>
      </c>
      <c r="K45" s="1">
        <v>0.6</v>
      </c>
      <c r="L45" s="2">
        <v>46247</v>
      </c>
      <c r="M45" s="1">
        <v>0.6</v>
      </c>
    </row>
    <row r="46" spans="1:13" x14ac:dyDescent="0.2">
      <c r="A46" s="1">
        <f t="shared" si="0"/>
        <v>1.76</v>
      </c>
      <c r="C46" t="s">
        <v>352</v>
      </c>
      <c r="D46" t="s">
        <v>353</v>
      </c>
      <c r="E46" t="s">
        <v>399</v>
      </c>
      <c r="F46" t="s">
        <v>353</v>
      </c>
      <c r="G46" t="s">
        <v>355</v>
      </c>
      <c r="H46" t="s">
        <v>186</v>
      </c>
      <c r="I46" t="s">
        <v>169</v>
      </c>
      <c r="J46" s="2">
        <v>46247</v>
      </c>
      <c r="K46" s="1">
        <v>0.88</v>
      </c>
      <c r="L46" s="2">
        <v>46247</v>
      </c>
      <c r="M46" s="1">
        <v>0.88</v>
      </c>
    </row>
    <row r="47" spans="1:13" x14ac:dyDescent="0.2">
      <c r="A47" s="1">
        <f t="shared" si="0"/>
        <v>3.85</v>
      </c>
      <c r="C47" t="s">
        <v>352</v>
      </c>
      <c r="D47" t="s">
        <v>353</v>
      </c>
      <c r="E47" t="s">
        <v>400</v>
      </c>
      <c r="F47" t="s">
        <v>353</v>
      </c>
      <c r="G47" t="s">
        <v>355</v>
      </c>
      <c r="H47" t="s">
        <v>192</v>
      </c>
      <c r="I47" t="s">
        <v>169</v>
      </c>
      <c r="J47" s="2">
        <v>46247</v>
      </c>
      <c r="K47" s="1">
        <v>3.85</v>
      </c>
    </row>
    <row r="48" spans="1:13" x14ac:dyDescent="0.2">
      <c r="A48" s="1">
        <f t="shared" si="0"/>
        <v>3.52</v>
      </c>
      <c r="C48" t="s">
        <v>352</v>
      </c>
      <c r="D48" t="s">
        <v>353</v>
      </c>
      <c r="E48" t="s">
        <v>401</v>
      </c>
      <c r="F48" t="s">
        <v>353</v>
      </c>
      <c r="G48" t="s">
        <v>355</v>
      </c>
      <c r="H48" t="s">
        <v>143</v>
      </c>
      <c r="I48" t="s">
        <v>142</v>
      </c>
      <c r="J48" s="2">
        <v>46247</v>
      </c>
      <c r="K48" s="1">
        <v>1.76</v>
      </c>
      <c r="L48" s="2">
        <v>46247</v>
      </c>
      <c r="M48" s="1">
        <v>1.76</v>
      </c>
    </row>
    <row r="49" spans="1:11" x14ac:dyDescent="0.2">
      <c r="A49" s="1">
        <f t="shared" si="0"/>
        <v>6.79</v>
      </c>
      <c r="C49" t="s">
        <v>402</v>
      </c>
      <c r="D49" t="s">
        <v>403</v>
      </c>
      <c r="E49" t="s">
        <v>404</v>
      </c>
      <c r="F49" t="s">
        <v>353</v>
      </c>
      <c r="G49" t="s">
        <v>405</v>
      </c>
      <c r="H49" t="s">
        <v>65</v>
      </c>
      <c r="I49" t="s">
        <v>60</v>
      </c>
      <c r="J49" s="2">
        <v>46257</v>
      </c>
      <c r="K49" s="1">
        <v>6.79</v>
      </c>
    </row>
    <row r="50" spans="1:11" x14ac:dyDescent="0.2">
      <c r="A50" s="1">
        <f t="shared" si="0"/>
        <v>2.52</v>
      </c>
      <c r="C50" t="s">
        <v>402</v>
      </c>
      <c r="D50" t="s">
        <v>406</v>
      </c>
      <c r="E50" t="s">
        <v>194</v>
      </c>
      <c r="F50" t="s">
        <v>353</v>
      </c>
      <c r="G50" t="s">
        <v>405</v>
      </c>
      <c r="H50" t="s">
        <v>194</v>
      </c>
      <c r="I50" t="s">
        <v>169</v>
      </c>
      <c r="J50" s="2">
        <v>46257</v>
      </c>
      <c r="K50" s="1">
        <v>2.52</v>
      </c>
    </row>
    <row r="51" spans="1:11" x14ac:dyDescent="0.2">
      <c r="A51" s="1">
        <f t="shared" si="0"/>
        <v>2.6</v>
      </c>
      <c r="C51" t="s">
        <v>402</v>
      </c>
      <c r="D51" t="s">
        <v>407</v>
      </c>
      <c r="E51" t="s">
        <v>193</v>
      </c>
      <c r="F51" t="s">
        <v>353</v>
      </c>
      <c r="G51" t="s">
        <v>405</v>
      </c>
      <c r="H51" t="s">
        <v>193</v>
      </c>
      <c r="I51" t="s">
        <v>169</v>
      </c>
      <c r="J51" s="2">
        <v>46257</v>
      </c>
      <c r="K51" s="1">
        <v>2.6</v>
      </c>
    </row>
    <row r="52" spans="1:11" x14ac:dyDescent="0.2">
      <c r="A52" s="1">
        <f t="shared" si="0"/>
        <v>3.29</v>
      </c>
      <c r="C52" t="s">
        <v>402</v>
      </c>
      <c r="D52" t="s">
        <v>408</v>
      </c>
      <c r="E52" t="s">
        <v>181</v>
      </c>
      <c r="F52" t="s">
        <v>353</v>
      </c>
      <c r="G52" t="s">
        <v>405</v>
      </c>
      <c r="H52" t="s">
        <v>181</v>
      </c>
      <c r="I52" t="s">
        <v>169</v>
      </c>
      <c r="J52" s="2">
        <v>46257</v>
      </c>
      <c r="K52" s="1">
        <v>3.29</v>
      </c>
    </row>
    <row r="53" spans="1:11" x14ac:dyDescent="0.2">
      <c r="A53" s="1">
        <f t="shared" si="0"/>
        <v>0.89</v>
      </c>
      <c r="C53" t="s">
        <v>402</v>
      </c>
      <c r="D53" t="s">
        <v>409</v>
      </c>
      <c r="E53" t="s">
        <v>158</v>
      </c>
      <c r="F53" t="s">
        <v>353</v>
      </c>
      <c r="G53" t="s">
        <v>405</v>
      </c>
      <c r="H53" t="s">
        <v>158</v>
      </c>
      <c r="I53" t="s">
        <v>157</v>
      </c>
      <c r="J53" s="2">
        <v>46257</v>
      </c>
      <c r="K53" s="1">
        <v>0.89</v>
      </c>
    </row>
    <row r="54" spans="1:11" x14ac:dyDescent="0.2">
      <c r="A54" s="1">
        <f t="shared" si="0"/>
        <v>3.41</v>
      </c>
      <c r="C54" t="s">
        <v>402</v>
      </c>
      <c r="D54" t="s">
        <v>410</v>
      </c>
      <c r="E54" t="s">
        <v>173</v>
      </c>
      <c r="F54" t="s">
        <v>353</v>
      </c>
      <c r="G54" t="s">
        <v>405</v>
      </c>
      <c r="H54" t="s">
        <v>173</v>
      </c>
      <c r="I54" t="s">
        <v>169</v>
      </c>
      <c r="J54" s="2">
        <v>46257</v>
      </c>
      <c r="K54" s="1">
        <v>3.41</v>
      </c>
    </row>
    <row r="55" spans="1:11" x14ac:dyDescent="0.2">
      <c r="A55" s="1">
        <f t="shared" si="0"/>
        <v>2.99</v>
      </c>
      <c r="C55" t="s">
        <v>402</v>
      </c>
      <c r="D55" t="s">
        <v>411</v>
      </c>
      <c r="E55" t="s">
        <v>171</v>
      </c>
      <c r="F55" t="s">
        <v>353</v>
      </c>
      <c r="G55" t="s">
        <v>405</v>
      </c>
      <c r="H55" t="s">
        <v>171</v>
      </c>
      <c r="I55" t="s">
        <v>169</v>
      </c>
      <c r="J55" s="2">
        <v>46257</v>
      </c>
      <c r="K55" s="1">
        <v>2.99</v>
      </c>
    </row>
    <row r="56" spans="1:11" x14ac:dyDescent="0.2">
      <c r="A56" s="1">
        <f t="shared" si="0"/>
        <v>8.2899999999999991</v>
      </c>
      <c r="C56" t="s">
        <v>402</v>
      </c>
      <c r="D56" t="s">
        <v>412</v>
      </c>
      <c r="E56" t="s">
        <v>413</v>
      </c>
      <c r="F56" t="s">
        <v>353</v>
      </c>
      <c r="G56" t="s">
        <v>405</v>
      </c>
      <c r="H56" t="s">
        <v>211</v>
      </c>
      <c r="I56" t="s">
        <v>210</v>
      </c>
      <c r="J56" s="2">
        <v>46257</v>
      </c>
      <c r="K56" s="1">
        <v>8.2899999999999991</v>
      </c>
    </row>
    <row r="57" spans="1:11" x14ac:dyDescent="0.2">
      <c r="A57" s="1">
        <f t="shared" si="0"/>
        <v>2.69</v>
      </c>
      <c r="C57" t="s">
        <v>402</v>
      </c>
      <c r="D57" t="s">
        <v>414</v>
      </c>
      <c r="E57" t="s">
        <v>415</v>
      </c>
      <c r="F57" t="s">
        <v>353</v>
      </c>
      <c r="G57" t="s">
        <v>405</v>
      </c>
      <c r="H57" t="s">
        <v>183</v>
      </c>
      <c r="I57" t="s">
        <v>169</v>
      </c>
      <c r="J57" s="2">
        <v>46257</v>
      </c>
      <c r="K57" s="1">
        <v>2.69</v>
      </c>
    </row>
    <row r="58" spans="1:11" x14ac:dyDescent="0.2">
      <c r="A58" s="1">
        <f t="shared" si="0"/>
        <v>3.69</v>
      </c>
      <c r="C58" t="s">
        <v>402</v>
      </c>
      <c r="D58" t="s">
        <v>416</v>
      </c>
      <c r="E58" t="s">
        <v>417</v>
      </c>
      <c r="F58" t="s">
        <v>353</v>
      </c>
      <c r="G58" t="s">
        <v>405</v>
      </c>
      <c r="H58" t="s">
        <v>153</v>
      </c>
      <c r="I58" t="s">
        <v>142</v>
      </c>
      <c r="J58" s="2">
        <v>46257</v>
      </c>
      <c r="K58" s="1">
        <v>3.69</v>
      </c>
    </row>
    <row r="59" spans="1:11" x14ac:dyDescent="0.2">
      <c r="A59" s="1">
        <f t="shared" si="0"/>
        <v>1.29</v>
      </c>
      <c r="C59" t="s">
        <v>402</v>
      </c>
      <c r="D59" t="s">
        <v>418</v>
      </c>
      <c r="E59" t="s">
        <v>170</v>
      </c>
      <c r="F59" t="s">
        <v>353</v>
      </c>
      <c r="G59" t="s">
        <v>405</v>
      </c>
      <c r="H59" t="s">
        <v>170</v>
      </c>
      <c r="I59" t="s">
        <v>169</v>
      </c>
      <c r="J59" s="2">
        <v>46257</v>
      </c>
      <c r="K59" s="1">
        <v>1.29</v>
      </c>
    </row>
    <row r="60" spans="1:11" x14ac:dyDescent="0.2">
      <c r="A60" s="1">
        <f t="shared" si="0"/>
        <v>3.89</v>
      </c>
      <c r="C60" t="s">
        <v>402</v>
      </c>
      <c r="D60" t="s">
        <v>419</v>
      </c>
      <c r="E60" t="s">
        <v>420</v>
      </c>
      <c r="F60" t="s">
        <v>353</v>
      </c>
      <c r="G60" t="s">
        <v>405</v>
      </c>
      <c r="H60" t="s">
        <v>196</v>
      </c>
      <c r="I60" t="s">
        <v>195</v>
      </c>
      <c r="J60" s="2">
        <v>46257</v>
      </c>
      <c r="K60" s="1">
        <v>3.89</v>
      </c>
    </row>
    <row r="61" spans="1:11" x14ac:dyDescent="0.2">
      <c r="A61" s="1">
        <f t="shared" si="0"/>
        <v>2.59</v>
      </c>
      <c r="C61" t="s">
        <v>402</v>
      </c>
      <c r="D61" t="s">
        <v>421</v>
      </c>
      <c r="E61" t="s">
        <v>145</v>
      </c>
      <c r="F61" t="s">
        <v>353</v>
      </c>
      <c r="G61" t="s">
        <v>405</v>
      </c>
      <c r="H61" t="s">
        <v>145</v>
      </c>
      <c r="I61" t="s">
        <v>142</v>
      </c>
      <c r="J61" s="2">
        <v>46257</v>
      </c>
      <c r="K61" s="1">
        <v>2.59</v>
      </c>
    </row>
    <row r="62" spans="1:11" x14ac:dyDescent="0.2">
      <c r="A62" s="1">
        <f t="shared" si="0"/>
        <v>4.3899999999999997</v>
      </c>
      <c r="C62" t="s">
        <v>402</v>
      </c>
      <c r="D62" t="s">
        <v>422</v>
      </c>
      <c r="E62" t="s">
        <v>146</v>
      </c>
      <c r="F62" t="s">
        <v>353</v>
      </c>
      <c r="G62" t="s">
        <v>405</v>
      </c>
      <c r="H62" t="s">
        <v>146</v>
      </c>
      <c r="I62" t="s">
        <v>142</v>
      </c>
      <c r="J62" s="2">
        <v>46257</v>
      </c>
      <c r="K62" s="1">
        <v>4.3899999999999997</v>
      </c>
    </row>
    <row r="63" spans="1:11" x14ac:dyDescent="0.2">
      <c r="A63" s="1">
        <f t="shared" si="0"/>
        <v>3.45</v>
      </c>
      <c r="C63" t="s">
        <v>402</v>
      </c>
      <c r="D63" t="s">
        <v>423</v>
      </c>
      <c r="E63" t="s">
        <v>424</v>
      </c>
      <c r="F63" t="s">
        <v>353</v>
      </c>
      <c r="G63" t="s">
        <v>405</v>
      </c>
      <c r="H63" t="s">
        <v>114</v>
      </c>
      <c r="I63" t="s">
        <v>113</v>
      </c>
      <c r="J63" s="2">
        <v>46257</v>
      </c>
      <c r="K63" s="1">
        <v>3.45</v>
      </c>
    </row>
    <row r="64" spans="1:11" x14ac:dyDescent="0.2">
      <c r="A64" s="1">
        <f t="shared" si="0"/>
        <v>2.39</v>
      </c>
      <c r="C64" t="s">
        <v>402</v>
      </c>
      <c r="D64" t="s">
        <v>353</v>
      </c>
      <c r="E64" t="s">
        <v>253</v>
      </c>
      <c r="F64" t="s">
        <v>353</v>
      </c>
      <c r="G64" t="s">
        <v>405</v>
      </c>
      <c r="H64" t="s">
        <v>253</v>
      </c>
      <c r="I64" t="s">
        <v>252</v>
      </c>
      <c r="J64" s="2">
        <v>46257</v>
      </c>
      <c r="K64" s="1">
        <v>2.39</v>
      </c>
    </row>
    <row r="65" spans="1:13" x14ac:dyDescent="0.2">
      <c r="A65" s="1">
        <f t="shared" si="0"/>
        <v>1.31</v>
      </c>
      <c r="C65" t="s">
        <v>402</v>
      </c>
      <c r="D65" t="s">
        <v>425</v>
      </c>
      <c r="E65" t="s">
        <v>426</v>
      </c>
      <c r="F65" t="s">
        <v>353</v>
      </c>
      <c r="G65" t="s">
        <v>405</v>
      </c>
      <c r="H65" t="s">
        <v>143</v>
      </c>
      <c r="I65" t="s">
        <v>142</v>
      </c>
      <c r="J65" s="2">
        <v>46257</v>
      </c>
      <c r="K65" s="1">
        <v>1.31</v>
      </c>
    </row>
    <row r="66" spans="1:13" x14ac:dyDescent="0.2">
      <c r="A66" s="1">
        <f t="shared" ref="A66:A129" si="1">SUM(K66,M66,O66,Q66,S66,U66)</f>
        <v>3.98</v>
      </c>
      <c r="C66" t="s">
        <v>402</v>
      </c>
      <c r="D66" t="s">
        <v>427</v>
      </c>
      <c r="E66" t="s">
        <v>303</v>
      </c>
      <c r="F66" t="s">
        <v>353</v>
      </c>
      <c r="G66" t="s">
        <v>405</v>
      </c>
      <c r="H66" t="s">
        <v>303</v>
      </c>
      <c r="I66" t="s">
        <v>302</v>
      </c>
      <c r="J66" s="2">
        <v>46257</v>
      </c>
      <c r="K66" s="1">
        <v>1.99</v>
      </c>
      <c r="L66" s="2">
        <v>46257</v>
      </c>
      <c r="M66" s="1">
        <v>1.99</v>
      </c>
    </row>
    <row r="67" spans="1:13" x14ac:dyDescent="0.2">
      <c r="A67" s="1">
        <f t="shared" si="1"/>
        <v>2.4900000000000002</v>
      </c>
      <c r="C67" t="s">
        <v>402</v>
      </c>
      <c r="D67" t="s">
        <v>428</v>
      </c>
      <c r="E67" t="s">
        <v>187</v>
      </c>
      <c r="F67" t="s">
        <v>353</v>
      </c>
      <c r="G67" t="s">
        <v>405</v>
      </c>
      <c r="H67" t="s">
        <v>187</v>
      </c>
      <c r="I67" t="s">
        <v>169</v>
      </c>
      <c r="J67" s="2">
        <v>46257</v>
      </c>
      <c r="K67" s="1">
        <v>2.4900000000000002</v>
      </c>
    </row>
    <row r="68" spans="1:13" x14ac:dyDescent="0.2">
      <c r="A68" s="1">
        <f t="shared" si="1"/>
        <v>1.98</v>
      </c>
      <c r="C68" t="s">
        <v>402</v>
      </c>
      <c r="D68" t="s">
        <v>429</v>
      </c>
      <c r="E68" t="s">
        <v>75</v>
      </c>
      <c r="F68" t="s">
        <v>353</v>
      </c>
      <c r="G68" t="s">
        <v>405</v>
      </c>
      <c r="H68" t="s">
        <v>75</v>
      </c>
      <c r="I68" t="s">
        <v>73</v>
      </c>
      <c r="J68" s="2">
        <v>46257</v>
      </c>
      <c r="K68" s="1">
        <v>0.99</v>
      </c>
      <c r="L68" s="2">
        <v>46257</v>
      </c>
      <c r="M68" s="1">
        <v>0.99</v>
      </c>
    </row>
    <row r="69" spans="1:13" x14ac:dyDescent="0.2">
      <c r="A69" s="1">
        <f t="shared" si="1"/>
        <v>1.7</v>
      </c>
      <c r="C69" t="s">
        <v>402</v>
      </c>
      <c r="D69" t="s">
        <v>430</v>
      </c>
      <c r="E69" t="s">
        <v>431</v>
      </c>
      <c r="F69" t="s">
        <v>353</v>
      </c>
      <c r="G69" t="s">
        <v>405</v>
      </c>
      <c r="H69" t="s">
        <v>74</v>
      </c>
      <c r="I69" t="s">
        <v>73</v>
      </c>
      <c r="J69" s="2">
        <v>46257</v>
      </c>
      <c r="K69" s="1">
        <v>0.85</v>
      </c>
      <c r="L69" s="2">
        <v>46257</v>
      </c>
      <c r="M69" s="1">
        <v>0.85</v>
      </c>
    </row>
    <row r="70" spans="1:13" x14ac:dyDescent="0.2">
      <c r="A70" s="1">
        <f t="shared" si="1"/>
        <v>2.99</v>
      </c>
      <c r="C70" t="s">
        <v>402</v>
      </c>
      <c r="D70" t="s">
        <v>432</v>
      </c>
      <c r="E70" t="s">
        <v>433</v>
      </c>
      <c r="F70" t="s">
        <v>353</v>
      </c>
      <c r="G70" t="s">
        <v>405</v>
      </c>
      <c r="H70" t="s">
        <v>280</v>
      </c>
      <c r="I70" t="s">
        <v>279</v>
      </c>
      <c r="J70" s="2">
        <v>46257</v>
      </c>
      <c r="K70" s="1">
        <v>2.99</v>
      </c>
    </row>
    <row r="71" spans="1:13" x14ac:dyDescent="0.2">
      <c r="A71" s="1">
        <f t="shared" si="1"/>
        <v>0.95</v>
      </c>
      <c r="C71" t="s">
        <v>402</v>
      </c>
      <c r="D71" t="s">
        <v>434</v>
      </c>
      <c r="E71" t="s">
        <v>435</v>
      </c>
      <c r="F71" t="s">
        <v>353</v>
      </c>
      <c r="G71" t="s">
        <v>405</v>
      </c>
      <c r="H71" t="s">
        <v>159</v>
      </c>
      <c r="I71" t="s">
        <v>157</v>
      </c>
      <c r="J71" s="2">
        <v>46257</v>
      </c>
      <c r="K71" s="1">
        <v>0.95</v>
      </c>
    </row>
    <row r="72" spans="1:13" x14ac:dyDescent="0.2">
      <c r="A72" s="1">
        <f t="shared" si="1"/>
        <v>1.99</v>
      </c>
      <c r="C72" t="s">
        <v>402</v>
      </c>
      <c r="D72" t="s">
        <v>436</v>
      </c>
      <c r="E72" t="s">
        <v>437</v>
      </c>
      <c r="F72" t="s">
        <v>353</v>
      </c>
      <c r="G72" t="s">
        <v>405</v>
      </c>
      <c r="H72" t="s">
        <v>106</v>
      </c>
      <c r="I72" t="s">
        <v>105</v>
      </c>
      <c r="J72" s="2">
        <v>46257</v>
      </c>
      <c r="K72" s="1">
        <v>1.99</v>
      </c>
    </row>
    <row r="73" spans="1:13" x14ac:dyDescent="0.2">
      <c r="A73" s="1">
        <f t="shared" si="1"/>
        <v>5.25</v>
      </c>
      <c r="C73" t="s">
        <v>402</v>
      </c>
      <c r="D73" t="s">
        <v>438</v>
      </c>
      <c r="E73" t="s">
        <v>439</v>
      </c>
      <c r="F73" t="s">
        <v>353</v>
      </c>
      <c r="G73" t="s">
        <v>405</v>
      </c>
      <c r="H73" t="s">
        <v>120</v>
      </c>
      <c r="I73" t="s">
        <v>119</v>
      </c>
      <c r="J73" s="2">
        <v>46257</v>
      </c>
      <c r="K73" s="1">
        <v>5.25</v>
      </c>
    </row>
    <row r="74" spans="1:13" x14ac:dyDescent="0.2">
      <c r="A74" s="1">
        <f t="shared" si="1"/>
        <v>3.37</v>
      </c>
      <c r="C74" t="s">
        <v>402</v>
      </c>
      <c r="D74" t="s">
        <v>440</v>
      </c>
      <c r="E74" t="s">
        <v>441</v>
      </c>
      <c r="F74" t="s">
        <v>353</v>
      </c>
      <c r="G74" t="s">
        <v>405</v>
      </c>
      <c r="H74" t="s">
        <v>66</v>
      </c>
      <c r="I74" t="s">
        <v>60</v>
      </c>
      <c r="J74" s="2">
        <v>46257</v>
      </c>
      <c r="K74" s="1">
        <v>3.37</v>
      </c>
    </row>
    <row r="75" spans="1:13" x14ac:dyDescent="0.2">
      <c r="A75" s="1">
        <f t="shared" si="1"/>
        <v>5.99</v>
      </c>
      <c r="C75" t="s">
        <v>402</v>
      </c>
      <c r="D75" t="s">
        <v>442</v>
      </c>
      <c r="E75" t="s">
        <v>443</v>
      </c>
      <c r="F75" t="s">
        <v>353</v>
      </c>
      <c r="G75" t="s">
        <v>405</v>
      </c>
      <c r="H75" t="s">
        <v>319</v>
      </c>
      <c r="I75" t="s">
        <v>318</v>
      </c>
      <c r="J75" s="2">
        <v>46257</v>
      </c>
      <c r="K75" s="1">
        <v>5.99</v>
      </c>
    </row>
    <row r="76" spans="1:13" x14ac:dyDescent="0.2">
      <c r="A76" s="1">
        <f t="shared" si="1"/>
        <v>2.79</v>
      </c>
      <c r="C76" t="s">
        <v>402</v>
      </c>
      <c r="D76" t="s">
        <v>444</v>
      </c>
      <c r="E76" t="s">
        <v>445</v>
      </c>
      <c r="F76" t="s">
        <v>353</v>
      </c>
      <c r="G76" t="s">
        <v>405</v>
      </c>
      <c r="H76" t="s">
        <v>98</v>
      </c>
      <c r="I76" t="s">
        <v>97</v>
      </c>
      <c r="J76" s="2">
        <v>46257</v>
      </c>
      <c r="K76" s="1">
        <v>2.79</v>
      </c>
    </row>
    <row r="77" spans="1:13" x14ac:dyDescent="0.2">
      <c r="A77" s="1">
        <f t="shared" si="1"/>
        <v>1.99</v>
      </c>
      <c r="C77" t="s">
        <v>402</v>
      </c>
      <c r="D77" t="s">
        <v>446</v>
      </c>
      <c r="E77" t="s">
        <v>309</v>
      </c>
      <c r="F77" t="s">
        <v>353</v>
      </c>
      <c r="G77" t="s">
        <v>405</v>
      </c>
      <c r="H77" t="s">
        <v>309</v>
      </c>
      <c r="I77" t="s">
        <v>307</v>
      </c>
      <c r="J77" s="2">
        <v>46257</v>
      </c>
      <c r="K77" s="1">
        <v>1.99</v>
      </c>
    </row>
    <row r="78" spans="1:13" x14ac:dyDescent="0.2">
      <c r="A78" s="1">
        <f t="shared" si="1"/>
        <v>2.89</v>
      </c>
      <c r="C78" t="s">
        <v>402</v>
      </c>
      <c r="D78" t="s">
        <v>447</v>
      </c>
      <c r="E78" t="s">
        <v>448</v>
      </c>
      <c r="F78" t="s">
        <v>353</v>
      </c>
      <c r="G78" t="s">
        <v>405</v>
      </c>
      <c r="H78" t="s">
        <v>308</v>
      </c>
      <c r="I78" t="s">
        <v>307</v>
      </c>
      <c r="J78" s="2">
        <v>46257</v>
      </c>
      <c r="K78" s="1">
        <v>2.89</v>
      </c>
    </row>
    <row r="79" spans="1:13" x14ac:dyDescent="0.2">
      <c r="A79" s="1">
        <f t="shared" si="1"/>
        <v>5.99</v>
      </c>
      <c r="C79" t="s">
        <v>402</v>
      </c>
      <c r="D79" t="s">
        <v>353</v>
      </c>
      <c r="E79" t="s">
        <v>449</v>
      </c>
      <c r="F79" t="s">
        <v>353</v>
      </c>
      <c r="G79" t="s">
        <v>405</v>
      </c>
      <c r="H79" t="s">
        <v>311</v>
      </c>
      <c r="I79" t="s">
        <v>310</v>
      </c>
      <c r="J79" s="2">
        <v>46257</v>
      </c>
      <c r="K79" s="1">
        <v>5.99</v>
      </c>
    </row>
    <row r="80" spans="1:13" x14ac:dyDescent="0.2">
      <c r="A80" s="1">
        <f t="shared" si="1"/>
        <v>3.99</v>
      </c>
      <c r="C80" t="s">
        <v>450</v>
      </c>
      <c r="D80" t="s">
        <v>353</v>
      </c>
      <c r="E80" t="s">
        <v>451</v>
      </c>
      <c r="F80" t="s">
        <v>353</v>
      </c>
      <c r="G80" t="s">
        <v>452</v>
      </c>
      <c r="H80" t="s">
        <v>156</v>
      </c>
      <c r="I80" t="s">
        <v>142</v>
      </c>
      <c r="J80" s="2">
        <v>46258</v>
      </c>
      <c r="K80" s="1">
        <v>3.99</v>
      </c>
    </row>
    <row r="81" spans="1:19" x14ac:dyDescent="0.2">
      <c r="A81" s="1">
        <f t="shared" si="1"/>
        <v>3.29</v>
      </c>
      <c r="C81" t="s">
        <v>450</v>
      </c>
      <c r="D81" t="s">
        <v>353</v>
      </c>
      <c r="E81" t="s">
        <v>453</v>
      </c>
      <c r="F81" t="s">
        <v>353</v>
      </c>
      <c r="G81" t="s">
        <v>452</v>
      </c>
      <c r="H81" t="s">
        <v>228</v>
      </c>
      <c r="I81" t="s">
        <v>227</v>
      </c>
      <c r="J81" s="2">
        <v>46258</v>
      </c>
      <c r="K81" s="1">
        <v>3.29</v>
      </c>
    </row>
    <row r="82" spans="1:19" x14ac:dyDescent="0.2">
      <c r="A82" s="1">
        <f t="shared" si="1"/>
        <v>2.99</v>
      </c>
      <c r="C82" t="s">
        <v>450</v>
      </c>
      <c r="D82" t="s">
        <v>353</v>
      </c>
      <c r="E82" t="s">
        <v>454</v>
      </c>
      <c r="F82" t="s">
        <v>353</v>
      </c>
      <c r="G82" t="s">
        <v>452</v>
      </c>
      <c r="H82" t="s">
        <v>244</v>
      </c>
      <c r="I82" t="s">
        <v>242</v>
      </c>
      <c r="J82" s="2">
        <v>46258</v>
      </c>
      <c r="K82" s="1">
        <v>2.99</v>
      </c>
    </row>
    <row r="83" spans="1:19" x14ac:dyDescent="0.2">
      <c r="A83" s="1">
        <f t="shared" si="1"/>
        <v>7.85</v>
      </c>
      <c r="C83" t="s">
        <v>455</v>
      </c>
      <c r="D83" t="s">
        <v>353</v>
      </c>
      <c r="E83" t="s">
        <v>456</v>
      </c>
      <c r="F83" t="s">
        <v>457</v>
      </c>
      <c r="G83" t="s">
        <v>458</v>
      </c>
      <c r="H83" t="s">
        <v>332</v>
      </c>
      <c r="I83" t="s">
        <v>320</v>
      </c>
      <c r="J83" s="2">
        <v>46259</v>
      </c>
      <c r="K83" s="1">
        <v>7.85</v>
      </c>
    </row>
    <row r="84" spans="1:19" x14ac:dyDescent="0.2">
      <c r="A84" s="1">
        <f t="shared" si="1"/>
        <v>7.85</v>
      </c>
      <c r="C84" t="s">
        <v>455</v>
      </c>
      <c r="D84" t="s">
        <v>353</v>
      </c>
      <c r="E84" t="s">
        <v>459</v>
      </c>
      <c r="F84" t="s">
        <v>457</v>
      </c>
      <c r="G84" t="s">
        <v>458</v>
      </c>
      <c r="H84" t="s">
        <v>331</v>
      </c>
      <c r="I84" t="s">
        <v>320</v>
      </c>
      <c r="J84" s="2">
        <v>46259</v>
      </c>
      <c r="K84" s="1">
        <v>7.85</v>
      </c>
    </row>
    <row r="85" spans="1:19" x14ac:dyDescent="0.2">
      <c r="A85" s="1">
        <f t="shared" si="1"/>
        <v>6.99</v>
      </c>
      <c r="C85" t="s">
        <v>455</v>
      </c>
      <c r="D85" t="s">
        <v>353</v>
      </c>
      <c r="E85" t="s">
        <v>460</v>
      </c>
      <c r="F85" t="s">
        <v>457</v>
      </c>
      <c r="G85" t="s">
        <v>458</v>
      </c>
      <c r="H85" t="s">
        <v>270</v>
      </c>
      <c r="I85" t="s">
        <v>268</v>
      </c>
      <c r="J85" s="2">
        <v>46259</v>
      </c>
      <c r="K85" s="1">
        <v>6.99</v>
      </c>
    </row>
    <row r="86" spans="1:19" x14ac:dyDescent="0.2">
      <c r="A86" s="1">
        <f t="shared" si="1"/>
        <v>7.78</v>
      </c>
      <c r="C86" t="s">
        <v>455</v>
      </c>
      <c r="D86" t="s">
        <v>353</v>
      </c>
      <c r="E86" t="s">
        <v>461</v>
      </c>
      <c r="F86" t="s">
        <v>457</v>
      </c>
      <c r="G86" t="s">
        <v>458</v>
      </c>
      <c r="H86" t="s">
        <v>203</v>
      </c>
      <c r="I86" t="s">
        <v>202</v>
      </c>
      <c r="J86" s="2">
        <v>46259</v>
      </c>
      <c r="K86" s="1">
        <v>3.89</v>
      </c>
      <c r="L86" s="2">
        <v>46259</v>
      </c>
      <c r="M86" s="1">
        <v>3.89</v>
      </c>
    </row>
    <row r="87" spans="1:19" x14ac:dyDescent="0.2">
      <c r="A87" s="1">
        <f t="shared" si="1"/>
        <v>5.65</v>
      </c>
      <c r="C87" t="s">
        <v>455</v>
      </c>
      <c r="D87" t="s">
        <v>353</v>
      </c>
      <c r="E87" t="s">
        <v>462</v>
      </c>
      <c r="F87" t="s">
        <v>457</v>
      </c>
      <c r="G87" t="s">
        <v>458</v>
      </c>
      <c r="H87" t="s">
        <v>323</v>
      </c>
      <c r="I87" t="s">
        <v>320</v>
      </c>
      <c r="J87" s="2">
        <v>46259</v>
      </c>
      <c r="K87" s="1">
        <v>5.65</v>
      </c>
    </row>
    <row r="88" spans="1:19" x14ac:dyDescent="0.2">
      <c r="A88" s="1">
        <f t="shared" si="1"/>
        <v>21.42</v>
      </c>
      <c r="C88" t="s">
        <v>352</v>
      </c>
      <c r="D88" t="s">
        <v>353</v>
      </c>
      <c r="E88" t="s">
        <v>135</v>
      </c>
      <c r="F88" t="s">
        <v>353</v>
      </c>
      <c r="G88" t="s">
        <v>355</v>
      </c>
      <c r="H88" t="s">
        <v>135</v>
      </c>
      <c r="I88" t="s">
        <v>130</v>
      </c>
      <c r="J88" s="2">
        <v>46240</v>
      </c>
      <c r="K88" s="1">
        <v>3.48</v>
      </c>
      <c r="L88" s="2">
        <v>46241</v>
      </c>
      <c r="M88" s="1">
        <v>3.48</v>
      </c>
      <c r="N88" s="2">
        <v>46247</v>
      </c>
      <c r="O88" s="1">
        <v>1.76</v>
      </c>
      <c r="P88" s="2">
        <v>46260</v>
      </c>
      <c r="Q88" s="1">
        <v>6.35</v>
      </c>
      <c r="R88" s="2">
        <v>46260</v>
      </c>
      <c r="S88" s="1">
        <v>6.35</v>
      </c>
    </row>
    <row r="89" spans="1:19" x14ac:dyDescent="0.2">
      <c r="A89" s="1">
        <f t="shared" si="1"/>
        <v>46.78</v>
      </c>
      <c r="C89" t="s">
        <v>352</v>
      </c>
      <c r="D89" t="s">
        <v>353</v>
      </c>
      <c r="E89" t="s">
        <v>463</v>
      </c>
      <c r="F89" t="s">
        <v>353</v>
      </c>
      <c r="G89" t="s">
        <v>355</v>
      </c>
      <c r="H89" t="s">
        <v>131</v>
      </c>
      <c r="I89" t="s">
        <v>130</v>
      </c>
      <c r="J89" s="2">
        <v>46240</v>
      </c>
      <c r="K89" s="1">
        <v>16.920000000000002</v>
      </c>
      <c r="L89" s="2">
        <v>46247</v>
      </c>
      <c r="M89" s="1">
        <v>17.72</v>
      </c>
      <c r="N89" s="2">
        <v>46260</v>
      </c>
      <c r="O89" s="1">
        <v>12.14</v>
      </c>
    </row>
    <row r="90" spans="1:19" x14ac:dyDescent="0.2">
      <c r="A90" s="1">
        <f t="shared" si="1"/>
        <v>28.54</v>
      </c>
      <c r="C90" t="s">
        <v>352</v>
      </c>
      <c r="D90" t="s">
        <v>353</v>
      </c>
      <c r="E90" t="s">
        <v>464</v>
      </c>
      <c r="F90" t="s">
        <v>353</v>
      </c>
      <c r="G90" t="s">
        <v>355</v>
      </c>
      <c r="H90" t="s">
        <v>220</v>
      </c>
      <c r="I90" t="s">
        <v>219</v>
      </c>
      <c r="J90" s="2">
        <v>46260</v>
      </c>
      <c r="K90" s="1">
        <v>28.54</v>
      </c>
    </row>
    <row r="91" spans="1:19" x14ac:dyDescent="0.2">
      <c r="A91" s="1">
        <f t="shared" si="1"/>
        <v>0</v>
      </c>
      <c r="C91" t="s">
        <v>352</v>
      </c>
      <c r="D91" t="s">
        <v>353</v>
      </c>
      <c r="E91" t="s">
        <v>465</v>
      </c>
      <c r="F91" t="s">
        <v>353</v>
      </c>
      <c r="G91" t="s">
        <v>355</v>
      </c>
      <c r="H91" t="s">
        <v>111</v>
      </c>
      <c r="I91" t="s">
        <v>110</v>
      </c>
      <c r="J91" s="2">
        <v>46260</v>
      </c>
      <c r="K91" t="s">
        <v>353</v>
      </c>
    </row>
    <row r="92" spans="1:19" x14ac:dyDescent="0.2">
      <c r="A92" s="1">
        <f t="shared" si="1"/>
        <v>4.46</v>
      </c>
      <c r="C92" t="s">
        <v>352</v>
      </c>
      <c r="D92" t="s">
        <v>353</v>
      </c>
      <c r="E92" t="s">
        <v>466</v>
      </c>
      <c r="F92" t="s">
        <v>353</v>
      </c>
      <c r="G92" t="s">
        <v>355</v>
      </c>
      <c r="H92" t="s">
        <v>117</v>
      </c>
      <c r="I92" t="s">
        <v>116</v>
      </c>
      <c r="J92" s="2">
        <v>46260</v>
      </c>
      <c r="K92" s="1">
        <v>4.46</v>
      </c>
    </row>
    <row r="93" spans="1:19" x14ac:dyDescent="0.2">
      <c r="A93" s="1">
        <f t="shared" si="1"/>
        <v>9.98</v>
      </c>
      <c r="C93" t="s">
        <v>352</v>
      </c>
      <c r="D93" t="s">
        <v>353</v>
      </c>
      <c r="E93" t="s">
        <v>467</v>
      </c>
      <c r="F93" t="s">
        <v>353</v>
      </c>
      <c r="G93" t="s">
        <v>355</v>
      </c>
      <c r="H93" t="s">
        <v>36</v>
      </c>
      <c r="I93" t="s">
        <v>35</v>
      </c>
      <c r="J93" s="2">
        <v>46260</v>
      </c>
      <c r="K93" s="1">
        <v>9.98</v>
      </c>
    </row>
    <row r="94" spans="1:19" x14ac:dyDescent="0.2">
      <c r="A94" s="1">
        <f t="shared" si="1"/>
        <v>6.24</v>
      </c>
      <c r="C94" t="s">
        <v>352</v>
      </c>
      <c r="D94" t="s">
        <v>353</v>
      </c>
      <c r="E94" t="s">
        <v>468</v>
      </c>
      <c r="F94" t="s">
        <v>353</v>
      </c>
      <c r="G94" t="s">
        <v>355</v>
      </c>
      <c r="H94" t="s">
        <v>226</v>
      </c>
      <c r="I94" t="s">
        <v>224</v>
      </c>
      <c r="J94" s="2">
        <v>46260</v>
      </c>
      <c r="K94" s="1">
        <v>6.24</v>
      </c>
    </row>
    <row r="95" spans="1:19" x14ac:dyDescent="0.2">
      <c r="A95" s="1">
        <f t="shared" si="1"/>
        <v>4.67</v>
      </c>
      <c r="C95" t="s">
        <v>352</v>
      </c>
      <c r="D95" t="s">
        <v>353</v>
      </c>
      <c r="E95" t="s">
        <v>469</v>
      </c>
      <c r="F95" t="s">
        <v>353</v>
      </c>
      <c r="G95" t="s">
        <v>355</v>
      </c>
      <c r="H95" t="s">
        <v>330</v>
      </c>
      <c r="I95" t="s">
        <v>320</v>
      </c>
      <c r="J95" s="2">
        <v>46260</v>
      </c>
      <c r="K95" s="1">
        <v>4.67</v>
      </c>
    </row>
    <row r="96" spans="1:19" x14ac:dyDescent="0.2">
      <c r="A96" s="1">
        <f t="shared" si="1"/>
        <v>1.2</v>
      </c>
      <c r="C96" t="s">
        <v>352</v>
      </c>
      <c r="D96" t="s">
        <v>353</v>
      </c>
      <c r="E96" t="s">
        <v>470</v>
      </c>
      <c r="F96" t="s">
        <v>353</v>
      </c>
      <c r="G96" t="s">
        <v>355</v>
      </c>
      <c r="H96" t="s">
        <v>143</v>
      </c>
      <c r="I96" t="s">
        <v>142</v>
      </c>
      <c r="J96" s="2">
        <v>46260</v>
      </c>
      <c r="K96" s="1">
        <v>0.6</v>
      </c>
      <c r="L96" s="2">
        <v>46260</v>
      </c>
      <c r="M96" s="1">
        <v>0.6</v>
      </c>
    </row>
    <row r="97" spans="1:11" x14ac:dyDescent="0.2">
      <c r="A97" s="1">
        <f t="shared" si="1"/>
        <v>5.5</v>
      </c>
      <c r="C97" t="s">
        <v>471</v>
      </c>
      <c r="D97" t="s">
        <v>353</v>
      </c>
      <c r="E97" t="s">
        <v>257</v>
      </c>
      <c r="F97" t="s">
        <v>353</v>
      </c>
      <c r="G97" t="s">
        <v>353</v>
      </c>
      <c r="H97" t="s">
        <v>257</v>
      </c>
      <c r="I97" t="s">
        <v>256</v>
      </c>
      <c r="J97" s="2">
        <v>46261</v>
      </c>
      <c r="K97" s="1">
        <v>5.5</v>
      </c>
    </row>
    <row r="98" spans="1:11" x14ac:dyDescent="0.2">
      <c r="A98" s="1">
        <f t="shared" si="1"/>
        <v>5.5</v>
      </c>
      <c r="C98" t="s">
        <v>471</v>
      </c>
      <c r="D98" t="s">
        <v>353</v>
      </c>
      <c r="E98" t="s">
        <v>258</v>
      </c>
      <c r="F98" t="s">
        <v>353</v>
      </c>
      <c r="G98" t="s">
        <v>353</v>
      </c>
      <c r="H98" t="s">
        <v>258</v>
      </c>
      <c r="I98" t="s">
        <v>256</v>
      </c>
      <c r="J98" s="2">
        <v>46261</v>
      </c>
      <c r="K98" s="1">
        <v>5.5</v>
      </c>
    </row>
    <row r="99" spans="1:11" x14ac:dyDescent="0.2">
      <c r="A99" s="1">
        <f t="shared" si="1"/>
        <v>14.9</v>
      </c>
      <c r="C99" t="s">
        <v>471</v>
      </c>
      <c r="D99" t="s">
        <v>353</v>
      </c>
      <c r="E99" t="s">
        <v>261</v>
      </c>
      <c r="F99" t="s">
        <v>472</v>
      </c>
      <c r="G99" t="s">
        <v>353</v>
      </c>
      <c r="H99" t="s">
        <v>261</v>
      </c>
      <c r="I99" t="s">
        <v>259</v>
      </c>
      <c r="J99" s="2">
        <v>46261</v>
      </c>
      <c r="K99" s="1">
        <v>14.9</v>
      </c>
    </row>
    <row r="100" spans="1:11" x14ac:dyDescent="0.2">
      <c r="A100" s="1">
        <f t="shared" si="1"/>
        <v>16.3</v>
      </c>
      <c r="C100" t="s">
        <v>471</v>
      </c>
      <c r="D100" t="s">
        <v>353</v>
      </c>
      <c r="E100" t="s">
        <v>260</v>
      </c>
      <c r="F100" t="s">
        <v>396</v>
      </c>
      <c r="G100" t="s">
        <v>353</v>
      </c>
      <c r="H100" t="s">
        <v>260</v>
      </c>
      <c r="I100" t="s">
        <v>259</v>
      </c>
      <c r="J100" s="2">
        <v>46261</v>
      </c>
      <c r="K100" s="1">
        <v>16.3</v>
      </c>
    </row>
    <row r="101" spans="1:11" x14ac:dyDescent="0.2">
      <c r="A101" s="1">
        <f t="shared" si="1"/>
        <v>2.96</v>
      </c>
      <c r="C101" t="s">
        <v>471</v>
      </c>
      <c r="D101" t="s">
        <v>353</v>
      </c>
      <c r="E101" t="s">
        <v>135</v>
      </c>
      <c r="F101" t="s">
        <v>353</v>
      </c>
      <c r="G101" t="s">
        <v>353</v>
      </c>
      <c r="H101" t="s">
        <v>135</v>
      </c>
      <c r="I101" t="s">
        <v>130</v>
      </c>
      <c r="J101" s="2">
        <v>46261</v>
      </c>
      <c r="K101" s="1">
        <v>2.96</v>
      </c>
    </row>
    <row r="102" spans="1:11" x14ac:dyDescent="0.2">
      <c r="A102" s="1">
        <f t="shared" si="1"/>
        <v>2.96</v>
      </c>
      <c r="C102" t="s">
        <v>471</v>
      </c>
      <c r="D102" t="s">
        <v>353</v>
      </c>
      <c r="E102" t="s">
        <v>136</v>
      </c>
      <c r="F102" t="s">
        <v>353</v>
      </c>
      <c r="G102" t="s">
        <v>353</v>
      </c>
      <c r="H102" t="s">
        <v>136</v>
      </c>
      <c r="I102" t="s">
        <v>130</v>
      </c>
      <c r="J102" s="2">
        <v>46261</v>
      </c>
      <c r="K102" s="1">
        <v>2.96</v>
      </c>
    </row>
    <row r="103" spans="1:11" x14ac:dyDescent="0.2">
      <c r="A103" s="1">
        <f t="shared" si="1"/>
        <v>3.69</v>
      </c>
      <c r="C103" t="s">
        <v>455</v>
      </c>
      <c r="D103" t="s">
        <v>353</v>
      </c>
      <c r="E103" t="s">
        <v>473</v>
      </c>
      <c r="F103" t="s">
        <v>457</v>
      </c>
      <c r="G103" t="s">
        <v>474</v>
      </c>
      <c r="H103" t="s">
        <v>246</v>
      </c>
      <c r="I103" t="s">
        <v>245</v>
      </c>
      <c r="J103" s="2">
        <v>46262</v>
      </c>
      <c r="K103" s="1">
        <v>3.69</v>
      </c>
    </row>
    <row r="104" spans="1:11" x14ac:dyDescent="0.2">
      <c r="A104" s="1">
        <f t="shared" si="1"/>
        <v>5.15</v>
      </c>
      <c r="C104" t="s">
        <v>455</v>
      </c>
      <c r="D104" t="s">
        <v>353</v>
      </c>
      <c r="E104" t="s">
        <v>475</v>
      </c>
      <c r="F104" t="s">
        <v>457</v>
      </c>
      <c r="G104" t="s">
        <v>474</v>
      </c>
      <c r="H104" t="s">
        <v>50</v>
      </c>
      <c r="I104" t="s">
        <v>48</v>
      </c>
      <c r="J104" s="2">
        <v>46262</v>
      </c>
      <c r="K104" s="1">
        <v>5.15</v>
      </c>
    </row>
    <row r="105" spans="1:11" x14ac:dyDescent="0.2">
      <c r="A105" s="1">
        <f t="shared" si="1"/>
        <v>2.99</v>
      </c>
      <c r="C105" t="s">
        <v>455</v>
      </c>
      <c r="D105" t="s">
        <v>353</v>
      </c>
      <c r="E105" t="s">
        <v>476</v>
      </c>
      <c r="F105" t="s">
        <v>457</v>
      </c>
      <c r="G105" t="s">
        <v>474</v>
      </c>
      <c r="H105" t="s">
        <v>175</v>
      </c>
      <c r="I105" t="s">
        <v>169</v>
      </c>
      <c r="J105" s="2">
        <v>46262</v>
      </c>
      <c r="K105" s="1">
        <v>2.99</v>
      </c>
    </row>
    <row r="106" spans="1:11" x14ac:dyDescent="0.2">
      <c r="A106" s="1">
        <f t="shared" si="1"/>
        <v>5.15</v>
      </c>
      <c r="C106" t="s">
        <v>455</v>
      </c>
      <c r="D106" t="s">
        <v>353</v>
      </c>
      <c r="E106" t="s">
        <v>477</v>
      </c>
      <c r="F106" t="s">
        <v>457</v>
      </c>
      <c r="G106" t="s">
        <v>474</v>
      </c>
      <c r="H106" t="s">
        <v>189</v>
      </c>
      <c r="I106" t="s">
        <v>169</v>
      </c>
      <c r="J106" s="2">
        <v>46262</v>
      </c>
      <c r="K106" s="1">
        <v>5.15</v>
      </c>
    </row>
    <row r="107" spans="1:11" x14ac:dyDescent="0.2">
      <c r="A107" s="1">
        <f t="shared" si="1"/>
        <v>3.19</v>
      </c>
      <c r="C107" t="s">
        <v>455</v>
      </c>
      <c r="D107" t="s">
        <v>353</v>
      </c>
      <c r="E107" t="s">
        <v>478</v>
      </c>
      <c r="F107" t="s">
        <v>457</v>
      </c>
      <c r="G107" t="s">
        <v>474</v>
      </c>
      <c r="H107" t="s">
        <v>290</v>
      </c>
      <c r="I107" t="s">
        <v>289</v>
      </c>
      <c r="J107" s="2">
        <v>46262</v>
      </c>
      <c r="K107" s="1">
        <v>3.19</v>
      </c>
    </row>
    <row r="108" spans="1:11" x14ac:dyDescent="0.2">
      <c r="A108" s="1">
        <f t="shared" si="1"/>
        <v>6.79</v>
      </c>
      <c r="C108" t="s">
        <v>455</v>
      </c>
      <c r="D108" t="s">
        <v>353</v>
      </c>
      <c r="E108" t="s">
        <v>479</v>
      </c>
      <c r="F108" t="s">
        <v>457</v>
      </c>
      <c r="G108" t="s">
        <v>474</v>
      </c>
      <c r="H108" t="s">
        <v>295</v>
      </c>
      <c r="I108" t="s">
        <v>292</v>
      </c>
      <c r="J108" s="2">
        <v>46262</v>
      </c>
      <c r="K108" s="1">
        <v>6.79</v>
      </c>
    </row>
    <row r="109" spans="1:11" x14ac:dyDescent="0.2">
      <c r="A109" s="1">
        <f t="shared" si="1"/>
        <v>3.99</v>
      </c>
      <c r="C109" t="s">
        <v>455</v>
      </c>
      <c r="D109" t="s">
        <v>353</v>
      </c>
      <c r="E109" t="s">
        <v>480</v>
      </c>
      <c r="F109" t="s">
        <v>457</v>
      </c>
      <c r="G109" t="s">
        <v>474</v>
      </c>
      <c r="H109" t="s">
        <v>234</v>
      </c>
      <c r="I109" t="s">
        <v>232</v>
      </c>
      <c r="J109" s="2">
        <v>46262</v>
      </c>
      <c r="K109" s="1">
        <v>3.99</v>
      </c>
    </row>
    <row r="110" spans="1:11" x14ac:dyDescent="0.2">
      <c r="A110" s="1">
        <f t="shared" si="1"/>
        <v>3.99</v>
      </c>
      <c r="C110" t="s">
        <v>455</v>
      </c>
      <c r="D110" t="s">
        <v>353</v>
      </c>
      <c r="E110" t="s">
        <v>481</v>
      </c>
      <c r="F110" t="s">
        <v>457</v>
      </c>
      <c r="G110" t="s">
        <v>474</v>
      </c>
      <c r="H110" t="s">
        <v>234</v>
      </c>
      <c r="I110" t="s">
        <v>232</v>
      </c>
      <c r="J110" s="2">
        <v>46262</v>
      </c>
      <c r="K110" s="1">
        <v>3.99</v>
      </c>
    </row>
    <row r="111" spans="1:11" x14ac:dyDescent="0.2">
      <c r="A111" s="1">
        <f t="shared" si="1"/>
        <v>5.45</v>
      </c>
      <c r="C111" t="s">
        <v>455</v>
      </c>
      <c r="D111" t="s">
        <v>353</v>
      </c>
      <c r="E111" t="s">
        <v>482</v>
      </c>
      <c r="F111" t="s">
        <v>457</v>
      </c>
      <c r="G111" t="s">
        <v>474</v>
      </c>
      <c r="H111" t="s">
        <v>233</v>
      </c>
      <c r="I111" t="s">
        <v>232</v>
      </c>
      <c r="J111" s="2">
        <v>46262</v>
      </c>
      <c r="K111" s="1">
        <v>5.45</v>
      </c>
    </row>
    <row r="112" spans="1:11" x14ac:dyDescent="0.2">
      <c r="A112" s="1">
        <f t="shared" si="1"/>
        <v>5.45</v>
      </c>
      <c r="C112" t="s">
        <v>455</v>
      </c>
      <c r="D112" t="s">
        <v>353</v>
      </c>
      <c r="E112" t="s">
        <v>483</v>
      </c>
      <c r="F112" t="s">
        <v>457</v>
      </c>
      <c r="G112" t="s">
        <v>474</v>
      </c>
      <c r="H112" t="s">
        <v>233</v>
      </c>
      <c r="I112" t="s">
        <v>232</v>
      </c>
      <c r="J112" s="2">
        <v>46262</v>
      </c>
      <c r="K112" s="1">
        <v>5.45</v>
      </c>
    </row>
    <row r="113" spans="1:13" x14ac:dyDescent="0.2">
      <c r="A113" s="1">
        <f t="shared" si="1"/>
        <v>14.29</v>
      </c>
      <c r="C113" t="s">
        <v>455</v>
      </c>
      <c r="D113" t="s">
        <v>353</v>
      </c>
      <c r="E113" t="s">
        <v>484</v>
      </c>
      <c r="F113" t="s">
        <v>457</v>
      </c>
      <c r="G113" t="s">
        <v>474</v>
      </c>
      <c r="H113" t="s">
        <v>166</v>
      </c>
      <c r="I113" t="s">
        <v>165</v>
      </c>
      <c r="J113" s="2">
        <v>46262</v>
      </c>
      <c r="K113" s="1">
        <v>14.29</v>
      </c>
    </row>
    <row r="114" spans="1:13" x14ac:dyDescent="0.2">
      <c r="A114" s="1">
        <f t="shared" si="1"/>
        <v>5.65</v>
      </c>
      <c r="C114" t="s">
        <v>455</v>
      </c>
      <c r="D114" t="s">
        <v>353</v>
      </c>
      <c r="E114" t="s">
        <v>485</v>
      </c>
      <c r="F114" t="s">
        <v>457</v>
      </c>
      <c r="G114" t="s">
        <v>474</v>
      </c>
      <c r="H114" t="s">
        <v>248</v>
      </c>
      <c r="I114" t="s">
        <v>247</v>
      </c>
      <c r="J114" s="2">
        <v>46262</v>
      </c>
      <c r="K114" s="1">
        <v>5.65</v>
      </c>
      <c r="L114" s="2">
        <v>46262</v>
      </c>
      <c r="M114" s="1">
        <v>0</v>
      </c>
    </row>
    <row r="115" spans="1:13" x14ac:dyDescent="0.2">
      <c r="A115" s="1">
        <f t="shared" si="1"/>
        <v>3.33</v>
      </c>
      <c r="C115" t="s">
        <v>455</v>
      </c>
      <c r="D115" t="s">
        <v>353</v>
      </c>
      <c r="E115" t="s">
        <v>486</v>
      </c>
      <c r="F115" t="s">
        <v>353</v>
      </c>
      <c r="G115" t="s">
        <v>474</v>
      </c>
      <c r="H115" t="s">
        <v>287</v>
      </c>
      <c r="I115" t="s">
        <v>281</v>
      </c>
      <c r="J115" s="2">
        <v>46262</v>
      </c>
      <c r="K115">
        <v>3.33</v>
      </c>
    </row>
    <row r="116" spans="1:13" x14ac:dyDescent="0.2">
      <c r="A116" s="1">
        <f t="shared" si="1"/>
        <v>3.33</v>
      </c>
      <c r="C116" t="s">
        <v>455</v>
      </c>
      <c r="D116" t="s">
        <v>353</v>
      </c>
      <c r="E116" t="s">
        <v>487</v>
      </c>
      <c r="F116" t="s">
        <v>488</v>
      </c>
      <c r="G116" t="s">
        <v>474</v>
      </c>
      <c r="H116" t="s">
        <v>288</v>
      </c>
      <c r="I116" t="s">
        <v>281</v>
      </c>
      <c r="J116" s="2">
        <v>46262</v>
      </c>
      <c r="K116">
        <v>3.33</v>
      </c>
    </row>
    <row r="117" spans="1:13" x14ac:dyDescent="0.2">
      <c r="A117" s="1">
        <f t="shared" si="1"/>
        <v>7.19</v>
      </c>
      <c r="C117" t="s">
        <v>455</v>
      </c>
      <c r="D117" t="s">
        <v>353</v>
      </c>
      <c r="E117" t="s">
        <v>489</v>
      </c>
      <c r="F117" t="s">
        <v>396</v>
      </c>
      <c r="G117" t="s">
        <v>474</v>
      </c>
      <c r="H117" t="s">
        <v>314</v>
      </c>
      <c r="I117" t="s">
        <v>313</v>
      </c>
      <c r="J117" s="2">
        <v>46262</v>
      </c>
      <c r="K117" s="1">
        <v>7.19</v>
      </c>
    </row>
    <row r="118" spans="1:13" x14ac:dyDescent="0.2">
      <c r="A118" s="1">
        <f t="shared" si="1"/>
        <v>0.5</v>
      </c>
      <c r="C118" t="s">
        <v>455</v>
      </c>
      <c r="D118" t="s">
        <v>353</v>
      </c>
      <c r="E118" t="s">
        <v>135</v>
      </c>
      <c r="F118" t="s">
        <v>353</v>
      </c>
      <c r="G118" t="s">
        <v>474</v>
      </c>
      <c r="H118" t="s">
        <v>135</v>
      </c>
      <c r="I118" t="s">
        <v>130</v>
      </c>
      <c r="J118" s="2">
        <v>46262</v>
      </c>
      <c r="K118">
        <v>0.5</v>
      </c>
    </row>
    <row r="119" spans="1:13" x14ac:dyDescent="0.2">
      <c r="A119" s="1">
        <f t="shared" si="1"/>
        <v>3.34</v>
      </c>
      <c r="C119" t="s">
        <v>455</v>
      </c>
      <c r="D119" t="s">
        <v>353</v>
      </c>
      <c r="E119" t="s">
        <v>487</v>
      </c>
      <c r="F119" t="s">
        <v>488</v>
      </c>
      <c r="G119" t="s">
        <v>474</v>
      </c>
      <c r="H119" t="s">
        <v>288</v>
      </c>
      <c r="I119" t="s">
        <v>281</v>
      </c>
      <c r="J119" s="2">
        <v>46262</v>
      </c>
      <c r="K119">
        <v>3.34</v>
      </c>
    </row>
    <row r="120" spans="1:13" x14ac:dyDescent="0.2">
      <c r="A120" s="1">
        <f t="shared" si="1"/>
        <v>1.53</v>
      </c>
      <c r="C120" t="s">
        <v>455</v>
      </c>
      <c r="D120" t="s">
        <v>353</v>
      </c>
      <c r="E120" t="s">
        <v>143</v>
      </c>
      <c r="F120" t="s">
        <v>353</v>
      </c>
      <c r="G120" t="s">
        <v>474</v>
      </c>
      <c r="H120" t="s">
        <v>143</v>
      </c>
      <c r="I120" t="s">
        <v>142</v>
      </c>
      <c r="J120" s="2">
        <v>46262</v>
      </c>
      <c r="K120">
        <v>1.53</v>
      </c>
      <c r="L120" s="2">
        <v>46268</v>
      </c>
      <c r="M120" t="s">
        <v>353</v>
      </c>
    </row>
    <row r="121" spans="1:13" x14ac:dyDescent="0.2">
      <c r="A121" s="1">
        <f t="shared" si="1"/>
        <v>6.99</v>
      </c>
      <c r="C121" t="s">
        <v>455</v>
      </c>
      <c r="D121" t="s">
        <v>353</v>
      </c>
      <c r="E121" t="s">
        <v>460</v>
      </c>
      <c r="F121" t="s">
        <v>457</v>
      </c>
      <c r="G121" t="s">
        <v>474</v>
      </c>
      <c r="H121" t="s">
        <v>270</v>
      </c>
      <c r="I121" t="s">
        <v>268</v>
      </c>
      <c r="J121" s="2">
        <v>46268</v>
      </c>
      <c r="K121" s="1">
        <v>6.99</v>
      </c>
    </row>
    <row r="122" spans="1:13" x14ac:dyDescent="0.2">
      <c r="A122" s="1">
        <f t="shared" si="1"/>
        <v>5.89</v>
      </c>
      <c r="C122" t="s">
        <v>455</v>
      </c>
      <c r="D122" t="s">
        <v>353</v>
      </c>
      <c r="E122" t="s">
        <v>490</v>
      </c>
      <c r="F122" t="s">
        <v>457</v>
      </c>
      <c r="G122" t="s">
        <v>474</v>
      </c>
      <c r="H122" t="s">
        <v>102</v>
      </c>
      <c r="I122" t="s">
        <v>99</v>
      </c>
      <c r="J122" s="2">
        <v>46268</v>
      </c>
      <c r="K122" s="1">
        <v>5.89</v>
      </c>
    </row>
    <row r="123" spans="1:13" x14ac:dyDescent="0.2">
      <c r="A123" s="1">
        <f t="shared" si="1"/>
        <v>13.58</v>
      </c>
      <c r="C123" t="s">
        <v>455</v>
      </c>
      <c r="D123" t="s">
        <v>353</v>
      </c>
      <c r="E123" t="s">
        <v>491</v>
      </c>
      <c r="F123" t="s">
        <v>457</v>
      </c>
      <c r="G123" t="s">
        <v>474</v>
      </c>
      <c r="H123" t="s">
        <v>251</v>
      </c>
      <c r="I123" t="s">
        <v>249</v>
      </c>
      <c r="J123" s="2">
        <v>46268</v>
      </c>
      <c r="K123" s="1">
        <v>6.79</v>
      </c>
      <c r="L123" s="2">
        <v>46268</v>
      </c>
      <c r="M123" s="1">
        <v>6.79</v>
      </c>
    </row>
    <row r="124" spans="1:13" x14ac:dyDescent="0.2">
      <c r="A124" s="1">
        <f t="shared" si="1"/>
        <v>6.69</v>
      </c>
      <c r="C124" t="s">
        <v>455</v>
      </c>
      <c r="D124" t="s">
        <v>353</v>
      </c>
      <c r="E124" t="s">
        <v>492</v>
      </c>
      <c r="F124" t="s">
        <v>457</v>
      </c>
      <c r="G124" t="s">
        <v>474</v>
      </c>
      <c r="H124" t="s">
        <v>92</v>
      </c>
      <c r="I124" t="s">
        <v>91</v>
      </c>
      <c r="J124" s="2">
        <v>46268</v>
      </c>
      <c r="K124" s="1">
        <v>6.69</v>
      </c>
    </row>
    <row r="125" spans="1:13" x14ac:dyDescent="0.2">
      <c r="A125" s="1">
        <f t="shared" si="1"/>
        <v>3.49</v>
      </c>
      <c r="C125" t="s">
        <v>455</v>
      </c>
      <c r="D125" t="s">
        <v>353</v>
      </c>
      <c r="E125" t="s">
        <v>493</v>
      </c>
      <c r="F125" t="s">
        <v>457</v>
      </c>
      <c r="G125" t="s">
        <v>474</v>
      </c>
      <c r="H125" t="s">
        <v>277</v>
      </c>
      <c r="I125" t="s">
        <v>276</v>
      </c>
      <c r="J125" s="2">
        <v>46268</v>
      </c>
      <c r="K125" s="1">
        <v>3.49</v>
      </c>
    </row>
    <row r="126" spans="1:13" x14ac:dyDescent="0.2">
      <c r="A126" s="1">
        <f t="shared" si="1"/>
        <v>3.49</v>
      </c>
      <c r="C126" t="s">
        <v>455</v>
      </c>
      <c r="D126" t="s">
        <v>353</v>
      </c>
      <c r="E126" t="s">
        <v>494</v>
      </c>
      <c r="F126" t="s">
        <v>353</v>
      </c>
      <c r="G126" t="s">
        <v>474</v>
      </c>
      <c r="H126" t="s">
        <v>278</v>
      </c>
      <c r="I126" t="s">
        <v>276</v>
      </c>
      <c r="J126" s="2">
        <v>46268</v>
      </c>
      <c r="K126" s="1">
        <v>3.49</v>
      </c>
    </row>
    <row r="127" spans="1:13" x14ac:dyDescent="0.2">
      <c r="A127" s="1">
        <f t="shared" si="1"/>
        <v>5.75</v>
      </c>
      <c r="C127" t="s">
        <v>455</v>
      </c>
      <c r="D127" t="s">
        <v>353</v>
      </c>
      <c r="E127" t="s">
        <v>495</v>
      </c>
      <c r="F127" t="s">
        <v>457</v>
      </c>
      <c r="G127" t="s">
        <v>474</v>
      </c>
      <c r="H127" t="s">
        <v>205</v>
      </c>
      <c r="I127" t="s">
        <v>204</v>
      </c>
      <c r="J127" s="2">
        <v>46268</v>
      </c>
      <c r="K127" s="1">
        <v>5.75</v>
      </c>
    </row>
    <row r="128" spans="1:13" x14ac:dyDescent="0.2">
      <c r="A128" s="1">
        <f t="shared" si="1"/>
        <v>6.91</v>
      </c>
      <c r="C128" t="s">
        <v>455</v>
      </c>
      <c r="D128" t="s">
        <v>353</v>
      </c>
      <c r="E128" t="s">
        <v>496</v>
      </c>
      <c r="F128" t="s">
        <v>353</v>
      </c>
      <c r="G128" t="s">
        <v>474</v>
      </c>
      <c r="H128" t="s">
        <v>206</v>
      </c>
      <c r="I128" t="s">
        <v>204</v>
      </c>
      <c r="J128" s="2">
        <v>46268</v>
      </c>
      <c r="K128" s="1">
        <v>6.91</v>
      </c>
    </row>
    <row r="129" spans="1:13" x14ac:dyDescent="0.2">
      <c r="A129" s="1">
        <f t="shared" si="1"/>
        <v>6.91</v>
      </c>
      <c r="C129" t="s">
        <v>455</v>
      </c>
      <c r="D129" t="s">
        <v>353</v>
      </c>
      <c r="E129" t="s">
        <v>497</v>
      </c>
      <c r="F129" t="s">
        <v>457</v>
      </c>
      <c r="G129" t="s">
        <v>474</v>
      </c>
      <c r="H129" t="s">
        <v>207</v>
      </c>
      <c r="I129" t="s">
        <v>204</v>
      </c>
      <c r="J129" s="2">
        <v>46268</v>
      </c>
      <c r="K129" s="1">
        <v>6.91</v>
      </c>
    </row>
    <row r="130" spans="1:13" x14ac:dyDescent="0.2">
      <c r="A130" s="1">
        <f t="shared" ref="A130:A193" si="2">SUM(K130,M130,O130,Q130,S130,U130)</f>
        <v>6.79</v>
      </c>
      <c r="C130" t="s">
        <v>455</v>
      </c>
      <c r="D130" t="s">
        <v>353</v>
      </c>
      <c r="E130" t="s">
        <v>498</v>
      </c>
      <c r="F130" t="s">
        <v>457</v>
      </c>
      <c r="G130" t="s">
        <v>474</v>
      </c>
      <c r="H130" t="s">
        <v>64</v>
      </c>
      <c r="I130" t="s">
        <v>60</v>
      </c>
      <c r="J130" s="2">
        <v>46268</v>
      </c>
      <c r="K130" s="1">
        <v>6.79</v>
      </c>
    </row>
    <row r="131" spans="1:13" x14ac:dyDescent="0.2">
      <c r="A131" s="1">
        <f t="shared" si="2"/>
        <v>3</v>
      </c>
      <c r="C131" t="s">
        <v>455</v>
      </c>
      <c r="D131" t="s">
        <v>353</v>
      </c>
      <c r="E131" t="s">
        <v>499</v>
      </c>
      <c r="F131" t="s">
        <v>457</v>
      </c>
      <c r="G131" t="s">
        <v>474</v>
      </c>
      <c r="H131" t="s">
        <v>286</v>
      </c>
      <c r="I131" t="s">
        <v>281</v>
      </c>
      <c r="J131" s="2">
        <v>46268</v>
      </c>
      <c r="K131">
        <v>3</v>
      </c>
    </row>
    <row r="132" spans="1:13" x14ac:dyDescent="0.2">
      <c r="A132" s="1">
        <f t="shared" si="2"/>
        <v>3</v>
      </c>
      <c r="C132" t="s">
        <v>455</v>
      </c>
      <c r="D132" t="s">
        <v>353</v>
      </c>
      <c r="E132" t="s">
        <v>500</v>
      </c>
      <c r="F132" t="s">
        <v>457</v>
      </c>
      <c r="G132" t="s">
        <v>474</v>
      </c>
      <c r="H132" t="s">
        <v>285</v>
      </c>
      <c r="I132" t="s">
        <v>281</v>
      </c>
      <c r="J132" s="2">
        <v>46268</v>
      </c>
      <c r="K132">
        <v>3</v>
      </c>
    </row>
    <row r="133" spans="1:13" x14ac:dyDescent="0.2">
      <c r="A133" s="1">
        <f t="shared" si="2"/>
        <v>4.0999999999999996</v>
      </c>
      <c r="C133" t="s">
        <v>455</v>
      </c>
      <c r="D133" t="s">
        <v>353</v>
      </c>
      <c r="E133" t="s">
        <v>501</v>
      </c>
      <c r="F133" t="s">
        <v>457</v>
      </c>
      <c r="G133" t="s">
        <v>474</v>
      </c>
      <c r="H133" t="s">
        <v>174</v>
      </c>
      <c r="I133" t="s">
        <v>169</v>
      </c>
      <c r="J133" s="2">
        <v>46268</v>
      </c>
      <c r="K133" s="1">
        <v>4.0999999999999996</v>
      </c>
      <c r="L133" s="2">
        <v>46268</v>
      </c>
      <c r="M133" s="1">
        <v>0</v>
      </c>
    </row>
    <row r="134" spans="1:13" x14ac:dyDescent="0.2">
      <c r="A134" s="1">
        <f t="shared" si="2"/>
        <v>3.32</v>
      </c>
      <c r="C134" t="s">
        <v>455</v>
      </c>
      <c r="D134" t="s">
        <v>353</v>
      </c>
      <c r="E134" t="s">
        <v>502</v>
      </c>
      <c r="F134" t="s">
        <v>457</v>
      </c>
      <c r="G134" t="s">
        <v>474</v>
      </c>
      <c r="H134" t="s">
        <v>197</v>
      </c>
      <c r="I134" t="s">
        <v>195</v>
      </c>
      <c r="J134" s="2">
        <v>46268</v>
      </c>
      <c r="K134" s="1">
        <v>3.32</v>
      </c>
    </row>
    <row r="135" spans="1:13" x14ac:dyDescent="0.2">
      <c r="A135" s="1">
        <f t="shared" si="2"/>
        <v>0.8</v>
      </c>
      <c r="C135" t="s">
        <v>455</v>
      </c>
      <c r="D135" t="s">
        <v>353</v>
      </c>
      <c r="E135" t="s">
        <v>503</v>
      </c>
      <c r="F135" t="s">
        <v>353</v>
      </c>
      <c r="G135" t="s">
        <v>474</v>
      </c>
      <c r="H135" t="s">
        <v>152</v>
      </c>
      <c r="I135" t="s">
        <v>142</v>
      </c>
      <c r="J135" s="2">
        <v>46268</v>
      </c>
      <c r="K135">
        <v>0.8</v>
      </c>
    </row>
    <row r="136" spans="1:13" x14ac:dyDescent="0.2">
      <c r="A136" s="1">
        <f t="shared" si="2"/>
        <v>46.91</v>
      </c>
      <c r="C136" t="s">
        <v>455</v>
      </c>
      <c r="D136" t="s">
        <v>353</v>
      </c>
      <c r="E136" t="s">
        <v>167</v>
      </c>
      <c r="F136" t="s">
        <v>457</v>
      </c>
      <c r="G136" t="s">
        <v>474</v>
      </c>
      <c r="H136" t="s">
        <v>167</v>
      </c>
      <c r="I136" t="s">
        <v>165</v>
      </c>
      <c r="J136" s="2">
        <v>46268</v>
      </c>
      <c r="K136" s="1">
        <v>46.91</v>
      </c>
    </row>
    <row r="137" spans="1:13" x14ac:dyDescent="0.2">
      <c r="A137" s="1">
        <f t="shared" si="2"/>
        <v>5.99</v>
      </c>
      <c r="C137" t="s">
        <v>455</v>
      </c>
      <c r="D137" t="s">
        <v>353</v>
      </c>
      <c r="E137" t="s">
        <v>504</v>
      </c>
      <c r="F137" t="s">
        <v>457</v>
      </c>
      <c r="G137" t="s">
        <v>474</v>
      </c>
      <c r="H137" t="s">
        <v>301</v>
      </c>
      <c r="I137" t="s">
        <v>300</v>
      </c>
      <c r="J137" s="2">
        <v>46268</v>
      </c>
      <c r="K137" s="1">
        <v>5.99</v>
      </c>
    </row>
    <row r="138" spans="1:13" x14ac:dyDescent="0.2">
      <c r="A138" s="1">
        <f t="shared" si="2"/>
        <v>3.19</v>
      </c>
      <c r="C138" t="s">
        <v>455</v>
      </c>
      <c r="D138" t="s">
        <v>353</v>
      </c>
      <c r="E138" t="s">
        <v>505</v>
      </c>
      <c r="F138" t="s">
        <v>353</v>
      </c>
      <c r="G138" t="s">
        <v>474</v>
      </c>
      <c r="H138" t="s">
        <v>306</v>
      </c>
      <c r="I138" t="s">
        <v>305</v>
      </c>
      <c r="J138" s="2">
        <v>46268</v>
      </c>
      <c r="K138" s="1">
        <v>3.19</v>
      </c>
    </row>
    <row r="139" spans="1:13" x14ac:dyDescent="0.2">
      <c r="A139" s="1">
        <f t="shared" si="2"/>
        <v>7.19</v>
      </c>
      <c r="C139" t="s">
        <v>455</v>
      </c>
      <c r="D139" t="s">
        <v>353</v>
      </c>
      <c r="E139" t="s">
        <v>506</v>
      </c>
      <c r="F139" t="s">
        <v>396</v>
      </c>
      <c r="G139" t="s">
        <v>474</v>
      </c>
      <c r="H139" t="s">
        <v>315</v>
      </c>
      <c r="I139" t="s">
        <v>313</v>
      </c>
      <c r="J139" s="2">
        <v>46268</v>
      </c>
      <c r="K139" s="1">
        <v>7.19</v>
      </c>
    </row>
    <row r="140" spans="1:13" x14ac:dyDescent="0.2">
      <c r="A140" s="1">
        <f t="shared" si="2"/>
        <v>11.59</v>
      </c>
      <c r="C140" t="s">
        <v>455</v>
      </c>
      <c r="D140" t="s">
        <v>353</v>
      </c>
      <c r="E140" t="s">
        <v>507</v>
      </c>
      <c r="F140" t="s">
        <v>457</v>
      </c>
      <c r="G140" t="s">
        <v>474</v>
      </c>
      <c r="H140" t="s">
        <v>44</v>
      </c>
      <c r="I140" t="s">
        <v>43</v>
      </c>
      <c r="J140" s="2">
        <v>46268</v>
      </c>
      <c r="K140" s="1">
        <v>11.59</v>
      </c>
    </row>
    <row r="141" spans="1:13" x14ac:dyDescent="0.2">
      <c r="A141" s="1">
        <f t="shared" si="2"/>
        <v>2.99</v>
      </c>
      <c r="C141" t="s">
        <v>455</v>
      </c>
      <c r="D141" t="s">
        <v>353</v>
      </c>
      <c r="E141" t="s">
        <v>150</v>
      </c>
      <c r="F141" t="s">
        <v>457</v>
      </c>
      <c r="G141" t="s">
        <v>474</v>
      </c>
      <c r="H141" t="s">
        <v>150</v>
      </c>
      <c r="I141" t="s">
        <v>142</v>
      </c>
      <c r="J141" s="2">
        <v>46268</v>
      </c>
      <c r="K141" s="1">
        <v>2.99</v>
      </c>
    </row>
    <row r="142" spans="1:13" x14ac:dyDescent="0.2">
      <c r="A142" s="1">
        <f t="shared" si="2"/>
        <v>1.87</v>
      </c>
      <c r="C142" t="s">
        <v>455</v>
      </c>
      <c r="D142" t="s">
        <v>353</v>
      </c>
      <c r="E142" t="s">
        <v>508</v>
      </c>
      <c r="F142" t="s">
        <v>396</v>
      </c>
      <c r="G142" t="s">
        <v>474</v>
      </c>
      <c r="H142" t="s">
        <v>134</v>
      </c>
      <c r="I142" t="s">
        <v>130</v>
      </c>
      <c r="J142" s="2">
        <v>46268</v>
      </c>
      <c r="K142" s="1">
        <v>1.87</v>
      </c>
    </row>
    <row r="143" spans="1:13" x14ac:dyDescent="0.2">
      <c r="A143" s="1">
        <f t="shared" si="2"/>
        <v>1.55</v>
      </c>
      <c r="C143" t="s">
        <v>455</v>
      </c>
      <c r="D143" t="s">
        <v>353</v>
      </c>
      <c r="E143" t="s">
        <v>143</v>
      </c>
      <c r="F143" t="s">
        <v>457</v>
      </c>
      <c r="G143" t="s">
        <v>474</v>
      </c>
      <c r="H143" t="s">
        <v>143</v>
      </c>
      <c r="I143" t="s">
        <v>142</v>
      </c>
      <c r="J143" s="2">
        <v>46268</v>
      </c>
      <c r="K143" s="1">
        <v>1.55</v>
      </c>
    </row>
    <row r="144" spans="1:13" x14ac:dyDescent="0.2">
      <c r="A144" s="1">
        <f t="shared" si="2"/>
        <v>3.29</v>
      </c>
      <c r="C144" t="s">
        <v>402</v>
      </c>
      <c r="D144" t="s">
        <v>509</v>
      </c>
      <c r="E144" t="s">
        <v>510</v>
      </c>
      <c r="F144" t="s">
        <v>353</v>
      </c>
      <c r="G144" t="s">
        <v>511</v>
      </c>
      <c r="H144" t="s">
        <v>89</v>
      </c>
      <c r="I144" t="s">
        <v>84</v>
      </c>
      <c r="J144" s="2">
        <v>46271</v>
      </c>
      <c r="K144">
        <v>3.29</v>
      </c>
    </row>
    <row r="145" spans="1:11" x14ac:dyDescent="0.2">
      <c r="A145" s="1">
        <f t="shared" si="2"/>
        <v>3.19</v>
      </c>
      <c r="C145" t="s">
        <v>402</v>
      </c>
      <c r="D145" t="s">
        <v>512</v>
      </c>
      <c r="E145" t="s">
        <v>185</v>
      </c>
      <c r="F145" t="s">
        <v>353</v>
      </c>
      <c r="G145" t="s">
        <v>511</v>
      </c>
      <c r="H145" t="s">
        <v>185</v>
      </c>
      <c r="I145" t="s">
        <v>169</v>
      </c>
      <c r="J145" s="2">
        <v>46271</v>
      </c>
      <c r="K145">
        <v>3.19</v>
      </c>
    </row>
    <row r="146" spans="1:11" x14ac:dyDescent="0.2">
      <c r="A146" s="1">
        <f t="shared" si="2"/>
        <v>3.69</v>
      </c>
      <c r="C146" t="s">
        <v>402</v>
      </c>
      <c r="D146" t="s">
        <v>416</v>
      </c>
      <c r="E146" t="s">
        <v>417</v>
      </c>
      <c r="F146" t="s">
        <v>353</v>
      </c>
      <c r="G146" t="s">
        <v>511</v>
      </c>
      <c r="H146" t="s">
        <v>153</v>
      </c>
      <c r="I146" t="s">
        <v>142</v>
      </c>
      <c r="J146" s="2">
        <v>46271</v>
      </c>
      <c r="K146">
        <v>3.69</v>
      </c>
    </row>
    <row r="147" spans="1:11" x14ac:dyDescent="0.2">
      <c r="A147" s="1">
        <f t="shared" si="2"/>
        <v>3.29</v>
      </c>
      <c r="C147" t="s">
        <v>402</v>
      </c>
      <c r="D147" t="s">
        <v>513</v>
      </c>
      <c r="E147" t="s">
        <v>514</v>
      </c>
      <c r="F147" t="s">
        <v>353</v>
      </c>
      <c r="G147" t="s">
        <v>511</v>
      </c>
      <c r="H147" t="s">
        <v>177</v>
      </c>
      <c r="I147" t="s">
        <v>169</v>
      </c>
      <c r="J147" s="2">
        <v>46271</v>
      </c>
      <c r="K147">
        <v>3.29</v>
      </c>
    </row>
    <row r="148" spans="1:11" x14ac:dyDescent="0.2">
      <c r="A148" s="1">
        <f t="shared" si="2"/>
        <v>2.69</v>
      </c>
      <c r="C148" t="s">
        <v>402</v>
      </c>
      <c r="D148" t="s">
        <v>414</v>
      </c>
      <c r="E148" t="s">
        <v>515</v>
      </c>
      <c r="F148" t="s">
        <v>353</v>
      </c>
      <c r="G148" t="s">
        <v>511</v>
      </c>
      <c r="H148" t="s">
        <v>183</v>
      </c>
      <c r="I148" t="s">
        <v>169</v>
      </c>
      <c r="J148" s="2">
        <v>46271</v>
      </c>
      <c r="K148">
        <v>2.69</v>
      </c>
    </row>
    <row r="149" spans="1:11" x14ac:dyDescent="0.2">
      <c r="A149" s="1">
        <f t="shared" si="2"/>
        <v>3.81</v>
      </c>
      <c r="C149" t="s">
        <v>402</v>
      </c>
      <c r="D149" t="s">
        <v>516</v>
      </c>
      <c r="E149" t="s">
        <v>517</v>
      </c>
      <c r="F149" t="s">
        <v>353</v>
      </c>
      <c r="G149" t="s">
        <v>511</v>
      </c>
      <c r="H149" t="s">
        <v>147</v>
      </c>
      <c r="I149" t="s">
        <v>142</v>
      </c>
      <c r="J149" s="2">
        <v>46271</v>
      </c>
      <c r="K149">
        <v>3.81</v>
      </c>
    </row>
    <row r="150" spans="1:11" x14ac:dyDescent="0.2">
      <c r="A150" s="1">
        <f t="shared" si="2"/>
        <v>2.89</v>
      </c>
      <c r="C150" t="s">
        <v>402</v>
      </c>
      <c r="D150" t="s">
        <v>518</v>
      </c>
      <c r="E150" t="s">
        <v>149</v>
      </c>
      <c r="F150" t="s">
        <v>353</v>
      </c>
      <c r="G150" t="s">
        <v>511</v>
      </c>
      <c r="H150" t="s">
        <v>149</v>
      </c>
      <c r="I150" t="s">
        <v>142</v>
      </c>
      <c r="J150" s="2">
        <v>46271</v>
      </c>
      <c r="K150">
        <v>2.89</v>
      </c>
    </row>
    <row r="151" spans="1:11" x14ac:dyDescent="0.2">
      <c r="A151" s="1">
        <f t="shared" si="2"/>
        <v>2.59</v>
      </c>
      <c r="C151" t="s">
        <v>402</v>
      </c>
      <c r="D151" t="s">
        <v>519</v>
      </c>
      <c r="E151" t="s">
        <v>520</v>
      </c>
      <c r="F151" t="s">
        <v>353</v>
      </c>
      <c r="G151" t="s">
        <v>511</v>
      </c>
      <c r="H151" t="s">
        <v>184</v>
      </c>
      <c r="I151" t="s">
        <v>169</v>
      </c>
      <c r="J151" s="2">
        <v>46271</v>
      </c>
      <c r="K151">
        <v>2.59</v>
      </c>
    </row>
    <row r="152" spans="1:11" x14ac:dyDescent="0.2">
      <c r="A152" s="1">
        <f t="shared" si="2"/>
        <v>6.97</v>
      </c>
      <c r="C152" t="s">
        <v>402</v>
      </c>
      <c r="D152" t="s">
        <v>521</v>
      </c>
      <c r="E152" t="s">
        <v>215</v>
      </c>
      <c r="F152" t="s">
        <v>353</v>
      </c>
      <c r="G152" t="s">
        <v>511</v>
      </c>
      <c r="H152" t="s">
        <v>215</v>
      </c>
      <c r="I152" t="s">
        <v>214</v>
      </c>
      <c r="J152" s="2">
        <v>46271</v>
      </c>
      <c r="K152">
        <v>6.97</v>
      </c>
    </row>
    <row r="153" spans="1:11" x14ac:dyDescent="0.2">
      <c r="A153" s="1">
        <f t="shared" si="2"/>
        <v>1.59</v>
      </c>
      <c r="C153" t="s">
        <v>402</v>
      </c>
      <c r="D153" t="s">
        <v>522</v>
      </c>
      <c r="E153" t="s">
        <v>523</v>
      </c>
      <c r="F153" t="s">
        <v>353</v>
      </c>
      <c r="G153" t="s">
        <v>511</v>
      </c>
      <c r="H153" t="s">
        <v>299</v>
      </c>
      <c r="I153" t="s">
        <v>292</v>
      </c>
      <c r="J153" s="2">
        <v>46271</v>
      </c>
      <c r="K153">
        <v>1.59</v>
      </c>
    </row>
    <row r="154" spans="1:11" x14ac:dyDescent="0.2">
      <c r="A154" s="1">
        <f t="shared" si="2"/>
        <v>2.29</v>
      </c>
      <c r="C154" t="s">
        <v>402</v>
      </c>
      <c r="D154" t="s">
        <v>524</v>
      </c>
      <c r="E154" t="s">
        <v>298</v>
      </c>
      <c r="F154" t="s">
        <v>353</v>
      </c>
      <c r="G154" t="s">
        <v>511</v>
      </c>
      <c r="H154" t="s">
        <v>298</v>
      </c>
      <c r="I154" t="s">
        <v>292</v>
      </c>
      <c r="J154" s="2">
        <v>46271</v>
      </c>
      <c r="K154">
        <v>2.29</v>
      </c>
    </row>
    <row r="155" spans="1:11" x14ac:dyDescent="0.2">
      <c r="A155" s="1">
        <f t="shared" si="2"/>
        <v>3.95</v>
      </c>
      <c r="C155" t="s">
        <v>402</v>
      </c>
      <c r="D155" t="s">
        <v>353</v>
      </c>
      <c r="E155" t="s">
        <v>525</v>
      </c>
      <c r="F155" t="s">
        <v>353</v>
      </c>
      <c r="G155" t="s">
        <v>511</v>
      </c>
      <c r="H155" t="s">
        <v>173</v>
      </c>
      <c r="I155" t="s">
        <v>169</v>
      </c>
      <c r="J155" s="2">
        <v>46271</v>
      </c>
      <c r="K155">
        <v>3.95</v>
      </c>
    </row>
    <row r="156" spans="1:11" x14ac:dyDescent="0.2">
      <c r="A156" s="1">
        <f t="shared" si="2"/>
        <v>1.66</v>
      </c>
      <c r="C156" t="s">
        <v>402</v>
      </c>
      <c r="D156" t="s">
        <v>353</v>
      </c>
      <c r="E156" t="s">
        <v>526</v>
      </c>
      <c r="F156" t="s">
        <v>353</v>
      </c>
      <c r="G156" t="s">
        <v>511</v>
      </c>
      <c r="H156" t="s">
        <v>143</v>
      </c>
      <c r="I156" t="s">
        <v>142</v>
      </c>
      <c r="J156" s="2">
        <v>46271</v>
      </c>
      <c r="K156">
        <v>1.66</v>
      </c>
    </row>
    <row r="157" spans="1:11" x14ac:dyDescent="0.2">
      <c r="A157" s="1">
        <f t="shared" si="2"/>
        <v>5.98</v>
      </c>
      <c r="C157" t="s">
        <v>402</v>
      </c>
      <c r="D157" t="s">
        <v>353</v>
      </c>
      <c r="E157" t="s">
        <v>145</v>
      </c>
      <c r="F157" t="s">
        <v>353</v>
      </c>
      <c r="G157" t="s">
        <v>511</v>
      </c>
      <c r="H157" t="s">
        <v>145</v>
      </c>
      <c r="I157" t="s">
        <v>142</v>
      </c>
      <c r="J157" s="2">
        <v>46271</v>
      </c>
      <c r="K157">
        <v>5.98</v>
      </c>
    </row>
    <row r="158" spans="1:11" x14ac:dyDescent="0.2">
      <c r="A158" s="1">
        <f t="shared" si="2"/>
        <v>2.69</v>
      </c>
      <c r="C158" t="s">
        <v>402</v>
      </c>
      <c r="D158" t="s">
        <v>353</v>
      </c>
      <c r="E158" t="s">
        <v>154</v>
      </c>
      <c r="F158" t="s">
        <v>353</v>
      </c>
      <c r="G158" t="s">
        <v>511</v>
      </c>
      <c r="H158" t="s">
        <v>154</v>
      </c>
      <c r="I158" t="s">
        <v>142</v>
      </c>
      <c r="J158" s="2">
        <v>46271</v>
      </c>
      <c r="K158">
        <v>2.69</v>
      </c>
    </row>
    <row r="159" spans="1:11" x14ac:dyDescent="0.2">
      <c r="A159" s="1">
        <f t="shared" si="2"/>
        <v>2.29</v>
      </c>
      <c r="C159" t="s">
        <v>402</v>
      </c>
      <c r="D159" t="s">
        <v>353</v>
      </c>
      <c r="E159" t="s">
        <v>155</v>
      </c>
      <c r="F159" t="s">
        <v>353</v>
      </c>
      <c r="G159" t="s">
        <v>511</v>
      </c>
      <c r="H159" t="s">
        <v>155</v>
      </c>
      <c r="I159" t="s">
        <v>142</v>
      </c>
      <c r="J159" s="2">
        <v>46271</v>
      </c>
      <c r="K159">
        <v>2.29</v>
      </c>
    </row>
    <row r="160" spans="1:11" x14ac:dyDescent="0.2">
      <c r="A160" s="1">
        <f t="shared" si="2"/>
        <v>6.79</v>
      </c>
      <c r="C160" t="s">
        <v>402</v>
      </c>
      <c r="D160" t="s">
        <v>353</v>
      </c>
      <c r="E160" t="s">
        <v>404</v>
      </c>
      <c r="F160" t="s">
        <v>353</v>
      </c>
      <c r="G160" t="s">
        <v>511</v>
      </c>
      <c r="H160" t="s">
        <v>65</v>
      </c>
      <c r="I160" t="s">
        <v>60</v>
      </c>
      <c r="J160" s="2">
        <v>46271</v>
      </c>
      <c r="K160">
        <v>6.79</v>
      </c>
    </row>
    <row r="161" spans="1:21" x14ac:dyDescent="0.2">
      <c r="A161" s="1">
        <f t="shared" si="2"/>
        <v>2.99</v>
      </c>
      <c r="C161" t="s">
        <v>402</v>
      </c>
      <c r="D161" t="s">
        <v>353</v>
      </c>
      <c r="E161" t="s">
        <v>527</v>
      </c>
      <c r="F161" t="s">
        <v>353</v>
      </c>
      <c r="G161" t="s">
        <v>511</v>
      </c>
      <c r="H161" t="s">
        <v>61</v>
      </c>
      <c r="I161" t="s">
        <v>60</v>
      </c>
      <c r="J161" s="2">
        <v>46271</v>
      </c>
      <c r="K161">
        <v>2.99</v>
      </c>
    </row>
    <row r="162" spans="1:21" x14ac:dyDescent="0.2">
      <c r="A162" s="1">
        <f t="shared" si="2"/>
        <v>0.99</v>
      </c>
      <c r="C162" t="s">
        <v>402</v>
      </c>
      <c r="D162" t="s">
        <v>353</v>
      </c>
      <c r="E162" t="s">
        <v>75</v>
      </c>
      <c r="F162" t="s">
        <v>353</v>
      </c>
      <c r="G162" t="s">
        <v>511</v>
      </c>
      <c r="H162" t="s">
        <v>75</v>
      </c>
      <c r="I162" t="s">
        <v>73</v>
      </c>
      <c r="J162" s="2">
        <v>46271</v>
      </c>
      <c r="K162">
        <v>0.99</v>
      </c>
    </row>
    <row r="163" spans="1:21" x14ac:dyDescent="0.2">
      <c r="A163" s="1">
        <f t="shared" si="2"/>
        <v>2.97</v>
      </c>
      <c r="C163" t="s">
        <v>402</v>
      </c>
      <c r="D163" t="s">
        <v>353</v>
      </c>
      <c r="E163" t="s">
        <v>528</v>
      </c>
      <c r="F163" t="s">
        <v>353</v>
      </c>
      <c r="G163" t="s">
        <v>511</v>
      </c>
      <c r="H163" t="s">
        <v>269</v>
      </c>
      <c r="I163" t="s">
        <v>268</v>
      </c>
      <c r="J163" s="2">
        <v>46271</v>
      </c>
      <c r="K163">
        <v>2.97</v>
      </c>
    </row>
    <row r="164" spans="1:21" x14ac:dyDescent="0.2">
      <c r="A164" s="1">
        <f t="shared" si="2"/>
        <v>1.49</v>
      </c>
      <c r="C164" t="s">
        <v>402</v>
      </c>
      <c r="D164" t="s">
        <v>529</v>
      </c>
      <c r="E164" t="s">
        <v>530</v>
      </c>
      <c r="F164" t="s">
        <v>353</v>
      </c>
      <c r="G164" t="s">
        <v>511</v>
      </c>
      <c r="H164" t="s">
        <v>88</v>
      </c>
      <c r="I164" t="s">
        <v>84</v>
      </c>
      <c r="J164" s="2">
        <v>46271</v>
      </c>
      <c r="K164" s="1">
        <v>1.49</v>
      </c>
    </row>
    <row r="165" spans="1:21" x14ac:dyDescent="0.2">
      <c r="A165" s="1">
        <f t="shared" si="2"/>
        <v>1.49</v>
      </c>
      <c r="C165" t="s">
        <v>402</v>
      </c>
      <c r="D165" t="s">
        <v>531</v>
      </c>
      <c r="E165" t="s">
        <v>532</v>
      </c>
      <c r="F165" t="s">
        <v>353</v>
      </c>
      <c r="G165" t="s">
        <v>511</v>
      </c>
      <c r="H165" t="s">
        <v>87</v>
      </c>
      <c r="I165" t="s">
        <v>84</v>
      </c>
      <c r="J165" s="2">
        <v>46271</v>
      </c>
      <c r="K165" s="1">
        <v>1.49</v>
      </c>
    </row>
    <row r="166" spans="1:21" x14ac:dyDescent="0.2">
      <c r="A166" s="1">
        <f t="shared" si="2"/>
        <v>3.29</v>
      </c>
      <c r="C166" t="s">
        <v>402</v>
      </c>
      <c r="D166" t="s">
        <v>533</v>
      </c>
      <c r="E166" t="s">
        <v>534</v>
      </c>
      <c r="F166" t="s">
        <v>353</v>
      </c>
      <c r="G166" t="s">
        <v>511</v>
      </c>
      <c r="H166" t="s">
        <v>90</v>
      </c>
      <c r="I166" t="s">
        <v>84</v>
      </c>
      <c r="J166" s="2">
        <v>46271</v>
      </c>
      <c r="K166" s="1">
        <v>3.29</v>
      </c>
    </row>
    <row r="167" spans="1:21" x14ac:dyDescent="0.2">
      <c r="A167" s="1">
        <f t="shared" si="2"/>
        <v>3.89</v>
      </c>
      <c r="C167" t="s">
        <v>402</v>
      </c>
      <c r="D167" t="s">
        <v>535</v>
      </c>
      <c r="E167" t="s">
        <v>536</v>
      </c>
      <c r="F167" t="s">
        <v>353</v>
      </c>
      <c r="G167" t="s">
        <v>511</v>
      </c>
      <c r="H167" t="s">
        <v>241</v>
      </c>
      <c r="I167" t="s">
        <v>240</v>
      </c>
      <c r="J167" s="2">
        <v>46271</v>
      </c>
      <c r="K167" s="1">
        <v>3.89</v>
      </c>
    </row>
    <row r="168" spans="1:21" x14ac:dyDescent="0.2">
      <c r="A168" s="1">
        <f t="shared" si="2"/>
        <v>8.2899999999999991</v>
      </c>
      <c r="C168" t="s">
        <v>402</v>
      </c>
      <c r="D168" t="s">
        <v>412</v>
      </c>
      <c r="E168" t="s">
        <v>413</v>
      </c>
      <c r="F168" t="s">
        <v>353</v>
      </c>
      <c r="G168" t="s">
        <v>511</v>
      </c>
      <c r="H168" t="s">
        <v>211</v>
      </c>
      <c r="I168" t="s">
        <v>210</v>
      </c>
      <c r="J168" s="2">
        <v>46271</v>
      </c>
      <c r="K168" s="1">
        <v>8.2899999999999991</v>
      </c>
    </row>
    <row r="169" spans="1:21" x14ac:dyDescent="0.2">
      <c r="A169" s="1">
        <f t="shared" si="2"/>
        <v>8</v>
      </c>
      <c r="C169" t="s">
        <v>402</v>
      </c>
      <c r="D169" t="s">
        <v>537</v>
      </c>
      <c r="E169" t="s">
        <v>168</v>
      </c>
      <c r="F169" t="s">
        <v>353</v>
      </c>
      <c r="G169" t="s">
        <v>511</v>
      </c>
      <c r="H169" t="s">
        <v>168</v>
      </c>
      <c r="I169" t="s">
        <v>165</v>
      </c>
      <c r="J169" s="2">
        <v>46271</v>
      </c>
      <c r="K169" s="1">
        <v>8</v>
      </c>
    </row>
    <row r="170" spans="1:21" x14ac:dyDescent="0.2">
      <c r="A170" s="1">
        <f t="shared" si="2"/>
        <v>3.32</v>
      </c>
      <c r="C170" t="s">
        <v>402</v>
      </c>
      <c r="D170" t="s">
        <v>538</v>
      </c>
      <c r="E170" t="s">
        <v>128</v>
      </c>
      <c r="F170" t="s">
        <v>353</v>
      </c>
      <c r="G170" t="s">
        <v>511</v>
      </c>
      <c r="H170" t="s">
        <v>128</v>
      </c>
      <c r="I170" t="s">
        <v>126</v>
      </c>
      <c r="J170" s="2">
        <v>46271</v>
      </c>
      <c r="K170">
        <v>3.32</v>
      </c>
    </row>
    <row r="171" spans="1:21" x14ac:dyDescent="0.2">
      <c r="A171" s="1">
        <f t="shared" si="2"/>
        <v>0.76</v>
      </c>
      <c r="C171" t="s">
        <v>402</v>
      </c>
      <c r="D171" t="s">
        <v>353</v>
      </c>
      <c r="E171" t="s">
        <v>135</v>
      </c>
      <c r="F171" t="s">
        <v>353</v>
      </c>
      <c r="G171" t="s">
        <v>511</v>
      </c>
      <c r="H171" t="s">
        <v>135</v>
      </c>
      <c r="I171" t="s">
        <v>130</v>
      </c>
      <c r="J171" s="2">
        <v>46271</v>
      </c>
      <c r="K171">
        <v>0.76</v>
      </c>
    </row>
    <row r="172" spans="1:21" x14ac:dyDescent="0.2">
      <c r="A172" s="1">
        <f t="shared" si="2"/>
        <v>41.940000000000005</v>
      </c>
      <c r="C172" t="s">
        <v>450</v>
      </c>
      <c r="D172" t="s">
        <v>353</v>
      </c>
      <c r="E172" t="s">
        <v>539</v>
      </c>
      <c r="F172" t="s">
        <v>353</v>
      </c>
      <c r="G172" t="s">
        <v>452</v>
      </c>
      <c r="H172" t="s">
        <v>162</v>
      </c>
      <c r="I172" t="s">
        <v>160</v>
      </c>
      <c r="J172" s="2">
        <v>46258</v>
      </c>
      <c r="K172" s="1">
        <v>6.99</v>
      </c>
      <c r="L172" s="2">
        <v>46258</v>
      </c>
      <c r="M172" s="1">
        <v>6.99</v>
      </c>
      <c r="N172" s="2">
        <v>46272</v>
      </c>
      <c r="O172" s="1">
        <v>6.99</v>
      </c>
      <c r="P172" s="2">
        <v>46272</v>
      </c>
      <c r="Q172">
        <v>6.99</v>
      </c>
      <c r="R172" s="2">
        <v>46272</v>
      </c>
      <c r="S172" s="1">
        <v>6.99</v>
      </c>
      <c r="T172" s="2">
        <v>46272</v>
      </c>
      <c r="U172">
        <v>6.99</v>
      </c>
    </row>
    <row r="173" spans="1:21" x14ac:dyDescent="0.2">
      <c r="A173" s="1">
        <f t="shared" si="2"/>
        <v>5.99</v>
      </c>
      <c r="C173" t="s">
        <v>450</v>
      </c>
      <c r="D173" t="s">
        <v>353</v>
      </c>
      <c r="E173" t="s">
        <v>540</v>
      </c>
      <c r="F173" t="s">
        <v>353</v>
      </c>
      <c r="G173" t="s">
        <v>452</v>
      </c>
      <c r="H173" t="s">
        <v>239</v>
      </c>
      <c r="I173" t="s">
        <v>237</v>
      </c>
      <c r="J173" s="2">
        <v>46258</v>
      </c>
      <c r="K173" s="1">
        <v>5.99</v>
      </c>
      <c r="L173" s="2">
        <v>46272</v>
      </c>
      <c r="M173" t="s">
        <v>353</v>
      </c>
      <c r="N173" s="2">
        <v>46272</v>
      </c>
      <c r="O173" t="s">
        <v>353</v>
      </c>
    </row>
    <row r="174" spans="1:21" x14ac:dyDescent="0.2">
      <c r="A174" s="1">
        <f t="shared" si="2"/>
        <v>4.49</v>
      </c>
      <c r="C174" t="s">
        <v>450</v>
      </c>
      <c r="D174" t="s">
        <v>353</v>
      </c>
      <c r="E174" t="s">
        <v>541</v>
      </c>
      <c r="F174" t="s">
        <v>353</v>
      </c>
      <c r="G174" t="s">
        <v>452</v>
      </c>
      <c r="H174" t="s">
        <v>200</v>
      </c>
      <c r="I174" t="s">
        <v>199</v>
      </c>
      <c r="J174" s="2">
        <v>46272</v>
      </c>
      <c r="K174">
        <v>4.49</v>
      </c>
    </row>
    <row r="175" spans="1:21" x14ac:dyDescent="0.2">
      <c r="A175" s="1">
        <f t="shared" si="2"/>
        <v>19.16</v>
      </c>
      <c r="C175" t="s">
        <v>450</v>
      </c>
      <c r="D175" t="s">
        <v>353</v>
      </c>
      <c r="E175" t="s">
        <v>542</v>
      </c>
      <c r="F175" t="s">
        <v>353</v>
      </c>
      <c r="G175" t="s">
        <v>452</v>
      </c>
      <c r="H175" t="s">
        <v>163</v>
      </c>
      <c r="I175" t="s">
        <v>160</v>
      </c>
      <c r="J175" s="2">
        <v>46272</v>
      </c>
      <c r="K175">
        <v>19.16</v>
      </c>
    </row>
    <row r="176" spans="1:21" x14ac:dyDescent="0.2">
      <c r="A176" s="1">
        <f t="shared" si="2"/>
        <v>21.74</v>
      </c>
      <c r="C176" t="s">
        <v>450</v>
      </c>
      <c r="D176" t="s">
        <v>353</v>
      </c>
      <c r="E176" t="s">
        <v>543</v>
      </c>
      <c r="F176" t="s">
        <v>353</v>
      </c>
      <c r="G176" t="s">
        <v>452</v>
      </c>
      <c r="H176" t="s">
        <v>161</v>
      </c>
      <c r="I176" t="s">
        <v>160</v>
      </c>
      <c r="J176" s="2">
        <v>46272</v>
      </c>
      <c r="K176" s="1">
        <v>10.79</v>
      </c>
      <c r="L176" s="2">
        <v>46272</v>
      </c>
      <c r="M176" s="1">
        <v>10.95</v>
      </c>
    </row>
    <row r="177" spans="1:13" x14ac:dyDescent="0.2">
      <c r="A177" s="1">
        <f t="shared" si="2"/>
        <v>35.97</v>
      </c>
      <c r="C177" t="s">
        <v>450</v>
      </c>
      <c r="D177" t="s">
        <v>353</v>
      </c>
      <c r="E177" t="s">
        <v>544</v>
      </c>
      <c r="F177" t="s">
        <v>457</v>
      </c>
      <c r="G177" t="s">
        <v>452</v>
      </c>
      <c r="H177" t="s">
        <v>141</v>
      </c>
      <c r="I177" t="s">
        <v>140</v>
      </c>
      <c r="J177" s="2">
        <v>46272</v>
      </c>
      <c r="K177" s="1">
        <v>35.97</v>
      </c>
    </row>
    <row r="178" spans="1:13" x14ac:dyDescent="0.2">
      <c r="A178" s="1">
        <f t="shared" si="2"/>
        <v>5.99</v>
      </c>
      <c r="C178" t="s">
        <v>450</v>
      </c>
      <c r="D178" t="s">
        <v>353</v>
      </c>
      <c r="E178" t="s">
        <v>545</v>
      </c>
      <c r="F178" t="s">
        <v>353</v>
      </c>
      <c r="G178" t="s">
        <v>452</v>
      </c>
      <c r="H178" t="s">
        <v>238</v>
      </c>
      <c r="I178" t="s">
        <v>237</v>
      </c>
      <c r="J178" s="2">
        <v>46272</v>
      </c>
      <c r="K178">
        <v>5.99</v>
      </c>
    </row>
    <row r="179" spans="1:13" x14ac:dyDescent="0.2">
      <c r="A179" s="1">
        <f t="shared" si="2"/>
        <v>3.49</v>
      </c>
      <c r="C179" t="s">
        <v>450</v>
      </c>
      <c r="D179" t="s">
        <v>353</v>
      </c>
      <c r="E179" t="s">
        <v>546</v>
      </c>
      <c r="F179" t="s">
        <v>353</v>
      </c>
      <c r="G179" t="s">
        <v>452</v>
      </c>
      <c r="H179" t="s">
        <v>282</v>
      </c>
      <c r="I179" t="s">
        <v>281</v>
      </c>
      <c r="J179" s="2">
        <v>46272</v>
      </c>
      <c r="K179">
        <v>3.49</v>
      </c>
    </row>
    <row r="180" spans="1:13" x14ac:dyDescent="0.2">
      <c r="A180" s="1">
        <f t="shared" si="2"/>
        <v>3.99</v>
      </c>
      <c r="C180" t="s">
        <v>450</v>
      </c>
      <c r="D180" t="s">
        <v>353</v>
      </c>
      <c r="E180" t="s">
        <v>547</v>
      </c>
      <c r="F180" t="s">
        <v>353</v>
      </c>
      <c r="G180" t="s">
        <v>452</v>
      </c>
      <c r="H180" t="s">
        <v>96</v>
      </c>
      <c r="I180" t="s">
        <v>95</v>
      </c>
      <c r="J180" s="2">
        <v>46272</v>
      </c>
      <c r="K180">
        <v>3.99</v>
      </c>
    </row>
    <row r="181" spans="1:13" x14ac:dyDescent="0.2">
      <c r="A181" s="1">
        <f t="shared" si="2"/>
        <v>2.79</v>
      </c>
      <c r="C181" t="s">
        <v>450</v>
      </c>
      <c r="D181" t="s">
        <v>353</v>
      </c>
      <c r="E181" t="s">
        <v>548</v>
      </c>
      <c r="F181" t="s">
        <v>353</v>
      </c>
      <c r="G181" t="s">
        <v>452</v>
      </c>
      <c r="H181" t="s">
        <v>104</v>
      </c>
      <c r="I181" t="s">
        <v>103</v>
      </c>
      <c r="J181" s="2">
        <v>46272</v>
      </c>
      <c r="K181">
        <v>2.79</v>
      </c>
    </row>
    <row r="182" spans="1:13" x14ac:dyDescent="0.2">
      <c r="A182" s="1">
        <f t="shared" si="2"/>
        <v>2</v>
      </c>
      <c r="C182" t="s">
        <v>455</v>
      </c>
      <c r="D182" t="s">
        <v>353</v>
      </c>
      <c r="E182" t="s">
        <v>549</v>
      </c>
      <c r="F182" t="s">
        <v>353</v>
      </c>
      <c r="G182" t="s">
        <v>474</v>
      </c>
      <c r="H182" t="s">
        <v>321</v>
      </c>
      <c r="I182" t="s">
        <v>320</v>
      </c>
      <c r="J182" s="2">
        <v>46272</v>
      </c>
      <c r="K182">
        <v>1</v>
      </c>
      <c r="L182" s="2">
        <v>46272</v>
      </c>
      <c r="M182">
        <v>1</v>
      </c>
    </row>
    <row r="183" spans="1:13" x14ac:dyDescent="0.2">
      <c r="A183" s="1">
        <f t="shared" si="2"/>
        <v>3.29</v>
      </c>
      <c r="C183" t="s">
        <v>455</v>
      </c>
      <c r="D183" t="s">
        <v>353</v>
      </c>
      <c r="E183" t="s">
        <v>550</v>
      </c>
      <c r="F183" t="s">
        <v>353</v>
      </c>
      <c r="G183" t="s">
        <v>474</v>
      </c>
      <c r="H183" t="s">
        <v>296</v>
      </c>
      <c r="I183" t="s">
        <v>292</v>
      </c>
      <c r="J183" s="2">
        <v>46272</v>
      </c>
      <c r="K183">
        <v>3.29</v>
      </c>
    </row>
    <row r="184" spans="1:13" x14ac:dyDescent="0.2">
      <c r="A184" s="1">
        <f t="shared" si="2"/>
        <v>1</v>
      </c>
      <c r="C184" t="s">
        <v>455</v>
      </c>
      <c r="D184" t="s">
        <v>353</v>
      </c>
      <c r="E184" t="s">
        <v>551</v>
      </c>
      <c r="F184" t="s">
        <v>353</v>
      </c>
      <c r="G184" t="s">
        <v>474</v>
      </c>
      <c r="H184" t="s">
        <v>326</v>
      </c>
      <c r="I184" t="s">
        <v>320</v>
      </c>
      <c r="J184" s="2">
        <v>46272</v>
      </c>
      <c r="K184">
        <v>1</v>
      </c>
    </row>
    <row r="185" spans="1:13" x14ac:dyDescent="0.2">
      <c r="A185" s="1">
        <f t="shared" si="2"/>
        <v>1</v>
      </c>
      <c r="C185" t="s">
        <v>455</v>
      </c>
      <c r="D185" t="s">
        <v>353</v>
      </c>
      <c r="E185" t="s">
        <v>552</v>
      </c>
      <c r="F185" t="s">
        <v>353</v>
      </c>
      <c r="G185" t="s">
        <v>474</v>
      </c>
      <c r="H185" t="s">
        <v>324</v>
      </c>
      <c r="I185" t="s">
        <v>320</v>
      </c>
      <c r="J185" s="2">
        <v>46272</v>
      </c>
      <c r="K185">
        <v>1</v>
      </c>
    </row>
    <row r="186" spans="1:13" x14ac:dyDescent="0.2">
      <c r="A186" s="1">
        <f t="shared" si="2"/>
        <v>1</v>
      </c>
      <c r="C186" t="s">
        <v>455</v>
      </c>
      <c r="D186" t="s">
        <v>353</v>
      </c>
      <c r="E186" t="s">
        <v>553</v>
      </c>
      <c r="F186" t="s">
        <v>353</v>
      </c>
      <c r="G186" t="s">
        <v>474</v>
      </c>
      <c r="H186" t="s">
        <v>325</v>
      </c>
      <c r="I186" t="s">
        <v>320</v>
      </c>
      <c r="J186" s="2">
        <v>46272</v>
      </c>
      <c r="K186">
        <v>1</v>
      </c>
    </row>
    <row r="187" spans="1:13" x14ac:dyDescent="0.2">
      <c r="A187" s="1">
        <f t="shared" si="2"/>
        <v>1</v>
      </c>
      <c r="C187" t="s">
        <v>455</v>
      </c>
      <c r="D187" t="s">
        <v>353</v>
      </c>
      <c r="E187" t="s">
        <v>552</v>
      </c>
      <c r="F187" t="s">
        <v>353</v>
      </c>
      <c r="G187" t="s">
        <v>474</v>
      </c>
      <c r="H187" t="s">
        <v>324</v>
      </c>
      <c r="I187" t="s">
        <v>320</v>
      </c>
      <c r="J187" s="2">
        <v>46272</v>
      </c>
      <c r="K187">
        <v>1</v>
      </c>
    </row>
    <row r="188" spans="1:13" x14ac:dyDescent="0.2">
      <c r="A188" s="1">
        <f t="shared" si="2"/>
        <v>1</v>
      </c>
      <c r="C188" t="s">
        <v>455</v>
      </c>
      <c r="D188" t="s">
        <v>353</v>
      </c>
      <c r="E188" t="s">
        <v>554</v>
      </c>
      <c r="F188" t="s">
        <v>353</v>
      </c>
      <c r="G188" t="s">
        <v>474</v>
      </c>
      <c r="H188" t="s">
        <v>329</v>
      </c>
      <c r="I188" t="s">
        <v>320</v>
      </c>
      <c r="J188" s="2">
        <v>46272</v>
      </c>
      <c r="K188">
        <v>1</v>
      </c>
    </row>
    <row r="189" spans="1:13" x14ac:dyDescent="0.2">
      <c r="A189" s="1">
        <f t="shared" si="2"/>
        <v>1</v>
      </c>
      <c r="C189" t="s">
        <v>455</v>
      </c>
      <c r="D189" t="s">
        <v>353</v>
      </c>
      <c r="E189" t="s">
        <v>549</v>
      </c>
      <c r="F189" t="s">
        <v>353</v>
      </c>
      <c r="G189" t="s">
        <v>474</v>
      </c>
      <c r="H189" t="s">
        <v>321</v>
      </c>
      <c r="I189" t="s">
        <v>320</v>
      </c>
      <c r="J189" s="2">
        <v>46272</v>
      </c>
      <c r="K189">
        <v>1</v>
      </c>
    </row>
    <row r="190" spans="1:13" x14ac:dyDescent="0.2">
      <c r="A190" s="1">
        <f t="shared" si="2"/>
        <v>10.99</v>
      </c>
      <c r="C190" t="s">
        <v>455</v>
      </c>
      <c r="D190" t="s">
        <v>353</v>
      </c>
      <c r="E190" t="s">
        <v>555</v>
      </c>
      <c r="F190" t="s">
        <v>353</v>
      </c>
      <c r="G190" t="s">
        <v>474</v>
      </c>
      <c r="H190" t="s">
        <v>328</v>
      </c>
      <c r="I190" t="s">
        <v>320</v>
      </c>
      <c r="J190" s="2">
        <v>46272</v>
      </c>
      <c r="K190">
        <v>10.99</v>
      </c>
    </row>
    <row r="191" spans="1:13" x14ac:dyDescent="0.2">
      <c r="A191" s="1">
        <f t="shared" si="2"/>
        <v>4.45</v>
      </c>
      <c r="C191" t="s">
        <v>455</v>
      </c>
      <c r="D191" t="s">
        <v>353</v>
      </c>
      <c r="E191" t="s">
        <v>556</v>
      </c>
      <c r="F191" t="s">
        <v>353</v>
      </c>
      <c r="G191" t="s">
        <v>474</v>
      </c>
      <c r="H191" t="s">
        <v>125</v>
      </c>
      <c r="I191" t="s">
        <v>123</v>
      </c>
      <c r="J191" s="2">
        <v>46272</v>
      </c>
      <c r="K191">
        <v>4.45</v>
      </c>
    </row>
    <row r="192" spans="1:13" x14ac:dyDescent="0.2">
      <c r="A192" s="1">
        <f t="shared" si="2"/>
        <v>7.19</v>
      </c>
      <c r="C192" t="s">
        <v>455</v>
      </c>
      <c r="D192" t="s">
        <v>353</v>
      </c>
      <c r="E192" t="s">
        <v>557</v>
      </c>
      <c r="F192" t="s">
        <v>353</v>
      </c>
      <c r="G192" t="s">
        <v>474</v>
      </c>
      <c r="H192" t="s">
        <v>322</v>
      </c>
      <c r="I192" t="s">
        <v>320</v>
      </c>
      <c r="J192" s="2">
        <v>46272</v>
      </c>
      <c r="K192">
        <v>7.19</v>
      </c>
    </row>
    <row r="193" spans="1:17" x14ac:dyDescent="0.2">
      <c r="A193" s="1">
        <f t="shared" si="2"/>
        <v>17.329999999999998</v>
      </c>
      <c r="C193" t="s">
        <v>558</v>
      </c>
      <c r="D193" t="s">
        <v>353</v>
      </c>
      <c r="E193" t="s">
        <v>559</v>
      </c>
      <c r="F193" t="s">
        <v>353</v>
      </c>
      <c r="G193">
        <v>0</v>
      </c>
      <c r="H193" t="s">
        <v>265</v>
      </c>
      <c r="I193" t="s">
        <v>259</v>
      </c>
      <c r="J193" s="2">
        <v>46272</v>
      </c>
      <c r="K193">
        <v>17.329999999999998</v>
      </c>
    </row>
    <row r="194" spans="1:17" x14ac:dyDescent="0.2">
      <c r="A194" s="1">
        <f t="shared" ref="A194:A257" si="3">SUM(K194,M194,O194,Q194,S194,U194)</f>
        <v>39.369999999999997</v>
      </c>
      <c r="C194" t="s">
        <v>558</v>
      </c>
      <c r="D194" t="s">
        <v>353</v>
      </c>
      <c r="E194" t="s">
        <v>560</v>
      </c>
      <c r="F194" t="s">
        <v>353</v>
      </c>
      <c r="G194">
        <v>0</v>
      </c>
      <c r="H194" t="s">
        <v>266</v>
      </c>
      <c r="I194" t="s">
        <v>259</v>
      </c>
      <c r="J194" s="2">
        <v>46272</v>
      </c>
      <c r="K194">
        <v>39.369999999999997</v>
      </c>
    </row>
    <row r="195" spans="1:17" x14ac:dyDescent="0.2">
      <c r="A195" s="1">
        <f t="shared" si="3"/>
        <v>5</v>
      </c>
      <c r="C195" t="s">
        <v>561</v>
      </c>
      <c r="D195" t="s">
        <v>353</v>
      </c>
      <c r="E195" t="s">
        <v>267</v>
      </c>
      <c r="F195" t="s">
        <v>353</v>
      </c>
      <c r="G195" t="s">
        <v>355</v>
      </c>
      <c r="H195" t="s">
        <v>267</v>
      </c>
      <c r="I195" t="s">
        <v>259</v>
      </c>
      <c r="J195" s="2">
        <v>46274</v>
      </c>
      <c r="K195" s="1">
        <v>5</v>
      </c>
    </row>
    <row r="196" spans="1:17" x14ac:dyDescent="0.2">
      <c r="A196" s="1">
        <f t="shared" si="3"/>
        <v>1</v>
      </c>
      <c r="C196" t="s">
        <v>561</v>
      </c>
      <c r="D196" t="s">
        <v>353</v>
      </c>
      <c r="E196" t="s">
        <v>562</v>
      </c>
      <c r="F196" t="s">
        <v>353</v>
      </c>
      <c r="G196" t="s">
        <v>355</v>
      </c>
      <c r="H196" t="s">
        <v>264</v>
      </c>
      <c r="I196" t="s">
        <v>259</v>
      </c>
      <c r="J196" s="2">
        <v>46274</v>
      </c>
      <c r="K196" s="1">
        <v>1</v>
      </c>
    </row>
    <row r="197" spans="1:17" x14ac:dyDescent="0.2">
      <c r="A197" s="1">
        <f t="shared" si="3"/>
        <v>6.5</v>
      </c>
      <c r="C197" t="s">
        <v>561</v>
      </c>
      <c r="D197" t="s">
        <v>353</v>
      </c>
      <c r="E197" t="s">
        <v>262</v>
      </c>
      <c r="F197" t="s">
        <v>353</v>
      </c>
      <c r="G197" t="s">
        <v>355</v>
      </c>
      <c r="H197" t="s">
        <v>262</v>
      </c>
      <c r="I197" t="s">
        <v>259</v>
      </c>
      <c r="J197" s="2">
        <v>46274</v>
      </c>
      <c r="K197" s="1">
        <v>6.5</v>
      </c>
    </row>
    <row r="198" spans="1:17" x14ac:dyDescent="0.2">
      <c r="A198" s="1">
        <f t="shared" si="3"/>
        <v>0.8</v>
      </c>
      <c r="C198" t="s">
        <v>561</v>
      </c>
      <c r="D198" t="s">
        <v>353</v>
      </c>
      <c r="E198" t="s">
        <v>563</v>
      </c>
      <c r="F198" t="s">
        <v>353</v>
      </c>
      <c r="G198" t="s">
        <v>355</v>
      </c>
      <c r="H198" t="s">
        <v>134</v>
      </c>
      <c r="I198" t="s">
        <v>130</v>
      </c>
      <c r="J198" s="2">
        <v>46274</v>
      </c>
      <c r="K198" s="1">
        <v>0.8</v>
      </c>
    </row>
    <row r="199" spans="1:17" x14ac:dyDescent="0.2">
      <c r="A199" s="1">
        <f t="shared" si="3"/>
        <v>25.36</v>
      </c>
      <c r="C199" t="s">
        <v>455</v>
      </c>
      <c r="D199" t="s">
        <v>353</v>
      </c>
      <c r="E199" t="s">
        <v>491</v>
      </c>
      <c r="F199" t="s">
        <v>457</v>
      </c>
      <c r="G199" t="s">
        <v>458</v>
      </c>
      <c r="H199" t="s">
        <v>251</v>
      </c>
      <c r="I199" t="s">
        <v>249</v>
      </c>
      <c r="J199" s="2">
        <v>46259</v>
      </c>
      <c r="K199" s="1">
        <v>6.19</v>
      </c>
      <c r="L199" s="2">
        <v>46259</v>
      </c>
      <c r="M199" s="1">
        <v>6.19</v>
      </c>
      <c r="N199" s="2">
        <v>46259</v>
      </c>
      <c r="O199" s="1">
        <v>6.19</v>
      </c>
      <c r="P199" s="2">
        <v>46278</v>
      </c>
      <c r="Q199" s="1">
        <v>6.79</v>
      </c>
    </row>
    <row r="200" spans="1:17" x14ac:dyDescent="0.2">
      <c r="A200" s="1">
        <f t="shared" si="3"/>
        <v>10.99</v>
      </c>
      <c r="C200" t="s">
        <v>455</v>
      </c>
      <c r="D200" t="s">
        <v>353</v>
      </c>
      <c r="E200" t="s">
        <v>564</v>
      </c>
      <c r="F200" t="s">
        <v>457</v>
      </c>
      <c r="G200" t="s">
        <v>458</v>
      </c>
      <c r="H200" t="s">
        <v>328</v>
      </c>
      <c r="I200" t="s">
        <v>320</v>
      </c>
      <c r="J200" s="2">
        <v>46278</v>
      </c>
      <c r="K200" s="1">
        <v>10.99</v>
      </c>
    </row>
    <row r="201" spans="1:17" x14ac:dyDescent="0.2">
      <c r="A201" s="1">
        <f t="shared" si="3"/>
        <v>4.99</v>
      </c>
      <c r="C201" t="s">
        <v>455</v>
      </c>
      <c r="D201" t="s">
        <v>353</v>
      </c>
      <c r="E201" t="s">
        <v>565</v>
      </c>
      <c r="F201" t="s">
        <v>396</v>
      </c>
      <c r="G201" t="s">
        <v>458</v>
      </c>
      <c r="H201" t="s">
        <v>218</v>
      </c>
      <c r="I201" t="s">
        <v>217</v>
      </c>
      <c r="J201" s="2">
        <v>46278</v>
      </c>
      <c r="K201" s="1">
        <v>4.99</v>
      </c>
    </row>
    <row r="202" spans="1:17" x14ac:dyDescent="0.2">
      <c r="A202" s="1">
        <f t="shared" si="3"/>
        <v>10.29</v>
      </c>
      <c r="C202" t="s">
        <v>455</v>
      </c>
      <c r="D202" t="s">
        <v>353</v>
      </c>
      <c r="E202" t="s">
        <v>566</v>
      </c>
      <c r="F202" t="s">
        <v>353</v>
      </c>
      <c r="G202" t="s">
        <v>458</v>
      </c>
      <c r="H202" t="s">
        <v>29</v>
      </c>
      <c r="I202" t="s">
        <v>28</v>
      </c>
      <c r="J202" s="2">
        <v>46278</v>
      </c>
      <c r="K202" s="1">
        <v>10.29</v>
      </c>
    </row>
    <row r="203" spans="1:17" x14ac:dyDescent="0.2">
      <c r="A203" s="1">
        <f t="shared" si="3"/>
        <v>0</v>
      </c>
      <c r="C203" t="s">
        <v>455</v>
      </c>
      <c r="D203" t="s">
        <v>353</v>
      </c>
      <c r="E203" t="s">
        <v>135</v>
      </c>
      <c r="F203" t="s">
        <v>396</v>
      </c>
      <c r="G203" t="s">
        <v>458</v>
      </c>
      <c r="H203" t="s">
        <v>135</v>
      </c>
      <c r="I203" t="s">
        <v>130</v>
      </c>
      <c r="J203" s="2">
        <v>46278</v>
      </c>
      <c r="K203" t="s">
        <v>353</v>
      </c>
    </row>
    <row r="204" spans="1:17" x14ac:dyDescent="0.2">
      <c r="A204" s="1">
        <f t="shared" si="3"/>
        <v>25.94</v>
      </c>
      <c r="C204" t="s">
        <v>352</v>
      </c>
      <c r="D204" t="s">
        <v>353</v>
      </c>
      <c r="E204" t="s">
        <v>567</v>
      </c>
      <c r="F204" t="s">
        <v>353</v>
      </c>
      <c r="G204" t="s">
        <v>355</v>
      </c>
      <c r="H204" t="s">
        <v>82</v>
      </c>
      <c r="I204" t="s">
        <v>80</v>
      </c>
      <c r="J204" s="2">
        <v>46278</v>
      </c>
      <c r="K204" s="1">
        <v>25.94</v>
      </c>
    </row>
    <row r="205" spans="1:17" x14ac:dyDescent="0.2">
      <c r="A205" s="1">
        <f t="shared" si="3"/>
        <v>7.97</v>
      </c>
      <c r="C205" t="s">
        <v>352</v>
      </c>
      <c r="D205" t="s">
        <v>353</v>
      </c>
      <c r="E205" t="s">
        <v>33</v>
      </c>
      <c r="F205" t="s">
        <v>353</v>
      </c>
      <c r="G205" t="s">
        <v>355</v>
      </c>
      <c r="H205" t="s">
        <v>33</v>
      </c>
      <c r="I205" t="s">
        <v>32</v>
      </c>
      <c r="J205" s="2">
        <v>46278</v>
      </c>
      <c r="K205" s="1">
        <v>7.97</v>
      </c>
    </row>
    <row r="206" spans="1:17" x14ac:dyDescent="0.2">
      <c r="A206" s="1">
        <f t="shared" si="3"/>
        <v>8.74</v>
      </c>
      <c r="C206" t="s">
        <v>352</v>
      </c>
      <c r="D206" t="s">
        <v>353</v>
      </c>
      <c r="E206" t="s">
        <v>273</v>
      </c>
      <c r="F206" t="s">
        <v>353</v>
      </c>
      <c r="G206" t="s">
        <v>355</v>
      </c>
      <c r="H206" t="s">
        <v>273</v>
      </c>
      <c r="I206" t="s">
        <v>271</v>
      </c>
      <c r="J206" s="2">
        <v>46278</v>
      </c>
      <c r="K206" s="1">
        <v>8.74</v>
      </c>
    </row>
    <row r="207" spans="1:17" x14ac:dyDescent="0.2">
      <c r="A207" s="1">
        <f t="shared" si="3"/>
        <v>5.97</v>
      </c>
      <c r="C207" t="s">
        <v>352</v>
      </c>
      <c r="D207" t="s">
        <v>353</v>
      </c>
      <c r="E207" t="s">
        <v>568</v>
      </c>
      <c r="F207" t="s">
        <v>353</v>
      </c>
      <c r="G207" t="s">
        <v>355</v>
      </c>
      <c r="H207" t="s">
        <v>304</v>
      </c>
      <c r="I207" t="s">
        <v>302</v>
      </c>
      <c r="J207" s="2">
        <v>46278</v>
      </c>
      <c r="K207" s="1">
        <v>5.97</v>
      </c>
    </row>
    <row r="208" spans="1:17" x14ac:dyDescent="0.2">
      <c r="A208" s="1">
        <f t="shared" si="3"/>
        <v>11.96</v>
      </c>
      <c r="C208" t="s">
        <v>352</v>
      </c>
      <c r="D208" t="s">
        <v>353</v>
      </c>
      <c r="E208" t="s">
        <v>30</v>
      </c>
      <c r="F208" t="s">
        <v>353</v>
      </c>
      <c r="G208" t="s">
        <v>355</v>
      </c>
      <c r="H208" t="s">
        <v>30</v>
      </c>
      <c r="I208" t="s">
        <v>28</v>
      </c>
      <c r="J208" s="2">
        <v>46278</v>
      </c>
      <c r="K208" s="1">
        <v>11.96</v>
      </c>
    </row>
    <row r="209" spans="1:11" x14ac:dyDescent="0.2">
      <c r="A209" s="1">
        <f t="shared" si="3"/>
        <v>9.94</v>
      </c>
      <c r="C209" t="s">
        <v>352</v>
      </c>
      <c r="D209" t="s">
        <v>353</v>
      </c>
      <c r="E209" t="s">
        <v>569</v>
      </c>
      <c r="F209" t="s">
        <v>353</v>
      </c>
      <c r="G209" t="s">
        <v>355</v>
      </c>
      <c r="H209" t="s">
        <v>225</v>
      </c>
      <c r="I209" t="s">
        <v>224</v>
      </c>
      <c r="J209" s="2">
        <v>46278</v>
      </c>
      <c r="K209" s="1">
        <v>9.94</v>
      </c>
    </row>
    <row r="210" spans="1:11" x14ac:dyDescent="0.2">
      <c r="A210" s="1">
        <f t="shared" si="3"/>
        <v>4.4800000000000004</v>
      </c>
      <c r="C210" t="s">
        <v>352</v>
      </c>
      <c r="D210" t="s">
        <v>353</v>
      </c>
      <c r="E210" t="s">
        <v>570</v>
      </c>
      <c r="F210" t="s">
        <v>353</v>
      </c>
      <c r="G210" t="s">
        <v>355</v>
      </c>
      <c r="H210" t="s">
        <v>151</v>
      </c>
      <c r="I210" t="s">
        <v>142</v>
      </c>
      <c r="J210" s="2">
        <v>46278</v>
      </c>
      <c r="K210" s="1">
        <v>4.4800000000000004</v>
      </c>
    </row>
    <row r="211" spans="1:11" x14ac:dyDescent="0.2">
      <c r="A211" s="1">
        <f t="shared" si="3"/>
        <v>5.98</v>
      </c>
      <c r="C211" t="s">
        <v>352</v>
      </c>
      <c r="D211" t="s">
        <v>353</v>
      </c>
      <c r="E211" t="s">
        <v>64</v>
      </c>
      <c r="F211" t="s">
        <v>353</v>
      </c>
      <c r="G211" t="s">
        <v>355</v>
      </c>
      <c r="H211" t="s">
        <v>64</v>
      </c>
      <c r="I211" t="s">
        <v>60</v>
      </c>
      <c r="J211" s="2">
        <v>46278</v>
      </c>
      <c r="K211" s="1">
        <v>5.98</v>
      </c>
    </row>
    <row r="212" spans="1:11" x14ac:dyDescent="0.2">
      <c r="A212" s="1">
        <f t="shared" si="3"/>
        <v>4.67</v>
      </c>
      <c r="C212" t="s">
        <v>352</v>
      </c>
      <c r="D212" t="s">
        <v>353</v>
      </c>
      <c r="E212" t="s">
        <v>571</v>
      </c>
      <c r="F212" t="s">
        <v>353</v>
      </c>
      <c r="G212" t="s">
        <v>355</v>
      </c>
      <c r="H212" t="s">
        <v>330</v>
      </c>
      <c r="I212" t="s">
        <v>320</v>
      </c>
      <c r="J212" s="2">
        <v>46278</v>
      </c>
      <c r="K212" s="1">
        <v>4.67</v>
      </c>
    </row>
    <row r="213" spans="1:11" x14ac:dyDescent="0.2">
      <c r="A213" s="1">
        <f t="shared" si="3"/>
        <v>2.4700000000000002</v>
      </c>
      <c r="C213" t="s">
        <v>352</v>
      </c>
      <c r="D213" t="s">
        <v>353</v>
      </c>
      <c r="E213" t="s">
        <v>284</v>
      </c>
      <c r="F213" t="s">
        <v>353</v>
      </c>
      <c r="G213" t="s">
        <v>355</v>
      </c>
      <c r="H213" t="s">
        <v>284</v>
      </c>
      <c r="I213" t="s">
        <v>281</v>
      </c>
      <c r="J213" s="2">
        <v>46278</v>
      </c>
      <c r="K213" s="1">
        <v>2.4700000000000002</v>
      </c>
    </row>
    <row r="214" spans="1:11" x14ac:dyDescent="0.2">
      <c r="A214" s="1">
        <f t="shared" si="3"/>
        <v>3.98</v>
      </c>
      <c r="C214" t="s">
        <v>352</v>
      </c>
      <c r="D214" t="s">
        <v>353</v>
      </c>
      <c r="E214" t="s">
        <v>283</v>
      </c>
      <c r="F214" t="s">
        <v>353</v>
      </c>
      <c r="G214" t="s">
        <v>355</v>
      </c>
      <c r="H214" t="s">
        <v>283</v>
      </c>
      <c r="I214" t="s">
        <v>281</v>
      </c>
      <c r="J214" s="2">
        <v>46278</v>
      </c>
      <c r="K214" s="1">
        <v>3.98</v>
      </c>
    </row>
    <row r="215" spans="1:11" x14ac:dyDescent="0.2">
      <c r="A215" s="1">
        <f t="shared" si="3"/>
        <v>1.1599999999999999</v>
      </c>
      <c r="C215" t="s">
        <v>352</v>
      </c>
      <c r="D215" t="s">
        <v>353</v>
      </c>
      <c r="E215" t="s">
        <v>78</v>
      </c>
      <c r="F215" t="s">
        <v>353</v>
      </c>
      <c r="G215" t="s">
        <v>355</v>
      </c>
      <c r="H215" t="s">
        <v>78</v>
      </c>
      <c r="I215" t="s">
        <v>76</v>
      </c>
      <c r="J215" s="2">
        <v>46278</v>
      </c>
      <c r="K215" s="1">
        <v>1.1599999999999999</v>
      </c>
    </row>
    <row r="216" spans="1:11" x14ac:dyDescent="0.2">
      <c r="A216" s="1">
        <f t="shared" si="3"/>
        <v>2.2200000000000002</v>
      </c>
      <c r="C216" t="s">
        <v>352</v>
      </c>
      <c r="D216" t="s">
        <v>353</v>
      </c>
      <c r="E216" t="s">
        <v>77</v>
      </c>
      <c r="F216" t="s">
        <v>353</v>
      </c>
      <c r="G216" t="s">
        <v>355</v>
      </c>
      <c r="H216" t="s">
        <v>77</v>
      </c>
      <c r="I216" t="s">
        <v>76</v>
      </c>
      <c r="J216" s="2">
        <v>46278</v>
      </c>
      <c r="K216" s="1">
        <v>2.2200000000000002</v>
      </c>
    </row>
    <row r="217" spans="1:11" x14ac:dyDescent="0.2">
      <c r="A217" s="1">
        <f t="shared" si="3"/>
        <v>2.96</v>
      </c>
      <c r="C217" t="s">
        <v>352</v>
      </c>
      <c r="D217" t="s">
        <v>353</v>
      </c>
      <c r="E217" t="s">
        <v>101</v>
      </c>
      <c r="F217" t="s">
        <v>353</v>
      </c>
      <c r="G217" t="s">
        <v>355</v>
      </c>
      <c r="H217" t="s">
        <v>101</v>
      </c>
      <c r="I217" t="s">
        <v>99</v>
      </c>
      <c r="J217" s="2">
        <v>46278</v>
      </c>
      <c r="K217" s="1">
        <v>2.96</v>
      </c>
    </row>
    <row r="218" spans="1:11" x14ac:dyDescent="0.2">
      <c r="A218" s="1">
        <f t="shared" si="3"/>
        <v>2.1800000000000002</v>
      </c>
      <c r="C218" t="s">
        <v>352</v>
      </c>
      <c r="D218" t="s">
        <v>353</v>
      </c>
      <c r="E218" t="s">
        <v>572</v>
      </c>
      <c r="F218" t="s">
        <v>353</v>
      </c>
      <c r="G218" t="s">
        <v>355</v>
      </c>
      <c r="H218" t="s">
        <v>178</v>
      </c>
      <c r="I218" t="s">
        <v>169</v>
      </c>
      <c r="J218" s="2">
        <v>46278</v>
      </c>
      <c r="K218" s="1">
        <v>2.1800000000000002</v>
      </c>
    </row>
    <row r="219" spans="1:11" x14ac:dyDescent="0.2">
      <c r="A219" s="1">
        <f t="shared" si="3"/>
        <v>5.74</v>
      </c>
      <c r="C219" t="s">
        <v>352</v>
      </c>
      <c r="D219" t="s">
        <v>353</v>
      </c>
      <c r="E219" t="s">
        <v>223</v>
      </c>
      <c r="F219" t="s">
        <v>353</v>
      </c>
      <c r="G219" t="s">
        <v>355</v>
      </c>
      <c r="H219" t="s">
        <v>223</v>
      </c>
      <c r="I219" t="s">
        <v>221</v>
      </c>
      <c r="J219" s="2">
        <v>46278</v>
      </c>
      <c r="K219" s="1">
        <v>5.74</v>
      </c>
    </row>
    <row r="220" spans="1:11" x14ac:dyDescent="0.2">
      <c r="A220" s="1">
        <f t="shared" si="3"/>
        <v>3.27</v>
      </c>
      <c r="C220" t="s">
        <v>352</v>
      </c>
      <c r="D220" t="s">
        <v>353</v>
      </c>
      <c r="E220" t="s">
        <v>62</v>
      </c>
      <c r="F220" t="s">
        <v>353</v>
      </c>
      <c r="G220" t="s">
        <v>355</v>
      </c>
      <c r="H220" t="s">
        <v>62</v>
      </c>
      <c r="I220" t="s">
        <v>60</v>
      </c>
      <c r="J220" s="2">
        <v>46278</v>
      </c>
      <c r="K220" s="1">
        <v>3.27</v>
      </c>
    </row>
    <row r="221" spans="1:11" x14ac:dyDescent="0.2">
      <c r="A221" s="1">
        <f t="shared" si="3"/>
        <v>0.97</v>
      </c>
      <c r="C221" t="s">
        <v>352</v>
      </c>
      <c r="D221" t="s">
        <v>353</v>
      </c>
      <c r="E221" t="s">
        <v>573</v>
      </c>
      <c r="F221" t="s">
        <v>353</v>
      </c>
      <c r="G221" t="s">
        <v>355</v>
      </c>
      <c r="H221" t="s">
        <v>176</v>
      </c>
      <c r="I221" t="s">
        <v>169</v>
      </c>
      <c r="J221" s="2">
        <v>46278</v>
      </c>
      <c r="K221" s="1">
        <v>0.97</v>
      </c>
    </row>
    <row r="222" spans="1:11" x14ac:dyDescent="0.2">
      <c r="A222" s="1">
        <f t="shared" si="3"/>
        <v>2.4700000000000002</v>
      </c>
      <c r="C222" t="s">
        <v>352</v>
      </c>
      <c r="D222" t="s">
        <v>353</v>
      </c>
      <c r="E222" t="s">
        <v>179</v>
      </c>
      <c r="F222" t="s">
        <v>353</v>
      </c>
      <c r="G222" t="s">
        <v>355</v>
      </c>
      <c r="H222" t="s">
        <v>179</v>
      </c>
      <c r="I222" t="s">
        <v>169</v>
      </c>
      <c r="J222" s="2">
        <v>46278</v>
      </c>
      <c r="K222" s="1">
        <v>2.4700000000000002</v>
      </c>
    </row>
    <row r="223" spans="1:11" x14ac:dyDescent="0.2">
      <c r="A223" s="1">
        <f t="shared" si="3"/>
        <v>4.88</v>
      </c>
      <c r="C223" t="s">
        <v>352</v>
      </c>
      <c r="D223" t="s">
        <v>353</v>
      </c>
      <c r="E223" t="s">
        <v>127</v>
      </c>
      <c r="F223" t="s">
        <v>353</v>
      </c>
      <c r="G223" t="s">
        <v>355</v>
      </c>
      <c r="H223" t="s">
        <v>127</v>
      </c>
      <c r="I223" t="s">
        <v>126</v>
      </c>
      <c r="J223" s="2">
        <v>46278</v>
      </c>
      <c r="K223" s="1">
        <v>4.88</v>
      </c>
    </row>
    <row r="224" spans="1:11" x14ac:dyDescent="0.2">
      <c r="A224" s="1">
        <f t="shared" si="3"/>
        <v>1.83</v>
      </c>
      <c r="C224" t="s">
        <v>352</v>
      </c>
      <c r="D224" t="s">
        <v>353</v>
      </c>
      <c r="E224" t="s">
        <v>574</v>
      </c>
      <c r="F224" t="s">
        <v>353</v>
      </c>
      <c r="G224" t="s">
        <v>355</v>
      </c>
      <c r="H224" t="s">
        <v>180</v>
      </c>
      <c r="I224" t="s">
        <v>169</v>
      </c>
      <c r="J224" s="2">
        <v>46278</v>
      </c>
      <c r="K224" s="1">
        <v>1.83</v>
      </c>
    </row>
    <row r="225" spans="1:11" x14ac:dyDescent="0.2">
      <c r="A225" s="1">
        <f t="shared" si="3"/>
        <v>8.24</v>
      </c>
      <c r="C225" t="s">
        <v>352</v>
      </c>
      <c r="D225" t="s">
        <v>353</v>
      </c>
      <c r="E225" t="s">
        <v>288</v>
      </c>
      <c r="F225" t="s">
        <v>353</v>
      </c>
      <c r="G225" t="s">
        <v>355</v>
      </c>
      <c r="H225" t="s">
        <v>288</v>
      </c>
      <c r="I225" t="s">
        <v>281</v>
      </c>
      <c r="J225" s="2">
        <v>46278</v>
      </c>
      <c r="K225" s="1">
        <v>8.24</v>
      </c>
    </row>
    <row r="226" spans="1:11" x14ac:dyDescent="0.2">
      <c r="A226" s="1">
        <f t="shared" si="3"/>
        <v>5.78</v>
      </c>
      <c r="C226" t="s">
        <v>352</v>
      </c>
      <c r="D226" t="s">
        <v>353</v>
      </c>
      <c r="E226" t="s">
        <v>575</v>
      </c>
      <c r="F226" t="s">
        <v>353</v>
      </c>
      <c r="G226" t="s">
        <v>355</v>
      </c>
      <c r="H226" t="s">
        <v>115</v>
      </c>
      <c r="I226" t="s">
        <v>113</v>
      </c>
      <c r="J226" s="2">
        <v>46278</v>
      </c>
      <c r="K226" s="1">
        <v>5.78</v>
      </c>
    </row>
    <row r="227" spans="1:11" x14ac:dyDescent="0.2">
      <c r="A227" s="1">
        <f t="shared" si="3"/>
        <v>5.94</v>
      </c>
      <c r="C227" t="s">
        <v>352</v>
      </c>
      <c r="D227" t="s">
        <v>353</v>
      </c>
      <c r="E227" t="s">
        <v>576</v>
      </c>
      <c r="F227" t="s">
        <v>353</v>
      </c>
      <c r="G227" t="s">
        <v>355</v>
      </c>
      <c r="H227" t="s">
        <v>69</v>
      </c>
      <c r="I227" t="s">
        <v>67</v>
      </c>
      <c r="J227" s="2">
        <v>46278</v>
      </c>
      <c r="K227" s="1">
        <v>5.94</v>
      </c>
    </row>
    <row r="228" spans="1:11" x14ac:dyDescent="0.2">
      <c r="A228" s="1">
        <f t="shared" si="3"/>
        <v>5.34</v>
      </c>
      <c r="C228" t="s">
        <v>352</v>
      </c>
      <c r="D228" t="s">
        <v>353</v>
      </c>
      <c r="E228" t="s">
        <v>577</v>
      </c>
      <c r="F228" t="s">
        <v>353</v>
      </c>
      <c r="G228" t="s">
        <v>355</v>
      </c>
      <c r="H228" t="s">
        <v>243</v>
      </c>
      <c r="I228" t="s">
        <v>242</v>
      </c>
      <c r="J228" s="2">
        <v>46278</v>
      </c>
      <c r="K228" s="1">
        <v>5.34</v>
      </c>
    </row>
    <row r="229" spans="1:11" x14ac:dyDescent="0.2">
      <c r="A229" s="1">
        <f t="shared" si="3"/>
        <v>4.3600000000000003</v>
      </c>
      <c r="C229" t="s">
        <v>352</v>
      </c>
      <c r="D229" t="s">
        <v>353</v>
      </c>
      <c r="E229" t="s">
        <v>578</v>
      </c>
      <c r="F229" t="s">
        <v>353</v>
      </c>
      <c r="G229" t="s">
        <v>355</v>
      </c>
      <c r="H229" t="s">
        <v>293</v>
      </c>
      <c r="I229" t="s">
        <v>292</v>
      </c>
      <c r="J229" s="2">
        <v>46278</v>
      </c>
      <c r="K229" s="1">
        <v>4.3600000000000003</v>
      </c>
    </row>
    <row r="230" spans="1:11" x14ac:dyDescent="0.2">
      <c r="A230" s="1">
        <f t="shared" si="3"/>
        <v>3.97</v>
      </c>
      <c r="C230" t="s">
        <v>352</v>
      </c>
      <c r="D230" t="s">
        <v>353</v>
      </c>
      <c r="E230" t="s">
        <v>579</v>
      </c>
      <c r="F230" t="s">
        <v>353</v>
      </c>
      <c r="G230" t="s">
        <v>355</v>
      </c>
      <c r="H230" t="s">
        <v>124</v>
      </c>
      <c r="I230" t="s">
        <v>123</v>
      </c>
      <c r="J230" s="2">
        <v>46278</v>
      </c>
      <c r="K230" s="1">
        <v>3.97</v>
      </c>
    </row>
    <row r="231" spans="1:11" x14ac:dyDescent="0.2">
      <c r="A231" s="1">
        <f t="shared" si="3"/>
        <v>3.77</v>
      </c>
      <c r="C231" t="s">
        <v>352</v>
      </c>
      <c r="D231" t="s">
        <v>353</v>
      </c>
      <c r="E231" t="s">
        <v>291</v>
      </c>
      <c r="F231" t="s">
        <v>353</v>
      </c>
      <c r="G231" t="s">
        <v>355</v>
      </c>
      <c r="H231" t="s">
        <v>291</v>
      </c>
      <c r="I231" t="s">
        <v>289</v>
      </c>
      <c r="J231" s="2">
        <v>46278</v>
      </c>
      <c r="K231" s="1">
        <v>3.77</v>
      </c>
    </row>
    <row r="232" spans="1:11" x14ac:dyDescent="0.2">
      <c r="A232" s="1">
        <f t="shared" si="3"/>
        <v>5.58</v>
      </c>
      <c r="C232" t="s">
        <v>352</v>
      </c>
      <c r="D232" t="s">
        <v>353</v>
      </c>
      <c r="E232" t="s">
        <v>580</v>
      </c>
      <c r="F232" t="s">
        <v>353</v>
      </c>
      <c r="G232" t="s">
        <v>355</v>
      </c>
      <c r="H232" t="s">
        <v>121</v>
      </c>
      <c r="I232" t="s">
        <v>119</v>
      </c>
      <c r="J232" s="2">
        <v>46278</v>
      </c>
      <c r="K232" s="1">
        <v>5.58</v>
      </c>
    </row>
    <row r="233" spans="1:11" x14ac:dyDescent="0.2">
      <c r="A233" s="1">
        <f t="shared" si="3"/>
        <v>2.56</v>
      </c>
      <c r="C233" t="s">
        <v>352</v>
      </c>
      <c r="D233" t="s">
        <v>353</v>
      </c>
      <c r="E233" t="s">
        <v>581</v>
      </c>
      <c r="F233" t="s">
        <v>353</v>
      </c>
      <c r="G233" t="s">
        <v>355</v>
      </c>
      <c r="H233" t="s">
        <v>312</v>
      </c>
      <c r="I233" t="s">
        <v>310</v>
      </c>
      <c r="J233" s="2">
        <v>46278</v>
      </c>
      <c r="K233" s="1">
        <v>2.56</v>
      </c>
    </row>
    <row r="234" spans="1:11" x14ac:dyDescent="0.2">
      <c r="A234" s="1">
        <f t="shared" si="3"/>
        <v>3.58</v>
      </c>
      <c r="C234" t="s">
        <v>352</v>
      </c>
      <c r="D234" t="s">
        <v>353</v>
      </c>
      <c r="E234" t="s">
        <v>582</v>
      </c>
      <c r="F234" t="s">
        <v>353</v>
      </c>
      <c r="G234" t="s">
        <v>355</v>
      </c>
      <c r="H234" t="s">
        <v>118</v>
      </c>
      <c r="I234" t="s">
        <v>116</v>
      </c>
      <c r="J234" s="2">
        <v>46278</v>
      </c>
      <c r="K234" s="1">
        <v>3.58</v>
      </c>
    </row>
    <row r="235" spans="1:11" x14ac:dyDescent="0.2">
      <c r="A235" s="1">
        <f t="shared" si="3"/>
        <v>17.87</v>
      </c>
      <c r="C235" t="s">
        <v>352</v>
      </c>
      <c r="D235" t="s">
        <v>353</v>
      </c>
      <c r="E235" t="s">
        <v>55</v>
      </c>
      <c r="F235" t="s">
        <v>353</v>
      </c>
      <c r="G235" t="s">
        <v>355</v>
      </c>
      <c r="H235" t="s">
        <v>55</v>
      </c>
      <c r="I235" t="s">
        <v>54</v>
      </c>
      <c r="J235" s="2">
        <v>46278</v>
      </c>
      <c r="K235" s="1">
        <v>17.87</v>
      </c>
    </row>
    <row r="236" spans="1:11" x14ac:dyDescent="0.2">
      <c r="A236" s="1">
        <f t="shared" si="3"/>
        <v>9.84</v>
      </c>
      <c r="C236" t="s">
        <v>352</v>
      </c>
      <c r="D236" t="s">
        <v>353</v>
      </c>
      <c r="E236" t="s">
        <v>583</v>
      </c>
      <c r="F236" t="s">
        <v>353</v>
      </c>
      <c r="G236" t="s">
        <v>355</v>
      </c>
      <c r="H236" t="s">
        <v>100</v>
      </c>
      <c r="I236" t="s">
        <v>99</v>
      </c>
      <c r="J236" s="2">
        <v>46278</v>
      </c>
      <c r="K236" s="1">
        <v>9.84</v>
      </c>
    </row>
    <row r="237" spans="1:11" x14ac:dyDescent="0.2">
      <c r="A237" s="1">
        <f t="shared" si="3"/>
        <v>1.27</v>
      </c>
      <c r="C237" t="s">
        <v>352</v>
      </c>
      <c r="D237" t="s">
        <v>353</v>
      </c>
      <c r="E237" t="s">
        <v>213</v>
      </c>
      <c r="F237" t="s">
        <v>353</v>
      </c>
      <c r="G237" t="s">
        <v>355</v>
      </c>
      <c r="H237" t="s">
        <v>213</v>
      </c>
      <c r="I237" t="s">
        <v>212</v>
      </c>
      <c r="J237" s="2">
        <v>46278</v>
      </c>
      <c r="K237" s="1">
        <v>1.27</v>
      </c>
    </row>
    <row r="238" spans="1:11" x14ac:dyDescent="0.2">
      <c r="A238" s="1">
        <f t="shared" si="3"/>
        <v>3.07</v>
      </c>
      <c r="C238" t="s">
        <v>352</v>
      </c>
      <c r="D238" t="s">
        <v>353</v>
      </c>
      <c r="E238" t="s">
        <v>190</v>
      </c>
      <c r="F238" t="s">
        <v>353</v>
      </c>
      <c r="G238" t="s">
        <v>355</v>
      </c>
      <c r="H238" t="s">
        <v>190</v>
      </c>
      <c r="I238" t="s">
        <v>169</v>
      </c>
      <c r="J238" s="2">
        <v>46278</v>
      </c>
      <c r="K238" s="1">
        <v>3.07</v>
      </c>
    </row>
    <row r="239" spans="1:11" x14ac:dyDescent="0.2">
      <c r="A239" s="1">
        <f t="shared" si="3"/>
        <v>8.48</v>
      </c>
      <c r="C239" t="s">
        <v>352</v>
      </c>
      <c r="D239" t="s">
        <v>353</v>
      </c>
      <c r="E239" t="s">
        <v>584</v>
      </c>
      <c r="F239" t="s">
        <v>353</v>
      </c>
      <c r="G239" t="s">
        <v>355</v>
      </c>
      <c r="H239" t="s">
        <v>86</v>
      </c>
      <c r="I239" t="s">
        <v>84</v>
      </c>
      <c r="J239" s="2">
        <v>46278</v>
      </c>
      <c r="K239" s="1">
        <v>8.48</v>
      </c>
    </row>
    <row r="240" spans="1:11" x14ac:dyDescent="0.2">
      <c r="A240" s="1">
        <f t="shared" si="3"/>
        <v>4.97</v>
      </c>
      <c r="C240" t="s">
        <v>352</v>
      </c>
      <c r="D240" t="s">
        <v>353</v>
      </c>
      <c r="E240" t="s">
        <v>585</v>
      </c>
      <c r="F240" t="s">
        <v>353</v>
      </c>
      <c r="G240" t="s">
        <v>355</v>
      </c>
      <c r="H240" t="s">
        <v>153</v>
      </c>
      <c r="I240" t="s">
        <v>142</v>
      </c>
      <c r="J240" s="2">
        <v>46278</v>
      </c>
      <c r="K240" s="1">
        <v>4.97</v>
      </c>
    </row>
    <row r="241" spans="1:15" x14ac:dyDescent="0.2">
      <c r="A241" s="1">
        <f t="shared" si="3"/>
        <v>5.23</v>
      </c>
      <c r="C241" t="s">
        <v>352</v>
      </c>
      <c r="D241" t="s">
        <v>353</v>
      </c>
      <c r="E241" t="s">
        <v>586</v>
      </c>
      <c r="F241" t="s">
        <v>353</v>
      </c>
      <c r="G241" t="s">
        <v>355</v>
      </c>
      <c r="H241" t="s">
        <v>188</v>
      </c>
      <c r="I241" t="s">
        <v>169</v>
      </c>
      <c r="J241" s="2">
        <v>46278</v>
      </c>
      <c r="K241" s="1">
        <v>5.23</v>
      </c>
    </row>
    <row r="242" spans="1:15" x14ac:dyDescent="0.2">
      <c r="A242" s="1">
        <f t="shared" si="3"/>
        <v>4.67</v>
      </c>
      <c r="C242" t="s">
        <v>352</v>
      </c>
      <c r="D242" t="s">
        <v>353</v>
      </c>
      <c r="E242" t="s">
        <v>587</v>
      </c>
      <c r="F242" t="s">
        <v>353</v>
      </c>
      <c r="G242" t="s">
        <v>355</v>
      </c>
      <c r="H242" t="s">
        <v>145</v>
      </c>
      <c r="I242" t="s">
        <v>142</v>
      </c>
      <c r="J242" s="2">
        <v>46278</v>
      </c>
      <c r="K242" s="1">
        <v>4.67</v>
      </c>
    </row>
    <row r="243" spans="1:15" x14ac:dyDescent="0.2">
      <c r="A243" s="1">
        <f t="shared" si="3"/>
        <v>2.97</v>
      </c>
      <c r="C243" t="s">
        <v>352</v>
      </c>
      <c r="D243" t="s">
        <v>353</v>
      </c>
      <c r="E243" t="s">
        <v>588</v>
      </c>
      <c r="F243" t="s">
        <v>353</v>
      </c>
      <c r="G243" t="s">
        <v>355</v>
      </c>
      <c r="H243" t="s">
        <v>172</v>
      </c>
      <c r="I243" t="s">
        <v>169</v>
      </c>
      <c r="J243" s="2">
        <v>46278</v>
      </c>
      <c r="K243" s="1">
        <v>2.97</v>
      </c>
    </row>
    <row r="244" spans="1:15" x14ac:dyDescent="0.2">
      <c r="A244" s="1">
        <f t="shared" si="3"/>
        <v>1.83</v>
      </c>
      <c r="C244" t="s">
        <v>352</v>
      </c>
      <c r="D244" t="s">
        <v>353</v>
      </c>
      <c r="E244" t="s">
        <v>589</v>
      </c>
      <c r="F244" t="s">
        <v>353</v>
      </c>
      <c r="G244" t="s">
        <v>355</v>
      </c>
      <c r="H244" t="s">
        <v>144</v>
      </c>
      <c r="I244" t="s">
        <v>142</v>
      </c>
      <c r="J244" s="2">
        <v>46278</v>
      </c>
      <c r="K244" s="1">
        <v>1.83</v>
      </c>
    </row>
    <row r="245" spans="1:15" x14ac:dyDescent="0.2">
      <c r="A245" s="1">
        <f t="shared" si="3"/>
        <v>3.27</v>
      </c>
      <c r="C245" t="s">
        <v>352</v>
      </c>
      <c r="D245" t="s">
        <v>353</v>
      </c>
      <c r="E245" t="s">
        <v>590</v>
      </c>
      <c r="F245" t="s">
        <v>353</v>
      </c>
      <c r="G245" t="s">
        <v>355</v>
      </c>
      <c r="H245" t="s">
        <v>192</v>
      </c>
      <c r="I245" t="s">
        <v>169</v>
      </c>
      <c r="J245" s="2">
        <v>46278</v>
      </c>
      <c r="K245" s="1">
        <v>3.27</v>
      </c>
    </row>
    <row r="246" spans="1:15" x14ac:dyDescent="0.2">
      <c r="A246" s="1">
        <f t="shared" si="3"/>
        <v>0.91</v>
      </c>
      <c r="C246" t="s">
        <v>352</v>
      </c>
      <c r="D246" t="s">
        <v>353</v>
      </c>
      <c r="E246" t="s">
        <v>591</v>
      </c>
      <c r="F246" t="s">
        <v>353</v>
      </c>
      <c r="G246" t="s">
        <v>355</v>
      </c>
      <c r="H246" t="s">
        <v>191</v>
      </c>
      <c r="I246" t="s">
        <v>169</v>
      </c>
      <c r="J246" s="2">
        <v>46278</v>
      </c>
      <c r="K246" s="1">
        <v>0.91</v>
      </c>
    </row>
    <row r="247" spans="1:15" x14ac:dyDescent="0.2">
      <c r="A247" s="1">
        <f t="shared" si="3"/>
        <v>1.01</v>
      </c>
      <c r="C247" t="s">
        <v>352</v>
      </c>
      <c r="D247" t="s">
        <v>353</v>
      </c>
      <c r="E247" t="s">
        <v>592</v>
      </c>
      <c r="F247" t="s">
        <v>353</v>
      </c>
      <c r="G247" t="s">
        <v>355</v>
      </c>
      <c r="H247" t="s">
        <v>186</v>
      </c>
      <c r="I247" t="s">
        <v>169</v>
      </c>
      <c r="J247" s="2">
        <v>46278</v>
      </c>
      <c r="K247" s="1">
        <v>1.01</v>
      </c>
    </row>
    <row r="248" spans="1:15" x14ac:dyDescent="0.2">
      <c r="A248" s="1">
        <f t="shared" si="3"/>
        <v>2.15</v>
      </c>
      <c r="C248" t="s">
        <v>352</v>
      </c>
      <c r="D248" t="s">
        <v>353</v>
      </c>
      <c r="E248" t="s">
        <v>593</v>
      </c>
      <c r="F248" t="s">
        <v>353</v>
      </c>
      <c r="G248" t="s">
        <v>355</v>
      </c>
      <c r="H248" t="s">
        <v>143</v>
      </c>
      <c r="I248" t="s">
        <v>142</v>
      </c>
      <c r="J248" s="2">
        <v>46278</v>
      </c>
      <c r="K248" s="1">
        <v>2.15</v>
      </c>
    </row>
    <row r="249" spans="1:15" x14ac:dyDescent="0.2">
      <c r="A249" s="1">
        <f t="shared" si="3"/>
        <v>4.37</v>
      </c>
      <c r="C249" t="s">
        <v>352</v>
      </c>
      <c r="D249" t="s">
        <v>353</v>
      </c>
      <c r="E249" t="s">
        <v>135</v>
      </c>
      <c r="F249" t="s">
        <v>353</v>
      </c>
      <c r="G249" t="s">
        <v>355</v>
      </c>
      <c r="H249" t="s">
        <v>135</v>
      </c>
      <c r="I249" t="s">
        <v>130</v>
      </c>
      <c r="J249" s="2">
        <v>46278</v>
      </c>
      <c r="K249" s="1">
        <v>4.37</v>
      </c>
    </row>
    <row r="250" spans="1:15" x14ac:dyDescent="0.2">
      <c r="A250" s="1">
        <f t="shared" si="3"/>
        <v>22.11</v>
      </c>
      <c r="C250" t="s">
        <v>352</v>
      </c>
      <c r="D250" t="s">
        <v>353</v>
      </c>
      <c r="E250" t="s">
        <v>131</v>
      </c>
      <c r="F250" t="s">
        <v>353</v>
      </c>
      <c r="G250" t="s">
        <v>355</v>
      </c>
      <c r="H250" t="s">
        <v>131</v>
      </c>
      <c r="I250" t="s">
        <v>130</v>
      </c>
      <c r="J250" s="2">
        <v>46278</v>
      </c>
      <c r="K250" s="1">
        <v>22.11</v>
      </c>
    </row>
    <row r="251" spans="1:15" x14ac:dyDescent="0.2">
      <c r="A251" s="1">
        <f t="shared" si="3"/>
        <v>2.59</v>
      </c>
      <c r="C251" t="s">
        <v>594</v>
      </c>
      <c r="D251" t="s">
        <v>353</v>
      </c>
      <c r="E251" t="s">
        <v>595</v>
      </c>
      <c r="F251" t="s">
        <v>353</v>
      </c>
      <c r="G251" t="s">
        <v>355</v>
      </c>
      <c r="H251" t="s">
        <v>263</v>
      </c>
      <c r="I251" t="s">
        <v>259</v>
      </c>
      <c r="J251" s="2">
        <v>46282</v>
      </c>
      <c r="K251" s="1">
        <v>2.59</v>
      </c>
    </row>
    <row r="252" spans="1:15" x14ac:dyDescent="0.2">
      <c r="A252" s="1">
        <f t="shared" si="3"/>
        <v>17.669999999999998</v>
      </c>
      <c r="C252" t="s">
        <v>455</v>
      </c>
      <c r="D252" t="s">
        <v>353</v>
      </c>
      <c r="E252" t="s">
        <v>490</v>
      </c>
      <c r="F252" t="s">
        <v>457</v>
      </c>
      <c r="G252" t="s">
        <v>458</v>
      </c>
      <c r="H252" t="s">
        <v>102</v>
      </c>
      <c r="I252" t="s">
        <v>99</v>
      </c>
      <c r="J252" s="2">
        <v>46259</v>
      </c>
      <c r="K252" s="1">
        <v>5.89</v>
      </c>
      <c r="L252" s="2">
        <v>46278</v>
      </c>
      <c r="M252" s="1">
        <v>5.89</v>
      </c>
      <c r="N252" s="2">
        <v>46283</v>
      </c>
      <c r="O252" s="1">
        <v>5.89</v>
      </c>
    </row>
    <row r="253" spans="1:15" x14ac:dyDescent="0.2">
      <c r="A253" s="1">
        <f t="shared" si="3"/>
        <v>7.19</v>
      </c>
      <c r="C253" t="s">
        <v>455</v>
      </c>
      <c r="D253" t="s">
        <v>353</v>
      </c>
      <c r="E253" t="s">
        <v>596</v>
      </c>
      <c r="F253" t="s">
        <v>396</v>
      </c>
      <c r="G253" t="s">
        <v>458</v>
      </c>
      <c r="H253" t="s">
        <v>316</v>
      </c>
      <c r="I253" t="s">
        <v>313</v>
      </c>
      <c r="J253" s="2">
        <v>46283</v>
      </c>
      <c r="K253" s="1">
        <v>7.19</v>
      </c>
    </row>
    <row r="254" spans="1:15" x14ac:dyDescent="0.2">
      <c r="A254" s="1">
        <f t="shared" si="3"/>
        <v>1.72</v>
      </c>
      <c r="C254" t="s">
        <v>455</v>
      </c>
      <c r="D254" t="s">
        <v>353</v>
      </c>
      <c r="E254" t="s">
        <v>143</v>
      </c>
      <c r="F254" t="s">
        <v>457</v>
      </c>
      <c r="G254" t="s">
        <v>458</v>
      </c>
      <c r="H254" t="s">
        <v>143</v>
      </c>
      <c r="I254" t="s">
        <v>142</v>
      </c>
      <c r="J254" s="2">
        <v>46283</v>
      </c>
      <c r="K254" s="1">
        <v>1.72</v>
      </c>
    </row>
    <row r="255" spans="1:15" x14ac:dyDescent="0.2">
      <c r="A255" s="1">
        <f t="shared" si="3"/>
        <v>12.49</v>
      </c>
      <c r="C255" t="s">
        <v>455</v>
      </c>
      <c r="D255" t="s">
        <v>353</v>
      </c>
      <c r="E255" t="s">
        <v>597</v>
      </c>
      <c r="F255" t="s">
        <v>457</v>
      </c>
      <c r="G255" t="s">
        <v>458</v>
      </c>
      <c r="H255" t="s">
        <v>71</v>
      </c>
      <c r="I255" t="s">
        <v>70</v>
      </c>
      <c r="J255" s="2">
        <v>46283</v>
      </c>
      <c r="K255" s="1">
        <v>12.49</v>
      </c>
    </row>
    <row r="256" spans="1:15" x14ac:dyDescent="0.2">
      <c r="A256" s="1">
        <f t="shared" si="3"/>
        <v>12.99</v>
      </c>
      <c r="C256" t="s">
        <v>455</v>
      </c>
      <c r="D256" t="s">
        <v>353</v>
      </c>
      <c r="E256" t="s">
        <v>598</v>
      </c>
      <c r="F256" t="s">
        <v>353</v>
      </c>
      <c r="G256" t="s">
        <v>458</v>
      </c>
      <c r="H256" t="s">
        <v>41</v>
      </c>
      <c r="I256" t="s">
        <v>34</v>
      </c>
      <c r="J256" s="2">
        <v>46283</v>
      </c>
      <c r="K256" s="1">
        <v>12.99</v>
      </c>
    </row>
    <row r="257" spans="1:13" x14ac:dyDescent="0.2">
      <c r="A257" s="1">
        <f t="shared" si="3"/>
        <v>10.99</v>
      </c>
      <c r="C257" t="s">
        <v>455</v>
      </c>
      <c r="D257" t="s">
        <v>353</v>
      </c>
      <c r="E257" t="s">
        <v>599</v>
      </c>
      <c r="F257" t="s">
        <v>457</v>
      </c>
      <c r="G257" t="s">
        <v>458</v>
      </c>
      <c r="H257" t="s">
        <v>327</v>
      </c>
      <c r="I257" t="s">
        <v>320</v>
      </c>
      <c r="J257" s="2">
        <v>46283</v>
      </c>
      <c r="K257" s="1">
        <v>10.99</v>
      </c>
    </row>
    <row r="258" spans="1:13" x14ac:dyDescent="0.2">
      <c r="A258" s="1">
        <f t="shared" ref="A258:A266" si="4">SUM(K258,M258,O258,Q258,S258,U258)</f>
        <v>6.99</v>
      </c>
      <c r="C258" t="s">
        <v>455</v>
      </c>
      <c r="D258" t="s">
        <v>353</v>
      </c>
      <c r="E258" t="s">
        <v>600</v>
      </c>
      <c r="F258" t="s">
        <v>457</v>
      </c>
      <c r="G258" t="s">
        <v>458</v>
      </c>
      <c r="H258" t="s">
        <v>72</v>
      </c>
      <c r="I258" t="s">
        <v>70</v>
      </c>
      <c r="J258" s="2">
        <v>46283</v>
      </c>
      <c r="K258" s="1">
        <v>6.99</v>
      </c>
    </row>
    <row r="259" spans="1:13" x14ac:dyDescent="0.2">
      <c r="A259" s="1">
        <f t="shared" si="4"/>
        <v>3.99</v>
      </c>
      <c r="C259" t="s">
        <v>455</v>
      </c>
      <c r="D259" t="s">
        <v>353</v>
      </c>
      <c r="E259" t="s">
        <v>601</v>
      </c>
      <c r="F259" t="s">
        <v>396</v>
      </c>
      <c r="G259" t="s">
        <v>458</v>
      </c>
      <c r="H259" t="s">
        <v>52</v>
      </c>
      <c r="I259" t="s">
        <v>51</v>
      </c>
      <c r="J259" s="2">
        <v>46283</v>
      </c>
      <c r="K259" s="1">
        <v>3.99</v>
      </c>
    </row>
    <row r="260" spans="1:13" x14ac:dyDescent="0.2">
      <c r="A260" s="1">
        <f t="shared" si="4"/>
        <v>0.78</v>
      </c>
      <c r="C260" t="s">
        <v>455</v>
      </c>
      <c r="D260" t="s">
        <v>353</v>
      </c>
      <c r="E260" t="s">
        <v>135</v>
      </c>
      <c r="F260" t="s">
        <v>396</v>
      </c>
      <c r="G260" t="s">
        <v>458</v>
      </c>
      <c r="H260" t="s">
        <v>135</v>
      </c>
      <c r="I260" t="s">
        <v>130</v>
      </c>
      <c r="J260" s="2">
        <v>46283</v>
      </c>
      <c r="K260" s="1">
        <v>0.78</v>
      </c>
    </row>
    <row r="261" spans="1:13" x14ac:dyDescent="0.2">
      <c r="A261" s="1">
        <f t="shared" si="4"/>
        <v>6.69</v>
      </c>
      <c r="C261" t="s">
        <v>455</v>
      </c>
      <c r="D261" t="s">
        <v>353</v>
      </c>
      <c r="E261" t="s">
        <v>602</v>
      </c>
      <c r="F261" t="s">
        <v>457</v>
      </c>
      <c r="G261" t="s">
        <v>603</v>
      </c>
      <c r="H261" t="s">
        <v>92</v>
      </c>
      <c r="I261" t="s">
        <v>91</v>
      </c>
      <c r="J261" s="2">
        <v>46284</v>
      </c>
      <c r="K261" s="1">
        <v>6.69</v>
      </c>
    </row>
    <row r="262" spans="1:13" x14ac:dyDescent="0.2">
      <c r="A262" s="1">
        <f t="shared" si="4"/>
        <v>10</v>
      </c>
      <c r="C262" t="s">
        <v>455</v>
      </c>
      <c r="D262" t="s">
        <v>353</v>
      </c>
      <c r="E262" t="s">
        <v>604</v>
      </c>
      <c r="F262" t="s">
        <v>457</v>
      </c>
      <c r="G262" t="s">
        <v>603</v>
      </c>
      <c r="H262" t="s">
        <v>272</v>
      </c>
      <c r="I262" t="s">
        <v>271</v>
      </c>
      <c r="J262" s="2">
        <v>46284</v>
      </c>
      <c r="K262" s="1">
        <v>5</v>
      </c>
      <c r="L262" s="2">
        <v>46284</v>
      </c>
      <c r="M262" s="1">
        <v>5</v>
      </c>
    </row>
    <row r="263" spans="1:13" x14ac:dyDescent="0.2">
      <c r="A263" s="1">
        <f t="shared" si="4"/>
        <v>5.78</v>
      </c>
      <c r="C263" t="s">
        <v>455</v>
      </c>
      <c r="D263" t="s">
        <v>353</v>
      </c>
      <c r="E263" t="s">
        <v>605</v>
      </c>
      <c r="F263" t="s">
        <v>457</v>
      </c>
      <c r="G263" t="s">
        <v>603</v>
      </c>
      <c r="H263" t="s">
        <v>68</v>
      </c>
      <c r="I263" t="s">
        <v>67</v>
      </c>
      <c r="J263" s="2">
        <v>46284</v>
      </c>
      <c r="K263" s="1">
        <v>2.89</v>
      </c>
      <c r="L263" s="2">
        <v>46284</v>
      </c>
      <c r="M263" s="1">
        <v>2.89</v>
      </c>
    </row>
    <row r="264" spans="1:13" x14ac:dyDescent="0.2">
      <c r="A264" s="1">
        <f t="shared" si="4"/>
        <v>4.25</v>
      </c>
      <c r="C264" t="s">
        <v>455</v>
      </c>
      <c r="D264" t="s">
        <v>353</v>
      </c>
      <c r="E264" t="s">
        <v>606</v>
      </c>
      <c r="F264" t="s">
        <v>457</v>
      </c>
      <c r="G264" t="s">
        <v>603</v>
      </c>
      <c r="H264" t="s">
        <v>254</v>
      </c>
      <c r="I264" t="s">
        <v>252</v>
      </c>
      <c r="J264" s="2">
        <v>46284</v>
      </c>
      <c r="K264" s="1">
        <v>4.25</v>
      </c>
    </row>
    <row r="265" spans="1:13" x14ac:dyDescent="0.2">
      <c r="A265" s="1">
        <f t="shared" si="4"/>
        <v>46.79</v>
      </c>
      <c r="C265" t="s">
        <v>607</v>
      </c>
      <c r="D265" t="s">
        <v>353</v>
      </c>
      <c r="E265" t="s">
        <v>608</v>
      </c>
      <c r="F265" t="s">
        <v>353</v>
      </c>
      <c r="G265" t="s">
        <v>355</v>
      </c>
      <c r="H265" t="s">
        <v>40</v>
      </c>
      <c r="I265" t="s">
        <v>34</v>
      </c>
      <c r="J265" s="2">
        <v>46285</v>
      </c>
      <c r="K265">
        <v>46.79</v>
      </c>
    </row>
    <row r="266" spans="1:13" x14ac:dyDescent="0.2">
      <c r="A266" s="1">
        <f t="shared" si="4"/>
        <v>-144.13999999999999</v>
      </c>
      <c r="C266" t="s">
        <v>352</v>
      </c>
      <c r="D266" t="s">
        <v>353</v>
      </c>
      <c r="E266" t="s">
        <v>93</v>
      </c>
      <c r="F266" t="s">
        <v>353</v>
      </c>
      <c r="G266" t="s">
        <v>355</v>
      </c>
      <c r="H266" t="s">
        <v>93</v>
      </c>
      <c r="I266" t="s">
        <v>94</v>
      </c>
      <c r="J266" s="2">
        <v>46278</v>
      </c>
      <c r="K266" s="1">
        <v>-144.13999999999999</v>
      </c>
    </row>
  </sheetData>
  <autoFilter ref="A1:U26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0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27" width="34" customWidth="1"/>
  </cols>
  <sheetData>
    <row r="1" spans="1:27" ht="24" customHeight="1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</row>
    <row r="2" spans="1:27" ht="36" customHeight="1" x14ac:dyDescent="0.2">
      <c r="A2" s="28" t="s">
        <v>27</v>
      </c>
      <c r="B2" s="28" t="s">
        <v>28</v>
      </c>
      <c r="C2" s="29" t="s">
        <v>29</v>
      </c>
      <c r="D2" s="29" t="s">
        <v>30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36" customHeight="1" x14ac:dyDescent="0.2">
      <c r="A3" s="30" t="s">
        <v>31</v>
      </c>
      <c r="B3" s="30" t="s">
        <v>32</v>
      </c>
      <c r="C3" s="31" t="s">
        <v>33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36" customHeight="1" x14ac:dyDescent="0.2">
      <c r="A4" s="32" t="s">
        <v>34</v>
      </c>
      <c r="B4" s="32" t="s">
        <v>35</v>
      </c>
      <c r="C4" s="33" t="s">
        <v>36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spans="1:27" ht="36" customHeight="1" x14ac:dyDescent="0.2">
      <c r="A5" s="34" t="s">
        <v>34</v>
      </c>
      <c r="B5" s="34" t="s">
        <v>34</v>
      </c>
      <c r="C5" s="35" t="s">
        <v>37</v>
      </c>
      <c r="D5" s="35" t="s">
        <v>38</v>
      </c>
      <c r="E5" s="35" t="s">
        <v>39</v>
      </c>
      <c r="F5" s="35" t="s">
        <v>40</v>
      </c>
      <c r="G5" s="35" t="s">
        <v>41</v>
      </c>
      <c r="H5" s="35" t="s">
        <v>42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spans="1:27" ht="36" customHeight="1" x14ac:dyDescent="0.2">
      <c r="A6" s="36" t="s">
        <v>31</v>
      </c>
      <c r="B6" s="36" t="s">
        <v>43</v>
      </c>
      <c r="C6" s="37" t="s">
        <v>44</v>
      </c>
      <c r="D6" s="37" t="s">
        <v>45</v>
      </c>
      <c r="E6" s="37" t="s">
        <v>46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27" ht="36" customHeight="1" x14ac:dyDescent="0.2">
      <c r="A7" s="38" t="s">
        <v>47</v>
      </c>
      <c r="B7" s="38" t="s">
        <v>48</v>
      </c>
      <c r="C7" s="39" t="s">
        <v>49</v>
      </c>
      <c r="D7" s="39" t="s">
        <v>50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27" ht="36" customHeight="1" x14ac:dyDescent="0.2">
      <c r="A8" s="28" t="s">
        <v>51</v>
      </c>
      <c r="B8" s="28" t="s">
        <v>51</v>
      </c>
      <c r="C8" s="29" t="s">
        <v>52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36" customHeight="1" x14ac:dyDescent="0.2">
      <c r="A9" s="30" t="s">
        <v>53</v>
      </c>
      <c r="B9" s="30" t="s">
        <v>54</v>
      </c>
      <c r="C9" s="31" t="s">
        <v>55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36" customHeight="1" x14ac:dyDescent="0.2">
      <c r="A10" s="32" t="s">
        <v>56</v>
      </c>
      <c r="B10" s="32" t="s">
        <v>57</v>
      </c>
      <c r="C10" s="33" t="s">
        <v>58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ht="36" customHeight="1" x14ac:dyDescent="0.2">
      <c r="A11" s="34" t="s">
        <v>59</v>
      </c>
      <c r="B11" s="34" t="s">
        <v>60</v>
      </c>
      <c r="C11" s="35" t="s">
        <v>61</v>
      </c>
      <c r="D11" s="35" t="s">
        <v>62</v>
      </c>
      <c r="E11" s="35" t="s">
        <v>63</v>
      </c>
      <c r="F11" s="35" t="s">
        <v>64</v>
      </c>
      <c r="G11" s="35" t="s">
        <v>65</v>
      </c>
      <c r="H11" s="35" t="s">
        <v>66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spans="1:27" ht="36" customHeight="1" x14ac:dyDescent="0.2">
      <c r="A12" s="36" t="s">
        <v>31</v>
      </c>
      <c r="B12" s="36" t="s">
        <v>67</v>
      </c>
      <c r="C12" s="37" t="s">
        <v>68</v>
      </c>
      <c r="D12" s="37" t="s">
        <v>69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 ht="36" customHeight="1" x14ac:dyDescent="0.2">
      <c r="A13" s="38" t="s">
        <v>70</v>
      </c>
      <c r="B13" s="38" t="s">
        <v>70</v>
      </c>
      <c r="C13" s="39" t="s">
        <v>71</v>
      </c>
      <c r="D13" s="39" t="s">
        <v>72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ht="36" customHeight="1" x14ac:dyDescent="0.2">
      <c r="A14" s="28" t="s">
        <v>31</v>
      </c>
      <c r="B14" s="28" t="s">
        <v>73</v>
      </c>
      <c r="C14" s="29" t="s">
        <v>74</v>
      </c>
      <c r="D14" s="29" t="s">
        <v>75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36" customHeight="1" x14ac:dyDescent="0.2">
      <c r="A15" s="30" t="s">
        <v>31</v>
      </c>
      <c r="B15" s="30" t="s">
        <v>76</v>
      </c>
      <c r="C15" s="31" t="s">
        <v>77</v>
      </c>
      <c r="D15" s="31" t="s">
        <v>78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36" customHeight="1" x14ac:dyDescent="0.2">
      <c r="A16" s="32" t="s">
        <v>79</v>
      </c>
      <c r="B16" s="32" t="s">
        <v>80</v>
      </c>
      <c r="C16" s="33" t="s">
        <v>81</v>
      </c>
      <c r="D16" s="33" t="s">
        <v>82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1:27" ht="36" customHeight="1" x14ac:dyDescent="0.2">
      <c r="A17" s="34" t="s">
        <v>83</v>
      </c>
      <c r="B17" s="34" t="s">
        <v>84</v>
      </c>
      <c r="C17" s="35" t="s">
        <v>85</v>
      </c>
      <c r="D17" s="35" t="s">
        <v>86</v>
      </c>
      <c r="E17" s="35" t="s">
        <v>87</v>
      </c>
      <c r="F17" s="35" t="s">
        <v>88</v>
      </c>
      <c r="G17" s="35" t="s">
        <v>89</v>
      </c>
      <c r="H17" s="35" t="s">
        <v>90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spans="1:27" ht="36" customHeight="1" x14ac:dyDescent="0.2">
      <c r="A18" s="36" t="s">
        <v>83</v>
      </c>
      <c r="B18" s="36" t="s">
        <v>91</v>
      </c>
      <c r="C18" s="37" t="s">
        <v>92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spans="1:27" ht="36" customHeight="1" x14ac:dyDescent="0.2">
      <c r="A19" s="38" t="s">
        <v>93</v>
      </c>
      <c r="B19" s="38" t="s">
        <v>94</v>
      </c>
      <c r="C19" s="39" t="s">
        <v>93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ht="36" customHeight="1" x14ac:dyDescent="0.2">
      <c r="A20" s="28" t="s">
        <v>47</v>
      </c>
      <c r="B20" s="28" t="s">
        <v>95</v>
      </c>
      <c r="C20" s="29" t="s">
        <v>96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36" customHeight="1" x14ac:dyDescent="0.2">
      <c r="A21" s="30" t="s">
        <v>31</v>
      </c>
      <c r="B21" s="30" t="s">
        <v>97</v>
      </c>
      <c r="C21" s="31" t="s">
        <v>98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t="36" customHeight="1" x14ac:dyDescent="0.2">
      <c r="A22" s="32" t="s">
        <v>83</v>
      </c>
      <c r="B22" s="32" t="s">
        <v>99</v>
      </c>
      <c r="C22" s="33" t="s">
        <v>100</v>
      </c>
      <c r="D22" s="33" t="s">
        <v>101</v>
      </c>
      <c r="E22" s="33" t="s">
        <v>102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1:27" ht="36" customHeight="1" x14ac:dyDescent="0.2">
      <c r="A23" s="34" t="s">
        <v>83</v>
      </c>
      <c r="B23" s="34" t="s">
        <v>103</v>
      </c>
      <c r="C23" s="35" t="s">
        <v>104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36" customHeight="1" x14ac:dyDescent="0.2">
      <c r="A24" s="36" t="s">
        <v>31</v>
      </c>
      <c r="B24" s="36" t="s">
        <v>105</v>
      </c>
      <c r="C24" s="37" t="s">
        <v>106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spans="1:27" ht="36" customHeight="1" x14ac:dyDescent="0.2">
      <c r="A25" s="38" t="s">
        <v>107</v>
      </c>
      <c r="B25" s="38" t="s">
        <v>108</v>
      </c>
      <c r="C25" s="39" t="s">
        <v>109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36" customHeight="1" x14ac:dyDescent="0.2">
      <c r="A26" s="28" t="s">
        <v>56</v>
      </c>
      <c r="B26" s="28" t="s">
        <v>110</v>
      </c>
      <c r="C26" s="29" t="s">
        <v>111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36" customHeight="1" x14ac:dyDescent="0.2">
      <c r="A27" s="30" t="s">
        <v>112</v>
      </c>
      <c r="B27" s="30" t="s">
        <v>113</v>
      </c>
      <c r="C27" s="31" t="s">
        <v>114</v>
      </c>
      <c r="D27" s="31" t="s">
        <v>115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36" customHeight="1" x14ac:dyDescent="0.2">
      <c r="A28" s="32" t="s">
        <v>56</v>
      </c>
      <c r="B28" s="32" t="s">
        <v>116</v>
      </c>
      <c r="C28" s="33" t="s">
        <v>117</v>
      </c>
      <c r="D28" s="33" t="s">
        <v>118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1:27" ht="36" customHeight="1" x14ac:dyDescent="0.2">
      <c r="A29" s="34" t="s">
        <v>56</v>
      </c>
      <c r="B29" s="34" t="s">
        <v>119</v>
      </c>
      <c r="C29" s="35" t="s">
        <v>120</v>
      </c>
      <c r="D29" s="35" t="s">
        <v>121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1:27" ht="36" customHeight="1" x14ac:dyDescent="0.2">
      <c r="A30" s="36" t="s">
        <v>122</v>
      </c>
      <c r="B30" s="36" t="s">
        <v>123</v>
      </c>
      <c r="C30" s="37" t="s">
        <v>124</v>
      </c>
      <c r="D30" s="37" t="s">
        <v>125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spans="1:27" ht="36" customHeight="1" x14ac:dyDescent="0.2">
      <c r="A31" s="38" t="s">
        <v>126</v>
      </c>
      <c r="B31" s="38" t="s">
        <v>126</v>
      </c>
      <c r="C31" s="39" t="s">
        <v>127</v>
      </c>
      <c r="D31" s="39" t="s">
        <v>128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36" customHeight="1" x14ac:dyDescent="0.2">
      <c r="A32" s="28" t="s">
        <v>129</v>
      </c>
      <c r="B32" s="28" t="s">
        <v>130</v>
      </c>
      <c r="C32" s="29" t="s">
        <v>131</v>
      </c>
      <c r="D32" s="29" t="s">
        <v>132</v>
      </c>
      <c r="E32" s="29" t="s">
        <v>133</v>
      </c>
      <c r="F32" s="29" t="s">
        <v>134</v>
      </c>
      <c r="G32" s="29" t="s">
        <v>135</v>
      </c>
      <c r="H32" s="29" t="s">
        <v>136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ht="36" customHeight="1" x14ac:dyDescent="0.2">
      <c r="A33" s="30" t="s">
        <v>56</v>
      </c>
      <c r="B33" s="30" t="s">
        <v>137</v>
      </c>
      <c r="C33" s="31" t="s">
        <v>138</v>
      </c>
      <c r="D33" s="31" t="s">
        <v>139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36" customHeight="1" x14ac:dyDescent="0.2">
      <c r="A34" s="32" t="s">
        <v>107</v>
      </c>
      <c r="B34" s="32" t="s">
        <v>140</v>
      </c>
      <c r="C34" s="33" t="s">
        <v>141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1:27" ht="36" customHeight="1" x14ac:dyDescent="0.2">
      <c r="A35" s="34" t="s">
        <v>122</v>
      </c>
      <c r="B35" s="34" t="s">
        <v>142</v>
      </c>
      <c r="C35" s="35" t="s">
        <v>143</v>
      </c>
      <c r="D35" s="35" t="s">
        <v>144</v>
      </c>
      <c r="E35" s="35" t="s">
        <v>145</v>
      </c>
      <c r="F35" s="35" t="s">
        <v>146</v>
      </c>
      <c r="G35" s="35" t="s">
        <v>147</v>
      </c>
      <c r="H35" s="35" t="s">
        <v>148</v>
      </c>
      <c r="I35" s="35" t="s">
        <v>149</v>
      </c>
      <c r="J35" s="35" t="s">
        <v>150</v>
      </c>
      <c r="K35" s="35" t="s">
        <v>151</v>
      </c>
      <c r="L35" s="35" t="s">
        <v>152</v>
      </c>
      <c r="M35" s="35" t="s">
        <v>153</v>
      </c>
      <c r="N35" s="35" t="s">
        <v>154</v>
      </c>
      <c r="O35" s="35" t="s">
        <v>155</v>
      </c>
      <c r="P35" s="35" t="s">
        <v>156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spans="1:27" ht="36" customHeight="1" x14ac:dyDescent="0.2">
      <c r="A36" s="36" t="s">
        <v>122</v>
      </c>
      <c r="B36" s="36" t="s">
        <v>157</v>
      </c>
      <c r="C36" s="37" t="s">
        <v>158</v>
      </c>
      <c r="D36" s="37" t="s">
        <v>159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1:27" ht="36" customHeight="1" x14ac:dyDescent="0.2">
      <c r="A37" s="38" t="s">
        <v>107</v>
      </c>
      <c r="B37" s="38" t="s">
        <v>160</v>
      </c>
      <c r="C37" s="39" t="s">
        <v>161</v>
      </c>
      <c r="D37" s="39" t="s">
        <v>162</v>
      </c>
      <c r="E37" s="39" t="s">
        <v>163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7" ht="36" customHeight="1" x14ac:dyDescent="0.2">
      <c r="A38" s="28" t="s">
        <v>164</v>
      </c>
      <c r="B38" s="28" t="s">
        <v>165</v>
      </c>
      <c r="C38" s="29" t="s">
        <v>166</v>
      </c>
      <c r="D38" s="29" t="s">
        <v>167</v>
      </c>
      <c r="E38" s="29" t="s">
        <v>168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27" ht="36" customHeight="1" x14ac:dyDescent="0.2">
      <c r="A39" s="30" t="s">
        <v>122</v>
      </c>
      <c r="B39" s="30" t="s">
        <v>169</v>
      </c>
      <c r="C39" s="31" t="s">
        <v>170</v>
      </c>
      <c r="D39" s="31" t="s">
        <v>171</v>
      </c>
      <c r="E39" s="31" t="s">
        <v>172</v>
      </c>
      <c r="F39" s="31" t="s">
        <v>173</v>
      </c>
      <c r="G39" s="31" t="s">
        <v>174</v>
      </c>
      <c r="H39" s="31" t="s">
        <v>175</v>
      </c>
      <c r="I39" s="31" t="s">
        <v>176</v>
      </c>
      <c r="J39" s="31" t="s">
        <v>177</v>
      </c>
      <c r="K39" s="31" t="s">
        <v>178</v>
      </c>
      <c r="L39" s="31" t="s">
        <v>179</v>
      </c>
      <c r="M39" s="31" t="s">
        <v>180</v>
      </c>
      <c r="N39" s="31" t="s">
        <v>181</v>
      </c>
      <c r="O39" s="31" t="s">
        <v>182</v>
      </c>
      <c r="P39" s="31" t="s">
        <v>183</v>
      </c>
      <c r="Q39" s="31" t="s">
        <v>184</v>
      </c>
      <c r="R39" s="31" t="s">
        <v>185</v>
      </c>
      <c r="S39" s="31" t="s">
        <v>186</v>
      </c>
      <c r="T39" s="31" t="s">
        <v>187</v>
      </c>
      <c r="U39" s="31" t="s">
        <v>188</v>
      </c>
      <c r="V39" s="31" t="s">
        <v>189</v>
      </c>
      <c r="W39" s="31" t="s">
        <v>190</v>
      </c>
      <c r="X39" s="31" t="s">
        <v>191</v>
      </c>
      <c r="Y39" s="31" t="s">
        <v>192</v>
      </c>
      <c r="Z39" s="31" t="s">
        <v>193</v>
      </c>
      <c r="AA39" s="31" t="s">
        <v>194</v>
      </c>
    </row>
    <row r="40" spans="1:27" ht="36" customHeight="1" x14ac:dyDescent="0.2">
      <c r="A40" s="32" t="s">
        <v>122</v>
      </c>
      <c r="B40" s="32" t="s">
        <v>195</v>
      </c>
      <c r="C40" s="33" t="s">
        <v>196</v>
      </c>
      <c r="D40" s="33" t="s">
        <v>197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7" ht="36" customHeight="1" x14ac:dyDescent="0.2">
      <c r="A41" s="34" t="s">
        <v>198</v>
      </c>
      <c r="B41" s="34" t="s">
        <v>199</v>
      </c>
      <c r="C41" s="35" t="s">
        <v>200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1:27" ht="36" customHeight="1" x14ac:dyDescent="0.2">
      <c r="A42" s="36" t="s">
        <v>201</v>
      </c>
      <c r="B42" s="36" t="s">
        <v>202</v>
      </c>
      <c r="C42" s="37" t="s">
        <v>203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1:27" ht="36" customHeight="1" x14ac:dyDescent="0.2">
      <c r="A43" s="38" t="s">
        <v>47</v>
      </c>
      <c r="B43" s="38" t="s">
        <v>204</v>
      </c>
      <c r="C43" s="39" t="s">
        <v>205</v>
      </c>
      <c r="D43" s="39" t="s">
        <v>206</v>
      </c>
      <c r="E43" s="39" t="s">
        <v>207</v>
      </c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ht="36" customHeight="1" x14ac:dyDescent="0.2">
      <c r="A44" s="28" t="s">
        <v>107</v>
      </c>
      <c r="B44" s="28" t="s">
        <v>208</v>
      </c>
      <c r="C44" s="29" t="s">
        <v>209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ht="36" customHeight="1" x14ac:dyDescent="0.2">
      <c r="A45" s="30" t="s">
        <v>198</v>
      </c>
      <c r="B45" s="30" t="s">
        <v>210</v>
      </c>
      <c r="C45" s="31" t="s">
        <v>211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36" customHeight="1" x14ac:dyDescent="0.2">
      <c r="A46" s="32" t="s">
        <v>198</v>
      </c>
      <c r="B46" s="32" t="s">
        <v>212</v>
      </c>
      <c r="C46" s="33" t="s">
        <v>213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1:27" ht="36" customHeight="1" x14ac:dyDescent="0.2">
      <c r="A47" s="34" t="s">
        <v>27</v>
      </c>
      <c r="B47" s="34" t="s">
        <v>214</v>
      </c>
      <c r="C47" s="35" t="s">
        <v>215</v>
      </c>
      <c r="D47" s="35" t="s">
        <v>216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27" ht="36" customHeight="1" x14ac:dyDescent="0.2">
      <c r="A48" s="36" t="s">
        <v>56</v>
      </c>
      <c r="B48" s="36" t="s">
        <v>217</v>
      </c>
      <c r="C48" s="37" t="s">
        <v>218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1:27" ht="36" customHeight="1" x14ac:dyDescent="0.2">
      <c r="A49" s="38" t="s">
        <v>219</v>
      </c>
      <c r="B49" s="38" t="s">
        <v>219</v>
      </c>
      <c r="C49" s="39" t="s">
        <v>220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1:27" ht="36" customHeight="1" x14ac:dyDescent="0.2">
      <c r="A50" s="28" t="s">
        <v>107</v>
      </c>
      <c r="B50" s="28" t="s">
        <v>221</v>
      </c>
      <c r="C50" s="29" t="s">
        <v>222</v>
      </c>
      <c r="D50" s="29" t="s">
        <v>223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36" customHeight="1" x14ac:dyDescent="0.2">
      <c r="A51" s="30" t="s">
        <v>56</v>
      </c>
      <c r="B51" s="30" t="s">
        <v>224</v>
      </c>
      <c r="C51" s="31" t="s">
        <v>225</v>
      </c>
      <c r="D51" s="31" t="s">
        <v>226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ht="36" customHeight="1" x14ac:dyDescent="0.2">
      <c r="A52" s="32" t="s">
        <v>31</v>
      </c>
      <c r="B52" s="32" t="s">
        <v>227</v>
      </c>
      <c r="C52" s="33" t="s">
        <v>228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spans="1:27" ht="36" customHeight="1" x14ac:dyDescent="0.2">
      <c r="A53" s="34" t="s">
        <v>229</v>
      </c>
      <c r="B53" s="34" t="s">
        <v>230</v>
      </c>
      <c r="C53" s="35" t="s">
        <v>231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1:27" ht="36" customHeight="1" x14ac:dyDescent="0.2">
      <c r="A54" s="36" t="s">
        <v>31</v>
      </c>
      <c r="B54" s="36" t="s">
        <v>232</v>
      </c>
      <c r="C54" s="37" t="s">
        <v>233</v>
      </c>
      <c r="D54" s="37" t="s">
        <v>234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1:27" ht="36" customHeight="1" x14ac:dyDescent="0.2">
      <c r="A55" s="38" t="s">
        <v>83</v>
      </c>
      <c r="B55" s="38" t="s">
        <v>235</v>
      </c>
      <c r="C55" s="39" t="s">
        <v>236</v>
      </c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1:27" ht="36" customHeight="1" x14ac:dyDescent="0.2">
      <c r="A56" s="28" t="s">
        <v>59</v>
      </c>
      <c r="B56" s="28" t="s">
        <v>237</v>
      </c>
      <c r="C56" s="29" t="s">
        <v>238</v>
      </c>
      <c r="D56" s="29" t="s">
        <v>239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 ht="36" customHeight="1" x14ac:dyDescent="0.2">
      <c r="A57" s="30" t="s">
        <v>56</v>
      </c>
      <c r="B57" s="30" t="s">
        <v>240</v>
      </c>
      <c r="C57" s="31" t="s">
        <v>241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ht="36" customHeight="1" x14ac:dyDescent="0.2">
      <c r="A58" s="32" t="s">
        <v>31</v>
      </c>
      <c r="B58" s="32" t="s">
        <v>242</v>
      </c>
      <c r="C58" s="33" t="s">
        <v>243</v>
      </c>
      <c r="D58" s="33" t="s">
        <v>244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spans="1:27" ht="36" customHeight="1" x14ac:dyDescent="0.2">
      <c r="A59" s="34" t="s">
        <v>31</v>
      </c>
      <c r="B59" s="34" t="s">
        <v>245</v>
      </c>
      <c r="C59" s="35" t="s">
        <v>246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1:27" ht="36" customHeight="1" x14ac:dyDescent="0.2">
      <c r="A60" s="36" t="s">
        <v>83</v>
      </c>
      <c r="B60" s="36" t="s">
        <v>247</v>
      </c>
      <c r="C60" s="37" t="s">
        <v>248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1:27" ht="36" customHeight="1" x14ac:dyDescent="0.2">
      <c r="A61" s="38" t="s">
        <v>83</v>
      </c>
      <c r="B61" s="38" t="s">
        <v>249</v>
      </c>
      <c r="C61" s="39" t="s">
        <v>250</v>
      </c>
      <c r="D61" s="39" t="s">
        <v>251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ht="36" customHeight="1" x14ac:dyDescent="0.2">
      <c r="A62" s="28" t="s">
        <v>31</v>
      </c>
      <c r="B62" s="28" t="s">
        <v>252</v>
      </c>
      <c r="C62" s="29" t="s">
        <v>253</v>
      </c>
      <c r="D62" s="29" t="s">
        <v>254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 ht="36" customHeight="1" x14ac:dyDescent="0.2">
      <c r="A63" s="30" t="s">
        <v>255</v>
      </c>
      <c r="B63" s="30" t="s">
        <v>256</v>
      </c>
      <c r="C63" s="31" t="s">
        <v>257</v>
      </c>
      <c r="D63" s="31" t="s">
        <v>258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36" customHeight="1" x14ac:dyDescent="0.2">
      <c r="A64" s="32" t="s">
        <v>255</v>
      </c>
      <c r="B64" s="32" t="s">
        <v>259</v>
      </c>
      <c r="C64" s="33" t="s">
        <v>260</v>
      </c>
      <c r="D64" s="33" t="s">
        <v>261</v>
      </c>
      <c r="E64" s="33" t="s">
        <v>262</v>
      </c>
      <c r="F64" s="33" t="s">
        <v>263</v>
      </c>
      <c r="G64" s="33" t="s">
        <v>264</v>
      </c>
      <c r="H64" s="33" t="s">
        <v>265</v>
      </c>
      <c r="I64" s="33" t="s">
        <v>266</v>
      </c>
      <c r="J64" s="33" t="s">
        <v>267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spans="1:27" ht="36" customHeight="1" x14ac:dyDescent="0.2">
      <c r="A65" s="34" t="s">
        <v>47</v>
      </c>
      <c r="B65" s="34" t="s">
        <v>268</v>
      </c>
      <c r="C65" s="35" t="s">
        <v>269</v>
      </c>
      <c r="D65" s="35" t="s">
        <v>270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1:27" ht="36" customHeight="1" x14ac:dyDescent="0.2">
      <c r="A66" s="36" t="s">
        <v>31</v>
      </c>
      <c r="B66" s="36" t="s">
        <v>271</v>
      </c>
      <c r="C66" s="37" t="s">
        <v>272</v>
      </c>
      <c r="D66" s="37" t="s">
        <v>273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1:27" ht="36" customHeight="1" x14ac:dyDescent="0.2">
      <c r="A67" s="38" t="s">
        <v>31</v>
      </c>
      <c r="B67" s="38" t="s">
        <v>274</v>
      </c>
      <c r="C67" s="39" t="s">
        <v>275</v>
      </c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spans="1:27" ht="36" customHeight="1" x14ac:dyDescent="0.2">
      <c r="A68" s="28" t="s">
        <v>31</v>
      </c>
      <c r="B68" s="28" t="s">
        <v>276</v>
      </c>
      <c r="C68" s="29" t="s">
        <v>277</v>
      </c>
      <c r="D68" s="29" t="s">
        <v>278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 ht="36" customHeight="1" x14ac:dyDescent="0.2">
      <c r="A69" s="30" t="s">
        <v>31</v>
      </c>
      <c r="B69" s="30" t="s">
        <v>279</v>
      </c>
      <c r="C69" s="31" t="s">
        <v>280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ht="36" customHeight="1" x14ac:dyDescent="0.2">
      <c r="A70" s="32" t="s">
        <v>122</v>
      </c>
      <c r="B70" s="32" t="s">
        <v>281</v>
      </c>
      <c r="C70" s="33" t="s">
        <v>282</v>
      </c>
      <c r="D70" s="33" t="s">
        <v>283</v>
      </c>
      <c r="E70" s="33" t="s">
        <v>284</v>
      </c>
      <c r="F70" s="33" t="s">
        <v>285</v>
      </c>
      <c r="G70" s="33" t="s">
        <v>286</v>
      </c>
      <c r="H70" s="33" t="s">
        <v>287</v>
      </c>
      <c r="I70" s="33" t="s">
        <v>288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spans="1:27" ht="36" customHeight="1" x14ac:dyDescent="0.2">
      <c r="A71" s="34" t="s">
        <v>112</v>
      </c>
      <c r="B71" s="34" t="s">
        <v>289</v>
      </c>
      <c r="C71" s="35" t="s">
        <v>290</v>
      </c>
      <c r="D71" s="35" t="s">
        <v>291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spans="1:27" ht="36" customHeight="1" x14ac:dyDescent="0.2">
      <c r="A72" s="36" t="s">
        <v>112</v>
      </c>
      <c r="B72" s="36" t="s">
        <v>292</v>
      </c>
      <c r="C72" s="37" t="s">
        <v>293</v>
      </c>
      <c r="D72" s="37" t="s">
        <v>294</v>
      </c>
      <c r="E72" s="37" t="s">
        <v>295</v>
      </c>
      <c r="F72" s="37" t="s">
        <v>296</v>
      </c>
      <c r="G72" s="37" t="s">
        <v>297</v>
      </c>
      <c r="H72" s="37" t="s">
        <v>298</v>
      </c>
      <c r="I72" s="37" t="s">
        <v>299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spans="1:27" ht="36" customHeight="1" x14ac:dyDescent="0.2">
      <c r="A73" s="38" t="s">
        <v>164</v>
      </c>
      <c r="B73" s="38" t="s">
        <v>300</v>
      </c>
      <c r="C73" s="39" t="s">
        <v>301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spans="1:27" ht="36" customHeight="1" x14ac:dyDescent="0.2">
      <c r="A74" s="28" t="s">
        <v>31</v>
      </c>
      <c r="B74" s="28" t="s">
        <v>302</v>
      </c>
      <c r="C74" s="29" t="s">
        <v>303</v>
      </c>
      <c r="D74" s="29" t="s">
        <v>304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ht="36" customHeight="1" x14ac:dyDescent="0.2">
      <c r="A75" s="30" t="s">
        <v>47</v>
      </c>
      <c r="B75" s="30" t="s">
        <v>305</v>
      </c>
      <c r="C75" s="31" t="s">
        <v>306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ht="36" customHeight="1" x14ac:dyDescent="0.2">
      <c r="A76" s="32" t="s">
        <v>83</v>
      </c>
      <c r="B76" s="32" t="s">
        <v>307</v>
      </c>
      <c r="C76" s="33" t="s">
        <v>308</v>
      </c>
      <c r="D76" s="33" t="s">
        <v>309</v>
      </c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spans="1:27" ht="36" customHeight="1" x14ac:dyDescent="0.2">
      <c r="A77" s="34" t="s">
        <v>56</v>
      </c>
      <c r="B77" s="34" t="s">
        <v>310</v>
      </c>
      <c r="C77" s="35" t="s">
        <v>311</v>
      </c>
      <c r="D77" s="35" t="s">
        <v>312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spans="1:27" ht="36" customHeight="1" x14ac:dyDescent="0.2">
      <c r="A78" s="36" t="s">
        <v>313</v>
      </c>
      <c r="B78" s="36" t="s">
        <v>313</v>
      </c>
      <c r="C78" s="37" t="s">
        <v>314</v>
      </c>
      <c r="D78" s="37" t="s">
        <v>315</v>
      </c>
      <c r="E78" s="37" t="s">
        <v>316</v>
      </c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spans="1:27" ht="36" customHeight="1" x14ac:dyDescent="0.2">
      <c r="A79" s="38" t="s">
        <v>317</v>
      </c>
      <c r="B79" s="38" t="s">
        <v>318</v>
      </c>
      <c r="C79" s="39" t="s">
        <v>319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spans="1:27" ht="36" customHeight="1" x14ac:dyDescent="0.2">
      <c r="A80" s="28" t="s">
        <v>83</v>
      </c>
      <c r="B80" s="28" t="s">
        <v>320</v>
      </c>
      <c r="C80" s="29" t="s">
        <v>321</v>
      </c>
      <c r="D80" s="29" t="s">
        <v>322</v>
      </c>
      <c r="E80" s="29" t="s">
        <v>323</v>
      </c>
      <c r="F80" s="29" t="s">
        <v>324</v>
      </c>
      <c r="G80" s="29" t="s">
        <v>325</v>
      </c>
      <c r="H80" s="29" t="s">
        <v>326</v>
      </c>
      <c r="I80" s="29" t="s">
        <v>327</v>
      </c>
      <c r="J80" s="29" t="s">
        <v>328</v>
      </c>
      <c r="K80" s="29" t="s">
        <v>329</v>
      </c>
      <c r="L80" s="29" t="s">
        <v>330</v>
      </c>
      <c r="M80" s="29" t="s">
        <v>331</v>
      </c>
      <c r="N80" s="29" t="s">
        <v>332</v>
      </c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</sheetData>
  <autoFilter ref="A1:AA8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45"/>
  <sheetViews>
    <sheetView showGridLines="0" workbookViewId="0">
      <pane ySplit="6" topLeftCell="A7" activePane="bottomLeft" state="frozen"/>
      <selection pane="bottomLeft" sqref="A1:AG2"/>
    </sheetView>
  </sheetViews>
  <sheetFormatPr baseColWidth="10" defaultColWidth="8.83203125" defaultRowHeight="15" x14ac:dyDescent="0.2"/>
  <cols>
    <col min="1" max="15" width="10" customWidth="1"/>
    <col min="16" max="16" width="2" customWidth="1"/>
    <col min="17" max="17" width="4" customWidth="1"/>
    <col min="18" max="18" width="5" customWidth="1"/>
    <col min="19" max="22" width="15" customWidth="1"/>
    <col min="23" max="23" width="14" customWidth="1"/>
    <col min="24" max="24" width="2" customWidth="1"/>
    <col min="25" max="33" width="13" customWidth="1"/>
  </cols>
  <sheetData>
    <row r="1" spans="1:33" ht="28" customHeight="1" x14ac:dyDescent="0.2">
      <c r="A1" s="67" t="s">
        <v>609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33" ht="28" customHeight="1" x14ac:dyDescent="0.2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</row>
    <row r="4" spans="1:33" x14ac:dyDescent="0.2">
      <c r="A4" s="9" t="s">
        <v>610</v>
      </c>
      <c r="G4" s="9" t="s">
        <v>611</v>
      </c>
      <c r="M4" s="9" t="s">
        <v>612</v>
      </c>
      <c r="T4" s="9" t="s">
        <v>613</v>
      </c>
      <c r="Z4" s="9" t="s">
        <v>614</v>
      </c>
    </row>
    <row r="5" spans="1:33" ht="16" customHeight="1" x14ac:dyDescent="0.2">
      <c r="A5" s="10">
        <v>929.62</v>
      </c>
      <c r="G5" s="11">
        <v>153</v>
      </c>
      <c r="M5" s="11" t="s">
        <v>615</v>
      </c>
      <c r="T5" s="11">
        <v>8</v>
      </c>
      <c r="Z5" s="11">
        <v>20</v>
      </c>
    </row>
    <row r="8" spans="1:33" ht="16" customHeight="1" x14ac:dyDescent="0.2">
      <c r="Q8" s="66" t="s">
        <v>616</v>
      </c>
      <c r="R8" s="64"/>
      <c r="S8" s="64"/>
      <c r="T8" s="64"/>
      <c r="U8" s="64"/>
      <c r="V8" s="64"/>
      <c r="W8" s="64"/>
      <c r="Y8" s="66" t="s">
        <v>617</v>
      </c>
      <c r="Z8" s="64"/>
      <c r="AA8" s="64"/>
      <c r="AB8" s="64"/>
      <c r="AC8" s="64"/>
      <c r="AD8" s="64"/>
      <c r="AE8" s="64"/>
      <c r="AF8" s="64"/>
      <c r="AG8" s="64"/>
    </row>
    <row r="9" spans="1:33" x14ac:dyDescent="0.2">
      <c r="Q9" s="12"/>
      <c r="R9" s="12" t="s">
        <v>618</v>
      </c>
      <c r="S9" s="12" t="s">
        <v>619</v>
      </c>
      <c r="W9" s="12" t="s">
        <v>620</v>
      </c>
    </row>
    <row r="10" spans="1:33" ht="22" customHeight="1" x14ac:dyDescent="0.2">
      <c r="Q10" s="13"/>
      <c r="R10" s="14">
        <v>1</v>
      </c>
      <c r="S10" s="63" t="s">
        <v>621</v>
      </c>
      <c r="T10" s="64"/>
      <c r="U10" s="64"/>
      <c r="V10" s="64"/>
      <c r="W10" s="6" t="s">
        <v>622</v>
      </c>
      <c r="Y10" s="65" t="s">
        <v>623</v>
      </c>
      <c r="Z10" s="64"/>
      <c r="AA10" s="64"/>
      <c r="AB10" s="64"/>
      <c r="AC10" s="64"/>
      <c r="AD10" s="64"/>
      <c r="AE10" s="64"/>
      <c r="AF10" s="64"/>
      <c r="AG10" s="64"/>
    </row>
    <row r="11" spans="1:33" x14ac:dyDescent="0.2">
      <c r="Y11" s="63" t="s">
        <v>624</v>
      </c>
      <c r="Z11" s="64"/>
      <c r="AA11" s="64"/>
      <c r="AB11" s="64"/>
      <c r="AC11" s="64"/>
      <c r="AD11" s="64"/>
      <c r="AE11" s="64"/>
      <c r="AF11" s="64"/>
      <c r="AG11" s="64"/>
    </row>
    <row r="12" spans="1:33" x14ac:dyDescent="0.2">
      <c r="Y12" s="64"/>
      <c r="Z12" s="64"/>
      <c r="AA12" s="64"/>
      <c r="AB12" s="64"/>
      <c r="AC12" s="64"/>
      <c r="AD12" s="64"/>
      <c r="AE12" s="64"/>
      <c r="AF12" s="64"/>
      <c r="AG12" s="64"/>
    </row>
    <row r="13" spans="1:33" x14ac:dyDescent="0.2">
      <c r="Y13" s="64"/>
      <c r="Z13" s="64"/>
      <c r="AA13" s="64"/>
      <c r="AB13" s="64"/>
      <c r="AC13" s="64"/>
      <c r="AD13" s="64"/>
      <c r="AE13" s="64"/>
      <c r="AF13" s="64"/>
      <c r="AG13" s="64"/>
    </row>
    <row r="14" spans="1:33" x14ac:dyDescent="0.2">
      <c r="Y14" s="64"/>
      <c r="Z14" s="64"/>
      <c r="AA14" s="64"/>
      <c r="AB14" s="64"/>
      <c r="AC14" s="64"/>
      <c r="AD14" s="64"/>
      <c r="AE14" s="64"/>
      <c r="AF14" s="64"/>
      <c r="AG14" s="64"/>
    </row>
    <row r="16" spans="1:33" x14ac:dyDescent="0.2">
      <c r="Y16" s="65" t="s">
        <v>625</v>
      </c>
      <c r="Z16" s="64"/>
      <c r="AA16" s="64"/>
      <c r="AB16" s="64"/>
      <c r="AC16" s="64"/>
      <c r="AD16" s="64"/>
      <c r="AE16" s="64"/>
      <c r="AF16" s="64"/>
      <c r="AG16" s="64"/>
    </row>
    <row r="17" spans="25:33" x14ac:dyDescent="0.2">
      <c r="Y17" s="63" t="s">
        <v>626</v>
      </c>
      <c r="Z17" s="64"/>
      <c r="AA17" s="64"/>
      <c r="AB17" s="64"/>
      <c r="AC17" s="64"/>
      <c r="AD17" s="64"/>
      <c r="AE17" s="64"/>
      <c r="AF17" s="64"/>
      <c r="AG17" s="64"/>
    </row>
    <row r="18" spans="25:33" x14ac:dyDescent="0.2">
      <c r="Y18" s="64"/>
      <c r="Z18" s="64"/>
      <c r="AA18" s="64"/>
      <c r="AB18" s="64"/>
      <c r="AC18" s="64"/>
      <c r="AD18" s="64"/>
      <c r="AE18" s="64"/>
      <c r="AF18" s="64"/>
      <c r="AG18" s="64"/>
    </row>
    <row r="19" spans="25:33" x14ac:dyDescent="0.2">
      <c r="Y19" s="64"/>
      <c r="Z19" s="64"/>
      <c r="AA19" s="64"/>
      <c r="AB19" s="64"/>
      <c r="AC19" s="64"/>
      <c r="AD19" s="64"/>
      <c r="AE19" s="64"/>
      <c r="AF19" s="64"/>
      <c r="AG19" s="64"/>
    </row>
    <row r="20" spans="25:33" x14ac:dyDescent="0.2">
      <c r="Y20" s="64"/>
      <c r="Z20" s="64"/>
      <c r="AA20" s="64"/>
      <c r="AB20" s="64"/>
      <c r="AC20" s="64"/>
      <c r="AD20" s="64"/>
      <c r="AE20" s="64"/>
      <c r="AF20" s="64"/>
      <c r="AG20" s="64"/>
    </row>
    <row r="22" spans="25:33" x14ac:dyDescent="0.2">
      <c r="Y22" s="65" t="s">
        <v>627</v>
      </c>
      <c r="Z22" s="64"/>
      <c r="AA22" s="64"/>
      <c r="AB22" s="64"/>
      <c r="AC22" s="64"/>
      <c r="AD22" s="64"/>
      <c r="AE22" s="64"/>
      <c r="AF22" s="64"/>
      <c r="AG22" s="64"/>
    </row>
    <row r="23" spans="25:33" x14ac:dyDescent="0.2">
      <c r="Y23" s="63" t="s">
        <v>628</v>
      </c>
      <c r="Z23" s="64"/>
      <c r="AA23" s="64"/>
      <c r="AB23" s="64"/>
      <c r="AC23" s="64"/>
      <c r="AD23" s="64"/>
      <c r="AE23" s="64"/>
      <c r="AF23" s="64"/>
      <c r="AG23" s="64"/>
    </row>
    <row r="24" spans="25:33" x14ac:dyDescent="0.2">
      <c r="Y24" s="64"/>
      <c r="Z24" s="64"/>
      <c r="AA24" s="64"/>
      <c r="AB24" s="64"/>
      <c r="AC24" s="64"/>
      <c r="AD24" s="64"/>
      <c r="AE24" s="64"/>
      <c r="AF24" s="64"/>
      <c r="AG24" s="64"/>
    </row>
    <row r="25" spans="25:33" x14ac:dyDescent="0.2">
      <c r="Y25" s="64"/>
      <c r="Z25" s="64"/>
      <c r="AA25" s="64"/>
      <c r="AB25" s="64"/>
      <c r="AC25" s="64"/>
      <c r="AD25" s="64"/>
      <c r="AE25" s="64"/>
      <c r="AF25" s="64"/>
      <c r="AG25" s="64"/>
    </row>
    <row r="26" spans="25:33" x14ac:dyDescent="0.2">
      <c r="Y26" s="64"/>
      <c r="Z26" s="64"/>
      <c r="AA26" s="64"/>
      <c r="AB26" s="64"/>
      <c r="AC26" s="64"/>
      <c r="AD26" s="64"/>
      <c r="AE26" s="64"/>
      <c r="AF26" s="64"/>
      <c r="AG26" s="64"/>
    </row>
    <row r="28" spans="25:33" x14ac:dyDescent="0.2">
      <c r="Y28" s="65" t="s">
        <v>629</v>
      </c>
      <c r="Z28" s="64"/>
      <c r="AA28" s="64"/>
      <c r="AB28" s="64"/>
      <c r="AC28" s="64"/>
      <c r="AD28" s="64"/>
      <c r="AE28" s="64"/>
      <c r="AF28" s="64"/>
      <c r="AG28" s="64"/>
    </row>
    <row r="29" spans="25:33" x14ac:dyDescent="0.2">
      <c r="Y29" s="63" t="s">
        <v>630</v>
      </c>
      <c r="Z29" s="64"/>
      <c r="AA29" s="64"/>
      <c r="AB29" s="64"/>
      <c r="AC29" s="64"/>
      <c r="AD29" s="64"/>
      <c r="AE29" s="64"/>
      <c r="AF29" s="64"/>
      <c r="AG29" s="64"/>
    </row>
    <row r="30" spans="25:33" x14ac:dyDescent="0.2">
      <c r="Y30" s="64"/>
      <c r="Z30" s="64"/>
      <c r="AA30" s="64"/>
      <c r="AB30" s="64"/>
      <c r="AC30" s="64"/>
      <c r="AD30" s="64"/>
      <c r="AE30" s="64"/>
      <c r="AF30" s="64"/>
      <c r="AG30" s="64"/>
    </row>
    <row r="31" spans="25:33" x14ac:dyDescent="0.2">
      <c r="Y31" s="64"/>
      <c r="Z31" s="64"/>
      <c r="AA31" s="64"/>
      <c r="AB31" s="64"/>
      <c r="AC31" s="64"/>
      <c r="AD31" s="64"/>
      <c r="AE31" s="64"/>
      <c r="AF31" s="64"/>
      <c r="AG31" s="64"/>
    </row>
    <row r="32" spans="25:33" x14ac:dyDescent="0.2">
      <c r="Y32" s="64"/>
      <c r="Z32" s="64"/>
      <c r="AA32" s="64"/>
      <c r="AB32" s="64"/>
      <c r="AC32" s="64"/>
      <c r="AD32" s="64"/>
      <c r="AE32" s="64"/>
      <c r="AF32" s="64"/>
      <c r="AG32" s="64"/>
    </row>
    <row r="44" spans="17:33" ht="16" customHeight="1" x14ac:dyDescent="0.2">
      <c r="Q44" s="66" t="s">
        <v>631</v>
      </c>
      <c r="R44" s="64"/>
      <c r="S44" s="64"/>
      <c r="T44" s="64"/>
      <c r="U44" s="64"/>
      <c r="V44" s="64"/>
      <c r="W44" s="64"/>
      <c r="Y44" s="66" t="s">
        <v>617</v>
      </c>
      <c r="Z44" s="64"/>
      <c r="AA44" s="64"/>
      <c r="AB44" s="64"/>
      <c r="AC44" s="64"/>
      <c r="AD44" s="64"/>
      <c r="AE44" s="64"/>
      <c r="AF44" s="64"/>
      <c r="AG44" s="64"/>
    </row>
    <row r="45" spans="17:33" x14ac:dyDescent="0.2">
      <c r="Q45" s="12"/>
      <c r="R45" s="12" t="s">
        <v>618</v>
      </c>
      <c r="S45" s="12" t="s">
        <v>619</v>
      </c>
      <c r="W45" s="12" t="s">
        <v>620</v>
      </c>
    </row>
    <row r="46" spans="17:33" ht="22" customHeight="1" x14ac:dyDescent="0.2">
      <c r="Q46" s="13"/>
      <c r="R46" s="14">
        <v>1</v>
      </c>
      <c r="S46" s="63" t="s">
        <v>83</v>
      </c>
      <c r="T46" s="64"/>
      <c r="U46" s="64"/>
      <c r="V46" s="64"/>
      <c r="W46" s="6" t="s">
        <v>632</v>
      </c>
      <c r="Y46" s="65" t="s">
        <v>623</v>
      </c>
      <c r="Z46" s="64"/>
      <c r="AA46" s="64"/>
      <c r="AB46" s="64"/>
      <c r="AC46" s="64"/>
      <c r="AD46" s="64"/>
      <c r="AE46" s="64"/>
      <c r="AF46" s="64"/>
      <c r="AG46" s="64"/>
    </row>
    <row r="47" spans="17:33" ht="22" customHeight="1" x14ac:dyDescent="0.2">
      <c r="Q47" s="15"/>
      <c r="R47" s="14">
        <v>2</v>
      </c>
      <c r="S47" s="63" t="s">
        <v>122</v>
      </c>
      <c r="T47" s="64"/>
      <c r="U47" s="64"/>
      <c r="V47" s="64"/>
      <c r="W47" s="6" t="s">
        <v>633</v>
      </c>
      <c r="Y47" s="63" t="s">
        <v>634</v>
      </c>
      <c r="Z47" s="64"/>
      <c r="AA47" s="64"/>
      <c r="AB47" s="64"/>
      <c r="AC47" s="64"/>
      <c r="AD47" s="64"/>
      <c r="AE47" s="64"/>
      <c r="AF47" s="64"/>
      <c r="AG47" s="64"/>
    </row>
    <row r="48" spans="17:33" ht="22" customHeight="1" x14ac:dyDescent="0.2">
      <c r="Q48" s="16"/>
      <c r="R48" s="14">
        <v>3</v>
      </c>
      <c r="S48" s="63" t="s">
        <v>107</v>
      </c>
      <c r="T48" s="64"/>
      <c r="U48" s="64"/>
      <c r="V48" s="64"/>
      <c r="W48" s="6" t="s">
        <v>635</v>
      </c>
      <c r="Y48" s="64"/>
      <c r="Z48" s="64"/>
      <c r="AA48" s="64"/>
      <c r="AB48" s="64"/>
      <c r="AC48" s="64"/>
      <c r="AD48" s="64"/>
      <c r="AE48" s="64"/>
      <c r="AF48" s="64"/>
      <c r="AG48" s="64"/>
    </row>
    <row r="49" spans="17:33" ht="22" customHeight="1" x14ac:dyDescent="0.2">
      <c r="Q49" s="17"/>
      <c r="R49" s="14">
        <v>4</v>
      </c>
      <c r="S49" s="63" t="s">
        <v>31</v>
      </c>
      <c r="T49" s="64"/>
      <c r="U49" s="64"/>
      <c r="V49" s="64"/>
      <c r="W49" s="6" t="s">
        <v>636</v>
      </c>
      <c r="Y49" s="64"/>
      <c r="Z49" s="64"/>
      <c r="AA49" s="64"/>
      <c r="AB49" s="64"/>
      <c r="AC49" s="64"/>
      <c r="AD49" s="64"/>
      <c r="AE49" s="64"/>
      <c r="AF49" s="64"/>
      <c r="AG49" s="64"/>
    </row>
    <row r="50" spans="17:33" ht="22" customHeight="1" x14ac:dyDescent="0.2">
      <c r="Q50" s="18"/>
      <c r="R50" s="14">
        <v>5</v>
      </c>
      <c r="S50" s="63" t="s">
        <v>255</v>
      </c>
      <c r="T50" s="64"/>
      <c r="U50" s="64"/>
      <c r="V50" s="64"/>
      <c r="W50" s="6" t="s">
        <v>637</v>
      </c>
      <c r="Y50" s="64"/>
      <c r="Z50" s="64"/>
      <c r="AA50" s="64"/>
      <c r="AB50" s="64"/>
      <c r="AC50" s="64"/>
      <c r="AD50" s="64"/>
      <c r="AE50" s="64"/>
      <c r="AF50" s="64"/>
      <c r="AG50" s="64"/>
    </row>
    <row r="51" spans="17:33" ht="22" customHeight="1" x14ac:dyDescent="0.2">
      <c r="Q51" s="19"/>
      <c r="R51" s="14">
        <v>6</v>
      </c>
      <c r="S51" s="63" t="s">
        <v>164</v>
      </c>
      <c r="T51" s="64"/>
      <c r="U51" s="64"/>
      <c r="V51" s="64"/>
      <c r="W51" s="6" t="s">
        <v>638</v>
      </c>
    </row>
    <row r="52" spans="17:33" ht="22" customHeight="1" x14ac:dyDescent="0.2">
      <c r="Q52" s="20"/>
      <c r="R52" s="14">
        <v>7</v>
      </c>
      <c r="S52" s="63" t="s">
        <v>34</v>
      </c>
      <c r="T52" s="64"/>
      <c r="U52" s="64"/>
      <c r="V52" s="64"/>
      <c r="W52" s="6" t="s">
        <v>639</v>
      </c>
      <c r="Y52" s="65" t="s">
        <v>625</v>
      </c>
      <c r="Z52" s="64"/>
      <c r="AA52" s="64"/>
      <c r="AB52" s="64"/>
      <c r="AC52" s="64"/>
      <c r="AD52" s="64"/>
      <c r="AE52" s="64"/>
      <c r="AF52" s="64"/>
      <c r="AG52" s="64"/>
    </row>
    <row r="53" spans="17:33" ht="22" customHeight="1" x14ac:dyDescent="0.2">
      <c r="Q53" s="21"/>
      <c r="R53" s="14">
        <v>8</v>
      </c>
      <c r="S53" s="63" t="s">
        <v>47</v>
      </c>
      <c r="T53" s="64"/>
      <c r="U53" s="64"/>
      <c r="V53" s="64"/>
      <c r="W53" s="6" t="s">
        <v>640</v>
      </c>
      <c r="Y53" s="63" t="s">
        <v>641</v>
      </c>
      <c r="Z53" s="64"/>
      <c r="AA53" s="64"/>
      <c r="AB53" s="64"/>
      <c r="AC53" s="64"/>
      <c r="AD53" s="64"/>
      <c r="AE53" s="64"/>
      <c r="AF53" s="64"/>
      <c r="AG53" s="64"/>
    </row>
    <row r="54" spans="17:33" ht="22" customHeight="1" x14ac:dyDescent="0.2">
      <c r="Q54" s="22"/>
      <c r="R54" s="14">
        <v>9</v>
      </c>
      <c r="S54" s="63" t="s">
        <v>59</v>
      </c>
      <c r="T54" s="64"/>
      <c r="U54" s="64"/>
      <c r="V54" s="64"/>
      <c r="W54" s="6" t="s">
        <v>642</v>
      </c>
      <c r="Y54" s="64"/>
      <c r="Z54" s="64"/>
      <c r="AA54" s="64"/>
      <c r="AB54" s="64"/>
      <c r="AC54" s="64"/>
      <c r="AD54" s="64"/>
      <c r="AE54" s="64"/>
      <c r="AF54" s="64"/>
      <c r="AG54" s="64"/>
    </row>
    <row r="55" spans="17:33" ht="22" customHeight="1" x14ac:dyDescent="0.2">
      <c r="Q55" s="23"/>
      <c r="R55" s="14">
        <v>10</v>
      </c>
      <c r="S55" s="63" t="s">
        <v>129</v>
      </c>
      <c r="T55" s="64"/>
      <c r="U55" s="64"/>
      <c r="V55" s="64"/>
      <c r="W55" s="6" t="s">
        <v>643</v>
      </c>
      <c r="Y55" s="64"/>
      <c r="Z55" s="64"/>
      <c r="AA55" s="64"/>
      <c r="AB55" s="64"/>
      <c r="AC55" s="64"/>
      <c r="AD55" s="64"/>
      <c r="AE55" s="64"/>
      <c r="AF55" s="64"/>
      <c r="AG55" s="64"/>
    </row>
    <row r="56" spans="17:33" ht="22" customHeight="1" x14ac:dyDescent="0.2">
      <c r="Q56" s="24"/>
      <c r="R56" s="14">
        <v>11</v>
      </c>
      <c r="S56" s="63" t="s">
        <v>56</v>
      </c>
      <c r="T56" s="64"/>
      <c r="U56" s="64"/>
      <c r="V56" s="64"/>
      <c r="W56" s="6" t="s">
        <v>644</v>
      </c>
      <c r="Y56" s="64"/>
      <c r="Z56" s="64"/>
      <c r="AA56" s="64"/>
      <c r="AB56" s="64"/>
      <c r="AC56" s="64"/>
      <c r="AD56" s="64"/>
      <c r="AE56" s="64"/>
      <c r="AF56" s="64"/>
      <c r="AG56" s="64"/>
    </row>
    <row r="57" spans="17:33" ht="22" customHeight="1" x14ac:dyDescent="0.2">
      <c r="Q57" s="25"/>
      <c r="R57" s="14">
        <v>12</v>
      </c>
      <c r="S57" s="63" t="s">
        <v>27</v>
      </c>
      <c r="T57" s="64"/>
      <c r="U57" s="64"/>
      <c r="V57" s="64"/>
      <c r="W57" s="6" t="s">
        <v>645</v>
      </c>
    </row>
    <row r="58" spans="17:33" ht="22" customHeight="1" x14ac:dyDescent="0.2">
      <c r="Q58" s="13"/>
      <c r="R58" s="14">
        <v>13</v>
      </c>
      <c r="S58" s="63" t="s">
        <v>79</v>
      </c>
      <c r="T58" s="64"/>
      <c r="U58" s="64"/>
      <c r="V58" s="64"/>
      <c r="W58" s="6" t="s">
        <v>646</v>
      </c>
      <c r="Y58" s="65" t="s">
        <v>627</v>
      </c>
      <c r="Z58" s="64"/>
      <c r="AA58" s="64"/>
      <c r="AB58" s="64"/>
      <c r="AC58" s="64"/>
      <c r="AD58" s="64"/>
      <c r="AE58" s="64"/>
      <c r="AF58" s="64"/>
      <c r="AG58" s="64"/>
    </row>
    <row r="59" spans="17:33" ht="22" customHeight="1" x14ac:dyDescent="0.2">
      <c r="Q59" s="15"/>
      <c r="R59" s="14">
        <v>14</v>
      </c>
      <c r="S59" s="63" t="s">
        <v>112</v>
      </c>
      <c r="T59" s="64"/>
      <c r="U59" s="64"/>
      <c r="V59" s="64"/>
      <c r="W59" s="6" t="s">
        <v>647</v>
      </c>
      <c r="Y59" s="63" t="s">
        <v>648</v>
      </c>
      <c r="Z59" s="64"/>
      <c r="AA59" s="64"/>
      <c r="AB59" s="64"/>
      <c r="AC59" s="64"/>
      <c r="AD59" s="64"/>
      <c r="AE59" s="64"/>
      <c r="AF59" s="64"/>
      <c r="AG59" s="64"/>
    </row>
    <row r="60" spans="17:33" ht="22" customHeight="1" x14ac:dyDescent="0.2">
      <c r="Q60" s="16"/>
      <c r="R60" s="14">
        <v>15</v>
      </c>
      <c r="S60" s="63" t="s">
        <v>70</v>
      </c>
      <c r="T60" s="64"/>
      <c r="U60" s="64"/>
      <c r="V60" s="64"/>
      <c r="W60" s="6" t="s">
        <v>649</v>
      </c>
      <c r="Y60" s="64"/>
      <c r="Z60" s="64"/>
      <c r="AA60" s="64"/>
      <c r="AB60" s="64"/>
      <c r="AC60" s="64"/>
      <c r="AD60" s="64"/>
      <c r="AE60" s="64"/>
      <c r="AF60" s="64"/>
      <c r="AG60" s="64"/>
    </row>
    <row r="61" spans="17:33" ht="22" customHeight="1" x14ac:dyDescent="0.2">
      <c r="Q61" s="17"/>
      <c r="R61" s="14">
        <v>16</v>
      </c>
      <c r="S61" s="63" t="s">
        <v>53</v>
      </c>
      <c r="T61" s="64"/>
      <c r="U61" s="64"/>
      <c r="V61" s="64"/>
      <c r="W61" s="6" t="s">
        <v>650</v>
      </c>
      <c r="Y61" s="64"/>
      <c r="Z61" s="64"/>
      <c r="AA61" s="64"/>
      <c r="AB61" s="64"/>
      <c r="AC61" s="64"/>
      <c r="AD61" s="64"/>
      <c r="AE61" s="64"/>
      <c r="AF61" s="64"/>
      <c r="AG61" s="64"/>
    </row>
    <row r="62" spans="17:33" ht="22" customHeight="1" x14ac:dyDescent="0.2">
      <c r="Q62" s="18"/>
      <c r="R62" s="14">
        <v>17</v>
      </c>
      <c r="S62" s="63" t="s">
        <v>313</v>
      </c>
      <c r="T62" s="64"/>
      <c r="U62" s="64"/>
      <c r="V62" s="64"/>
      <c r="W62" s="6" t="s">
        <v>651</v>
      </c>
      <c r="Y62" s="64"/>
      <c r="Z62" s="64"/>
      <c r="AA62" s="64"/>
      <c r="AB62" s="64"/>
      <c r="AC62" s="64"/>
      <c r="AD62" s="64"/>
      <c r="AE62" s="64"/>
      <c r="AF62" s="64"/>
      <c r="AG62" s="64"/>
    </row>
    <row r="63" spans="17:33" ht="22" customHeight="1" x14ac:dyDescent="0.2">
      <c r="Q63" s="19"/>
      <c r="R63" s="14">
        <v>18</v>
      </c>
      <c r="S63" s="63" t="s">
        <v>198</v>
      </c>
      <c r="T63" s="64"/>
      <c r="U63" s="64"/>
      <c r="V63" s="64"/>
      <c r="W63" s="6" t="s">
        <v>652</v>
      </c>
    </row>
    <row r="64" spans="17:33" ht="22" customHeight="1" x14ac:dyDescent="0.2">
      <c r="Q64" s="20"/>
      <c r="R64" s="14">
        <v>19</v>
      </c>
      <c r="S64" s="63" t="s">
        <v>126</v>
      </c>
      <c r="T64" s="64"/>
      <c r="U64" s="64"/>
      <c r="V64" s="64"/>
      <c r="W64" s="6" t="s">
        <v>653</v>
      </c>
    </row>
    <row r="65" spans="17:33" ht="22" customHeight="1" x14ac:dyDescent="0.2">
      <c r="Q65" s="21"/>
      <c r="R65" s="14">
        <v>20</v>
      </c>
      <c r="S65" s="63" t="s">
        <v>51</v>
      </c>
      <c r="T65" s="64"/>
      <c r="U65" s="64"/>
      <c r="V65" s="64"/>
      <c r="W65" s="6" t="s">
        <v>654</v>
      </c>
    </row>
    <row r="80" spans="17:33" ht="16" customHeight="1" x14ac:dyDescent="0.2">
      <c r="Q80" s="66" t="s">
        <v>655</v>
      </c>
      <c r="R80" s="64"/>
      <c r="S80" s="64"/>
      <c r="T80" s="64"/>
      <c r="U80" s="64"/>
      <c r="V80" s="64"/>
      <c r="W80" s="64"/>
      <c r="Y80" s="66" t="s">
        <v>617</v>
      </c>
      <c r="Z80" s="64"/>
      <c r="AA80" s="64"/>
      <c r="AB80" s="64"/>
      <c r="AC80" s="64"/>
      <c r="AD80" s="64"/>
      <c r="AE80" s="64"/>
      <c r="AF80" s="64"/>
      <c r="AG80" s="64"/>
    </row>
    <row r="81" spans="17:33" x14ac:dyDescent="0.2">
      <c r="Q81" s="12"/>
      <c r="R81" s="12" t="s">
        <v>618</v>
      </c>
      <c r="S81" s="12" t="s">
        <v>619</v>
      </c>
      <c r="W81" s="12" t="s">
        <v>620</v>
      </c>
    </row>
    <row r="82" spans="17:33" ht="22" customHeight="1" x14ac:dyDescent="0.2">
      <c r="Q82" s="13"/>
      <c r="R82" s="14">
        <v>1</v>
      </c>
      <c r="S82" s="63" t="s">
        <v>455</v>
      </c>
      <c r="T82" s="64"/>
      <c r="U82" s="64"/>
      <c r="V82" s="64"/>
      <c r="W82" s="6" t="s">
        <v>656</v>
      </c>
      <c r="Y82" s="65" t="s">
        <v>623</v>
      </c>
      <c r="Z82" s="64"/>
      <c r="AA82" s="64"/>
      <c r="AB82" s="64"/>
      <c r="AC82" s="64"/>
      <c r="AD82" s="64"/>
      <c r="AE82" s="64"/>
      <c r="AF82" s="64"/>
      <c r="AG82" s="64"/>
    </row>
    <row r="83" spans="17:33" ht="22" customHeight="1" x14ac:dyDescent="0.2">
      <c r="Q83" s="15"/>
      <c r="R83" s="14">
        <v>2</v>
      </c>
      <c r="S83" s="63" t="s">
        <v>352</v>
      </c>
      <c r="T83" s="64"/>
      <c r="U83" s="64"/>
      <c r="V83" s="64"/>
      <c r="W83" s="6" t="s">
        <v>657</v>
      </c>
      <c r="Y83" s="63" t="s">
        <v>658</v>
      </c>
      <c r="Z83" s="64"/>
      <c r="AA83" s="64"/>
      <c r="AB83" s="64"/>
      <c r="AC83" s="64"/>
      <c r="AD83" s="64"/>
      <c r="AE83" s="64"/>
      <c r="AF83" s="64"/>
      <c r="AG83" s="64"/>
    </row>
    <row r="84" spans="17:33" ht="22" customHeight="1" x14ac:dyDescent="0.2">
      <c r="Q84" s="16"/>
      <c r="R84" s="14">
        <v>3</v>
      </c>
      <c r="S84" s="63" t="s">
        <v>450</v>
      </c>
      <c r="T84" s="64"/>
      <c r="U84" s="64"/>
      <c r="V84" s="64"/>
      <c r="W84" s="6" t="s">
        <v>659</v>
      </c>
      <c r="Y84" s="64"/>
      <c r="Z84" s="64"/>
      <c r="AA84" s="64"/>
      <c r="AB84" s="64"/>
      <c r="AC84" s="64"/>
      <c r="AD84" s="64"/>
      <c r="AE84" s="64"/>
      <c r="AF84" s="64"/>
      <c r="AG84" s="64"/>
    </row>
    <row r="85" spans="17:33" ht="22" customHeight="1" x14ac:dyDescent="0.2">
      <c r="Q85" s="17"/>
      <c r="R85" s="14">
        <v>4</v>
      </c>
      <c r="S85" s="63" t="s">
        <v>402</v>
      </c>
      <c r="T85" s="64"/>
      <c r="U85" s="64"/>
      <c r="V85" s="64"/>
      <c r="W85" s="6" t="s">
        <v>660</v>
      </c>
      <c r="Y85" s="64"/>
      <c r="Z85" s="64"/>
      <c r="AA85" s="64"/>
      <c r="AB85" s="64"/>
      <c r="AC85" s="64"/>
      <c r="AD85" s="64"/>
      <c r="AE85" s="64"/>
      <c r="AF85" s="64"/>
      <c r="AG85" s="64"/>
    </row>
    <row r="86" spans="17:33" ht="22" customHeight="1" x14ac:dyDescent="0.2">
      <c r="Q86" s="18"/>
      <c r="R86" s="14">
        <v>5</v>
      </c>
      <c r="S86" s="63" t="s">
        <v>558</v>
      </c>
      <c r="T86" s="64"/>
      <c r="U86" s="64"/>
      <c r="V86" s="64"/>
      <c r="W86" s="6" t="s">
        <v>661</v>
      </c>
      <c r="Y86" s="64"/>
      <c r="Z86" s="64"/>
      <c r="AA86" s="64"/>
      <c r="AB86" s="64"/>
      <c r="AC86" s="64"/>
      <c r="AD86" s="64"/>
      <c r="AE86" s="64"/>
      <c r="AF86" s="64"/>
      <c r="AG86" s="64"/>
    </row>
    <row r="87" spans="17:33" ht="22" customHeight="1" x14ac:dyDescent="0.2">
      <c r="Q87" s="19"/>
      <c r="R87" s="14">
        <v>6</v>
      </c>
      <c r="S87" s="63" t="s">
        <v>607</v>
      </c>
      <c r="T87" s="64"/>
      <c r="U87" s="64"/>
      <c r="V87" s="64"/>
      <c r="W87" s="6" t="s">
        <v>662</v>
      </c>
    </row>
    <row r="88" spans="17:33" ht="22" customHeight="1" x14ac:dyDescent="0.2">
      <c r="Q88" s="20"/>
      <c r="R88" s="14">
        <v>7</v>
      </c>
      <c r="S88" s="63" t="s">
        <v>561</v>
      </c>
      <c r="T88" s="64"/>
      <c r="U88" s="64"/>
      <c r="V88" s="64"/>
      <c r="W88" s="6" t="s">
        <v>663</v>
      </c>
      <c r="Y88" s="65" t="s">
        <v>625</v>
      </c>
      <c r="Z88" s="64"/>
      <c r="AA88" s="64"/>
      <c r="AB88" s="64"/>
      <c r="AC88" s="64"/>
      <c r="AD88" s="64"/>
      <c r="AE88" s="64"/>
      <c r="AF88" s="64"/>
      <c r="AG88" s="64"/>
    </row>
    <row r="89" spans="17:33" ht="22" customHeight="1" x14ac:dyDescent="0.2">
      <c r="Q89" s="21"/>
      <c r="R89" s="14">
        <v>8</v>
      </c>
      <c r="S89" s="63" t="s">
        <v>594</v>
      </c>
      <c r="T89" s="64"/>
      <c r="U89" s="64"/>
      <c r="V89" s="64"/>
      <c r="W89" s="6" t="s">
        <v>664</v>
      </c>
      <c r="Y89" s="63" t="s">
        <v>665</v>
      </c>
      <c r="Z89" s="64"/>
      <c r="AA89" s="64"/>
      <c r="AB89" s="64"/>
      <c r="AC89" s="64"/>
      <c r="AD89" s="64"/>
      <c r="AE89" s="64"/>
      <c r="AF89" s="64"/>
      <c r="AG89" s="64"/>
    </row>
    <row r="90" spans="17:33" x14ac:dyDescent="0.2">
      <c r="Y90" s="64"/>
      <c r="Z90" s="64"/>
      <c r="AA90" s="64"/>
      <c r="AB90" s="64"/>
      <c r="AC90" s="64"/>
      <c r="AD90" s="64"/>
      <c r="AE90" s="64"/>
      <c r="AF90" s="64"/>
      <c r="AG90" s="64"/>
    </row>
    <row r="91" spans="17:33" x14ac:dyDescent="0.2">
      <c r="Y91" s="64"/>
      <c r="Z91" s="64"/>
      <c r="AA91" s="64"/>
      <c r="AB91" s="64"/>
      <c r="AC91" s="64"/>
      <c r="AD91" s="64"/>
      <c r="AE91" s="64"/>
      <c r="AF91" s="64"/>
      <c r="AG91" s="64"/>
    </row>
    <row r="92" spans="17:33" x14ac:dyDescent="0.2">
      <c r="Y92" s="64"/>
      <c r="Z92" s="64"/>
      <c r="AA92" s="64"/>
      <c r="AB92" s="64"/>
      <c r="AC92" s="64"/>
      <c r="AD92" s="64"/>
      <c r="AE92" s="64"/>
      <c r="AF92" s="64"/>
      <c r="AG92" s="64"/>
    </row>
    <row r="94" spans="17:33" x14ac:dyDescent="0.2">
      <c r="Y94" s="65" t="s">
        <v>627</v>
      </c>
      <c r="Z94" s="64"/>
      <c r="AA94" s="64"/>
      <c r="AB94" s="64"/>
      <c r="AC94" s="64"/>
      <c r="AD94" s="64"/>
      <c r="AE94" s="64"/>
      <c r="AF94" s="64"/>
      <c r="AG94" s="64"/>
    </row>
    <row r="95" spans="17:33" x14ac:dyDescent="0.2">
      <c r="Y95" s="63" t="s">
        <v>666</v>
      </c>
      <c r="Z95" s="64"/>
      <c r="AA95" s="64"/>
      <c r="AB95" s="64"/>
      <c r="AC95" s="64"/>
      <c r="AD95" s="64"/>
      <c r="AE95" s="64"/>
      <c r="AF95" s="64"/>
      <c r="AG95" s="64"/>
    </row>
    <row r="96" spans="17:33" x14ac:dyDescent="0.2">
      <c r="Y96" s="64"/>
      <c r="Z96" s="64"/>
      <c r="AA96" s="64"/>
      <c r="AB96" s="64"/>
      <c r="AC96" s="64"/>
      <c r="AD96" s="64"/>
      <c r="AE96" s="64"/>
      <c r="AF96" s="64"/>
      <c r="AG96" s="64"/>
    </row>
    <row r="97" spans="25:33" x14ac:dyDescent="0.2">
      <c r="Y97" s="64"/>
      <c r="Z97" s="64"/>
      <c r="AA97" s="64"/>
      <c r="AB97" s="64"/>
      <c r="AC97" s="64"/>
      <c r="AD97" s="64"/>
      <c r="AE97" s="64"/>
      <c r="AF97" s="64"/>
      <c r="AG97" s="64"/>
    </row>
    <row r="98" spans="25:33" x14ac:dyDescent="0.2">
      <c r="Y98" s="64"/>
      <c r="Z98" s="64"/>
      <c r="AA98" s="64"/>
      <c r="AB98" s="64"/>
      <c r="AC98" s="64"/>
      <c r="AD98" s="64"/>
      <c r="AE98" s="64"/>
      <c r="AF98" s="64"/>
      <c r="AG98" s="64"/>
    </row>
    <row r="100" spans="25:33" x14ac:dyDescent="0.2">
      <c r="Y100" s="65" t="s">
        <v>629</v>
      </c>
      <c r="Z100" s="64"/>
      <c r="AA100" s="64"/>
      <c r="AB100" s="64"/>
      <c r="AC100" s="64"/>
      <c r="AD100" s="64"/>
      <c r="AE100" s="64"/>
      <c r="AF100" s="64"/>
      <c r="AG100" s="64"/>
    </row>
    <row r="101" spans="25:33" x14ac:dyDescent="0.2">
      <c r="Y101" s="63" t="s">
        <v>667</v>
      </c>
      <c r="Z101" s="64"/>
      <c r="AA101" s="64"/>
      <c r="AB101" s="64"/>
      <c r="AC101" s="64"/>
      <c r="AD101" s="64"/>
      <c r="AE101" s="64"/>
      <c r="AF101" s="64"/>
      <c r="AG101" s="64"/>
    </row>
    <row r="102" spans="25:33" x14ac:dyDescent="0.2">
      <c r="Y102" s="64"/>
      <c r="Z102" s="64"/>
      <c r="AA102" s="64"/>
      <c r="AB102" s="64"/>
      <c r="AC102" s="64"/>
      <c r="AD102" s="64"/>
      <c r="AE102" s="64"/>
      <c r="AF102" s="64"/>
      <c r="AG102" s="64"/>
    </row>
    <row r="103" spans="25:33" x14ac:dyDescent="0.2">
      <c r="Y103" s="64"/>
      <c r="Z103" s="64"/>
      <c r="AA103" s="64"/>
      <c r="AB103" s="64"/>
      <c r="AC103" s="64"/>
      <c r="AD103" s="64"/>
      <c r="AE103" s="64"/>
      <c r="AF103" s="64"/>
      <c r="AG103" s="64"/>
    </row>
    <row r="104" spans="25:33" x14ac:dyDescent="0.2">
      <c r="Y104" s="64"/>
      <c r="Z104" s="64"/>
      <c r="AA104" s="64"/>
      <c r="AB104" s="64"/>
      <c r="AC104" s="64"/>
      <c r="AD104" s="64"/>
      <c r="AE104" s="64"/>
      <c r="AF104" s="64"/>
      <c r="AG104" s="64"/>
    </row>
    <row r="116" spans="17:33" ht="16" customHeight="1" x14ac:dyDescent="0.2">
      <c r="Q116" s="66" t="s">
        <v>631</v>
      </c>
      <c r="R116" s="64"/>
      <c r="S116" s="64"/>
      <c r="T116" s="64"/>
      <c r="U116" s="64"/>
      <c r="V116" s="64"/>
      <c r="W116" s="64"/>
      <c r="Y116" s="66" t="s">
        <v>617</v>
      </c>
      <c r="Z116" s="64"/>
      <c r="AA116" s="64"/>
      <c r="AB116" s="64"/>
      <c r="AC116" s="64"/>
      <c r="AD116" s="64"/>
      <c r="AE116" s="64"/>
      <c r="AF116" s="64"/>
      <c r="AG116" s="64"/>
    </row>
    <row r="117" spans="17:33" x14ac:dyDescent="0.2">
      <c r="Q117" s="12"/>
      <c r="R117" s="12" t="s">
        <v>618</v>
      </c>
      <c r="S117" s="12" t="s">
        <v>619</v>
      </c>
      <c r="W117" s="12" t="s">
        <v>620</v>
      </c>
    </row>
    <row r="118" spans="17:33" ht="22" customHeight="1" x14ac:dyDescent="0.2">
      <c r="Q118" s="13"/>
      <c r="R118" s="14">
        <v>1</v>
      </c>
      <c r="S118" s="63" t="s">
        <v>83</v>
      </c>
      <c r="T118" s="64"/>
      <c r="U118" s="64"/>
      <c r="V118" s="64"/>
      <c r="W118" s="6" t="s">
        <v>668</v>
      </c>
      <c r="Y118" s="65" t="s">
        <v>623</v>
      </c>
      <c r="Z118" s="64"/>
      <c r="AA118" s="64"/>
      <c r="AB118" s="64"/>
      <c r="AC118" s="64"/>
      <c r="AD118" s="64"/>
      <c r="AE118" s="64"/>
      <c r="AF118" s="64"/>
      <c r="AG118" s="64"/>
    </row>
    <row r="119" spans="17:33" ht="22" customHeight="1" x14ac:dyDescent="0.2">
      <c r="Q119" s="15"/>
      <c r="R119" s="14">
        <v>2</v>
      </c>
      <c r="S119" s="63" t="s">
        <v>122</v>
      </c>
      <c r="T119" s="64"/>
      <c r="U119" s="64"/>
      <c r="V119" s="64"/>
      <c r="W119" s="6" t="s">
        <v>669</v>
      </c>
      <c r="Y119" s="63" t="s">
        <v>670</v>
      </c>
      <c r="Z119" s="64"/>
      <c r="AA119" s="64"/>
      <c r="AB119" s="64"/>
      <c r="AC119" s="64"/>
      <c r="AD119" s="64"/>
      <c r="AE119" s="64"/>
      <c r="AF119" s="64"/>
      <c r="AG119" s="64"/>
    </row>
    <row r="120" spans="17:33" ht="22" customHeight="1" x14ac:dyDescent="0.2">
      <c r="Q120" s="16"/>
      <c r="R120" s="14">
        <v>3</v>
      </c>
      <c r="S120" s="63" t="s">
        <v>107</v>
      </c>
      <c r="T120" s="64"/>
      <c r="U120" s="64"/>
      <c r="V120" s="64"/>
      <c r="W120" s="6" t="s">
        <v>671</v>
      </c>
      <c r="Y120" s="64"/>
      <c r="Z120" s="64"/>
      <c r="AA120" s="64"/>
      <c r="AB120" s="64"/>
      <c r="AC120" s="64"/>
      <c r="AD120" s="64"/>
      <c r="AE120" s="64"/>
      <c r="AF120" s="64"/>
      <c r="AG120" s="64"/>
    </row>
    <row r="121" spans="17:33" ht="22" customHeight="1" x14ac:dyDescent="0.2">
      <c r="Q121" s="17"/>
      <c r="R121" s="14">
        <v>4</v>
      </c>
      <c r="S121" s="63" t="s">
        <v>31</v>
      </c>
      <c r="T121" s="64"/>
      <c r="U121" s="64"/>
      <c r="V121" s="64"/>
      <c r="W121" s="6" t="s">
        <v>672</v>
      </c>
      <c r="Y121" s="64"/>
      <c r="Z121" s="64"/>
      <c r="AA121" s="64"/>
      <c r="AB121" s="64"/>
      <c r="AC121" s="64"/>
      <c r="AD121" s="64"/>
      <c r="AE121" s="64"/>
      <c r="AF121" s="64"/>
      <c r="AG121" s="64"/>
    </row>
    <row r="122" spans="17:33" ht="22" customHeight="1" x14ac:dyDescent="0.2">
      <c r="Q122" s="18"/>
      <c r="R122" s="14">
        <v>5</v>
      </c>
      <c r="S122" s="63" t="s">
        <v>255</v>
      </c>
      <c r="T122" s="64"/>
      <c r="U122" s="64"/>
      <c r="V122" s="64"/>
      <c r="W122" s="6" t="s">
        <v>673</v>
      </c>
      <c r="Y122" s="64"/>
      <c r="Z122" s="64"/>
      <c r="AA122" s="64"/>
      <c r="AB122" s="64"/>
      <c r="AC122" s="64"/>
      <c r="AD122" s="64"/>
      <c r="AE122" s="64"/>
      <c r="AF122" s="64"/>
      <c r="AG122" s="64"/>
    </row>
    <row r="123" spans="17:33" ht="22" customHeight="1" x14ac:dyDescent="0.2">
      <c r="Q123" s="19"/>
      <c r="R123" s="14">
        <v>6</v>
      </c>
      <c r="S123" s="63" t="s">
        <v>164</v>
      </c>
      <c r="T123" s="64"/>
      <c r="U123" s="64"/>
      <c r="V123" s="64"/>
      <c r="W123" s="6" t="s">
        <v>674</v>
      </c>
    </row>
    <row r="124" spans="17:33" ht="22" customHeight="1" x14ac:dyDescent="0.2">
      <c r="Q124" s="20"/>
      <c r="R124" s="14">
        <v>7</v>
      </c>
      <c r="S124" s="63" t="s">
        <v>34</v>
      </c>
      <c r="T124" s="64"/>
      <c r="U124" s="64"/>
      <c r="V124" s="64"/>
      <c r="W124" s="6" t="s">
        <v>675</v>
      </c>
      <c r="Y124" s="65" t="s">
        <v>625</v>
      </c>
      <c r="Z124" s="64"/>
      <c r="AA124" s="64"/>
      <c r="AB124" s="64"/>
      <c r="AC124" s="64"/>
      <c r="AD124" s="64"/>
      <c r="AE124" s="64"/>
      <c r="AF124" s="64"/>
      <c r="AG124" s="64"/>
    </row>
    <row r="125" spans="17:33" ht="22" customHeight="1" x14ac:dyDescent="0.2">
      <c r="Q125" s="21"/>
      <c r="R125" s="14">
        <v>8</v>
      </c>
      <c r="S125" s="63" t="s">
        <v>47</v>
      </c>
      <c r="T125" s="64"/>
      <c r="U125" s="64"/>
      <c r="V125" s="64"/>
      <c r="W125" s="6" t="s">
        <v>676</v>
      </c>
      <c r="Y125" s="63" t="s">
        <v>677</v>
      </c>
      <c r="Z125" s="64"/>
      <c r="AA125" s="64"/>
      <c r="AB125" s="64"/>
      <c r="AC125" s="64"/>
      <c r="AD125" s="64"/>
      <c r="AE125" s="64"/>
      <c r="AF125" s="64"/>
      <c r="AG125" s="64"/>
    </row>
    <row r="126" spans="17:33" ht="22" customHeight="1" x14ac:dyDescent="0.2">
      <c r="Q126" s="22"/>
      <c r="R126" s="14">
        <v>9</v>
      </c>
      <c r="S126" s="63" t="s">
        <v>59</v>
      </c>
      <c r="T126" s="64"/>
      <c r="U126" s="64"/>
      <c r="V126" s="64"/>
      <c r="W126" s="6" t="s">
        <v>678</v>
      </c>
      <c r="Y126" s="64"/>
      <c r="Z126" s="64"/>
      <c r="AA126" s="64"/>
      <c r="AB126" s="64"/>
      <c r="AC126" s="64"/>
      <c r="AD126" s="64"/>
      <c r="AE126" s="64"/>
      <c r="AF126" s="64"/>
      <c r="AG126" s="64"/>
    </row>
    <row r="127" spans="17:33" ht="22" customHeight="1" x14ac:dyDescent="0.2">
      <c r="Q127" s="23"/>
      <c r="R127" s="14">
        <v>10</v>
      </c>
      <c r="S127" s="63" t="s">
        <v>129</v>
      </c>
      <c r="T127" s="64"/>
      <c r="U127" s="64"/>
      <c r="V127" s="64"/>
      <c r="W127" s="6" t="s">
        <v>679</v>
      </c>
      <c r="Y127" s="64"/>
      <c r="Z127" s="64"/>
      <c r="AA127" s="64"/>
      <c r="AB127" s="64"/>
      <c r="AC127" s="64"/>
      <c r="AD127" s="64"/>
      <c r="AE127" s="64"/>
      <c r="AF127" s="64"/>
      <c r="AG127" s="64"/>
    </row>
    <row r="128" spans="17:33" ht="22" customHeight="1" x14ac:dyDescent="0.2">
      <c r="Q128" s="24"/>
      <c r="R128" s="14">
        <v>11</v>
      </c>
      <c r="S128" s="63" t="s">
        <v>56</v>
      </c>
      <c r="T128" s="64"/>
      <c r="U128" s="64"/>
      <c r="V128" s="64"/>
      <c r="W128" s="6" t="s">
        <v>680</v>
      </c>
      <c r="Y128" s="64"/>
      <c r="Z128" s="64"/>
      <c r="AA128" s="64"/>
      <c r="AB128" s="64"/>
      <c r="AC128" s="64"/>
      <c r="AD128" s="64"/>
      <c r="AE128" s="64"/>
      <c r="AF128" s="64"/>
      <c r="AG128" s="64"/>
    </row>
    <row r="129" spans="17:33" ht="22" customHeight="1" x14ac:dyDescent="0.2">
      <c r="Q129" s="25"/>
      <c r="R129" s="14">
        <v>12</v>
      </c>
      <c r="S129" s="63" t="s">
        <v>27</v>
      </c>
      <c r="T129" s="64"/>
      <c r="U129" s="64"/>
      <c r="V129" s="64"/>
      <c r="W129" s="6" t="s">
        <v>681</v>
      </c>
    </row>
    <row r="130" spans="17:33" ht="22" customHeight="1" x14ac:dyDescent="0.2">
      <c r="Q130" s="13"/>
      <c r="R130" s="14">
        <v>13</v>
      </c>
      <c r="S130" s="63" t="s">
        <v>79</v>
      </c>
      <c r="T130" s="64"/>
      <c r="U130" s="64"/>
      <c r="V130" s="64"/>
      <c r="W130" s="6" t="s">
        <v>682</v>
      </c>
      <c r="Y130" s="65" t="s">
        <v>627</v>
      </c>
      <c r="Z130" s="64"/>
      <c r="AA130" s="64"/>
      <c r="AB130" s="64"/>
      <c r="AC130" s="64"/>
      <c r="AD130" s="64"/>
      <c r="AE130" s="64"/>
      <c r="AF130" s="64"/>
      <c r="AG130" s="64"/>
    </row>
    <row r="131" spans="17:33" ht="22" customHeight="1" x14ac:dyDescent="0.2">
      <c r="Q131" s="15"/>
      <c r="R131" s="14">
        <v>14</v>
      </c>
      <c r="S131" s="63" t="s">
        <v>112</v>
      </c>
      <c r="T131" s="64"/>
      <c r="U131" s="64"/>
      <c r="V131" s="64"/>
      <c r="W131" s="6" t="s">
        <v>683</v>
      </c>
      <c r="Y131" s="63" t="s">
        <v>684</v>
      </c>
      <c r="Z131" s="64"/>
      <c r="AA131" s="64"/>
      <c r="AB131" s="64"/>
      <c r="AC131" s="64"/>
      <c r="AD131" s="64"/>
      <c r="AE131" s="64"/>
      <c r="AF131" s="64"/>
      <c r="AG131" s="64"/>
    </row>
    <row r="132" spans="17:33" ht="22" customHeight="1" x14ac:dyDescent="0.2">
      <c r="Q132" s="16"/>
      <c r="R132" s="14">
        <v>15</v>
      </c>
      <c r="S132" s="63" t="s">
        <v>70</v>
      </c>
      <c r="T132" s="64"/>
      <c r="U132" s="64"/>
      <c r="V132" s="64"/>
      <c r="W132" s="6" t="s">
        <v>685</v>
      </c>
      <c r="Y132" s="64"/>
      <c r="Z132" s="64"/>
      <c r="AA132" s="64"/>
      <c r="AB132" s="64"/>
      <c r="AC132" s="64"/>
      <c r="AD132" s="64"/>
      <c r="AE132" s="64"/>
      <c r="AF132" s="64"/>
      <c r="AG132" s="64"/>
    </row>
    <row r="133" spans="17:33" ht="22" customHeight="1" x14ac:dyDescent="0.2">
      <c r="Q133" s="17"/>
      <c r="R133" s="14">
        <v>16</v>
      </c>
      <c r="S133" s="63" t="s">
        <v>53</v>
      </c>
      <c r="T133" s="64"/>
      <c r="U133" s="64"/>
      <c r="V133" s="64"/>
      <c r="W133" s="6" t="s">
        <v>686</v>
      </c>
      <c r="Y133" s="64"/>
      <c r="Z133" s="64"/>
      <c r="AA133" s="64"/>
      <c r="AB133" s="64"/>
      <c r="AC133" s="64"/>
      <c r="AD133" s="64"/>
      <c r="AE133" s="64"/>
      <c r="AF133" s="64"/>
      <c r="AG133" s="64"/>
    </row>
    <row r="134" spans="17:33" ht="22" customHeight="1" x14ac:dyDescent="0.2">
      <c r="Q134" s="18"/>
      <c r="R134" s="14">
        <v>17</v>
      </c>
      <c r="S134" s="63" t="s">
        <v>313</v>
      </c>
      <c r="T134" s="64"/>
      <c r="U134" s="64"/>
      <c r="V134" s="64"/>
      <c r="W134" s="6" t="s">
        <v>687</v>
      </c>
      <c r="Y134" s="64"/>
      <c r="Z134" s="64"/>
      <c r="AA134" s="64"/>
      <c r="AB134" s="64"/>
      <c r="AC134" s="64"/>
      <c r="AD134" s="64"/>
      <c r="AE134" s="64"/>
      <c r="AF134" s="64"/>
      <c r="AG134" s="64"/>
    </row>
    <row r="135" spans="17:33" ht="22" customHeight="1" x14ac:dyDescent="0.2">
      <c r="Q135" s="19"/>
      <c r="R135" s="14">
        <v>18</v>
      </c>
      <c r="S135" s="63" t="s">
        <v>198</v>
      </c>
      <c r="T135" s="64"/>
      <c r="U135" s="64"/>
      <c r="V135" s="64"/>
      <c r="W135" s="6" t="s">
        <v>688</v>
      </c>
    </row>
    <row r="136" spans="17:33" ht="22" customHeight="1" x14ac:dyDescent="0.2">
      <c r="Q136" s="20"/>
      <c r="R136" s="14">
        <v>19</v>
      </c>
      <c r="S136" s="63" t="s">
        <v>126</v>
      </c>
      <c r="T136" s="64"/>
      <c r="U136" s="64"/>
      <c r="V136" s="64"/>
      <c r="W136" s="6" t="s">
        <v>689</v>
      </c>
      <c r="Y136" s="65" t="s">
        <v>629</v>
      </c>
      <c r="Z136" s="64"/>
      <c r="AA136" s="64"/>
      <c r="AB136" s="64"/>
      <c r="AC136" s="64"/>
      <c r="AD136" s="64"/>
      <c r="AE136" s="64"/>
      <c r="AF136" s="64"/>
      <c r="AG136" s="64"/>
    </row>
    <row r="137" spans="17:33" ht="22" customHeight="1" x14ac:dyDescent="0.2">
      <c r="Q137" s="21"/>
      <c r="R137" s="14">
        <v>20</v>
      </c>
      <c r="S137" s="63" t="s">
        <v>51</v>
      </c>
      <c r="T137" s="64"/>
      <c r="U137" s="64"/>
      <c r="V137" s="64"/>
      <c r="W137" s="6" t="s">
        <v>690</v>
      </c>
      <c r="Y137" s="63" t="s">
        <v>691</v>
      </c>
      <c r="Z137" s="64"/>
      <c r="AA137" s="64"/>
      <c r="AB137" s="64"/>
      <c r="AC137" s="64"/>
      <c r="AD137" s="64"/>
      <c r="AE137" s="64"/>
      <c r="AF137" s="64"/>
      <c r="AG137" s="64"/>
    </row>
    <row r="138" spans="17:33" x14ac:dyDescent="0.2">
      <c r="Y138" s="64"/>
      <c r="Z138" s="64"/>
      <c r="AA138" s="64"/>
      <c r="AB138" s="64"/>
      <c r="AC138" s="64"/>
      <c r="AD138" s="64"/>
      <c r="AE138" s="64"/>
      <c r="AF138" s="64"/>
      <c r="AG138" s="64"/>
    </row>
    <row r="139" spans="17:33" x14ac:dyDescent="0.2">
      <c r="Y139" s="64"/>
      <c r="Z139" s="64"/>
      <c r="AA139" s="64"/>
      <c r="AB139" s="64"/>
      <c r="AC139" s="64"/>
      <c r="AD139" s="64"/>
      <c r="AE139" s="64"/>
      <c r="AF139" s="64"/>
      <c r="AG139" s="64"/>
    </row>
    <row r="140" spans="17:33" x14ac:dyDescent="0.2">
      <c r="Y140" s="64"/>
      <c r="Z140" s="64"/>
      <c r="AA140" s="64"/>
      <c r="AB140" s="64"/>
      <c r="AC140" s="64"/>
      <c r="AD140" s="64"/>
      <c r="AE140" s="64"/>
      <c r="AF140" s="64"/>
      <c r="AG140" s="64"/>
    </row>
    <row r="152" spans="17:33" ht="16" customHeight="1" x14ac:dyDescent="0.2">
      <c r="Q152" s="66" t="s">
        <v>692</v>
      </c>
      <c r="R152" s="64"/>
      <c r="S152" s="64"/>
      <c r="T152" s="64"/>
      <c r="U152" s="64"/>
      <c r="V152" s="64"/>
      <c r="W152" s="64"/>
      <c r="Y152" s="66" t="s">
        <v>617</v>
      </c>
      <c r="Z152" s="64"/>
      <c r="AA152" s="64"/>
      <c r="AB152" s="64"/>
      <c r="AC152" s="64"/>
      <c r="AD152" s="64"/>
      <c r="AE152" s="64"/>
      <c r="AF152" s="64"/>
      <c r="AG152" s="64"/>
    </row>
    <row r="153" spans="17:33" x14ac:dyDescent="0.2">
      <c r="Q153" s="12"/>
      <c r="R153" s="12" t="s">
        <v>618</v>
      </c>
      <c r="S153" s="12" t="s">
        <v>619</v>
      </c>
      <c r="W153" s="12" t="s">
        <v>620</v>
      </c>
    </row>
    <row r="154" spans="17:33" ht="22" customHeight="1" x14ac:dyDescent="0.2">
      <c r="Q154" s="13"/>
      <c r="R154" s="14">
        <v>1</v>
      </c>
      <c r="S154" s="63" t="s">
        <v>167</v>
      </c>
      <c r="T154" s="64"/>
      <c r="U154" s="64"/>
      <c r="V154" s="64"/>
      <c r="W154" s="6" t="s">
        <v>693</v>
      </c>
      <c r="Y154" s="65" t="s">
        <v>623</v>
      </c>
      <c r="Z154" s="64"/>
      <c r="AA154" s="64"/>
      <c r="AB154" s="64"/>
      <c r="AC154" s="64"/>
      <c r="AD154" s="64"/>
      <c r="AE154" s="64"/>
      <c r="AF154" s="64"/>
      <c r="AG154" s="64"/>
    </row>
    <row r="155" spans="17:33" ht="22" customHeight="1" x14ac:dyDescent="0.2">
      <c r="Q155" s="15"/>
      <c r="R155" s="14">
        <v>2</v>
      </c>
      <c r="S155" s="63" t="s">
        <v>40</v>
      </c>
      <c r="T155" s="64"/>
      <c r="U155" s="64"/>
      <c r="V155" s="64"/>
      <c r="W155" s="6" t="s">
        <v>662</v>
      </c>
      <c r="Y155" s="63" t="s">
        <v>694</v>
      </c>
      <c r="Z155" s="64"/>
      <c r="AA155" s="64"/>
      <c r="AB155" s="64"/>
      <c r="AC155" s="64"/>
      <c r="AD155" s="64"/>
      <c r="AE155" s="64"/>
      <c r="AF155" s="64"/>
      <c r="AG155" s="64"/>
    </row>
    <row r="156" spans="17:33" ht="22" customHeight="1" x14ac:dyDescent="0.2">
      <c r="Q156" s="16"/>
      <c r="R156" s="14">
        <v>3</v>
      </c>
      <c r="S156" s="63" t="s">
        <v>266</v>
      </c>
      <c r="T156" s="64"/>
      <c r="U156" s="64"/>
      <c r="V156" s="64"/>
      <c r="W156" s="6" t="s">
        <v>695</v>
      </c>
      <c r="Y156" s="64"/>
      <c r="Z156" s="64"/>
      <c r="AA156" s="64"/>
      <c r="AB156" s="64"/>
      <c r="AC156" s="64"/>
      <c r="AD156" s="64"/>
      <c r="AE156" s="64"/>
      <c r="AF156" s="64"/>
      <c r="AG156" s="64"/>
    </row>
    <row r="157" spans="17:33" ht="22" customHeight="1" x14ac:dyDescent="0.2">
      <c r="Q157" s="17"/>
      <c r="R157" s="14">
        <v>4</v>
      </c>
      <c r="S157" s="63" t="s">
        <v>141</v>
      </c>
      <c r="T157" s="64"/>
      <c r="U157" s="64"/>
      <c r="V157" s="64"/>
      <c r="W157" s="6" t="s">
        <v>696</v>
      </c>
      <c r="Y157" s="64"/>
      <c r="Z157" s="64"/>
      <c r="AA157" s="64"/>
      <c r="AB157" s="64"/>
      <c r="AC157" s="64"/>
      <c r="AD157" s="64"/>
      <c r="AE157" s="64"/>
      <c r="AF157" s="64"/>
      <c r="AG157" s="64"/>
    </row>
    <row r="158" spans="17:33" ht="22" customHeight="1" x14ac:dyDescent="0.2">
      <c r="Q158" s="18"/>
      <c r="R158" s="14">
        <v>5</v>
      </c>
      <c r="S158" s="63" t="s">
        <v>162</v>
      </c>
      <c r="T158" s="64"/>
      <c r="U158" s="64"/>
      <c r="V158" s="64"/>
      <c r="W158" s="6" t="s">
        <v>697</v>
      </c>
      <c r="Y158" s="64"/>
      <c r="Z158" s="64"/>
      <c r="AA158" s="64"/>
      <c r="AB158" s="64"/>
      <c r="AC158" s="64"/>
      <c r="AD158" s="64"/>
      <c r="AE158" s="64"/>
      <c r="AF158" s="64"/>
      <c r="AG158" s="64"/>
    </row>
    <row r="159" spans="17:33" ht="22" customHeight="1" x14ac:dyDescent="0.2">
      <c r="Q159" s="19"/>
      <c r="R159" s="14">
        <v>6</v>
      </c>
      <c r="S159" s="63" t="s">
        <v>82</v>
      </c>
      <c r="T159" s="64"/>
      <c r="U159" s="64"/>
      <c r="V159" s="64"/>
      <c r="W159" s="6" t="s">
        <v>646</v>
      </c>
    </row>
    <row r="160" spans="17:33" ht="22" customHeight="1" x14ac:dyDescent="0.2">
      <c r="Q160" s="20"/>
      <c r="R160" s="14">
        <v>7</v>
      </c>
      <c r="S160" s="63" t="s">
        <v>131</v>
      </c>
      <c r="T160" s="64"/>
      <c r="U160" s="64"/>
      <c r="V160" s="64"/>
      <c r="W160" s="6" t="s">
        <v>698</v>
      </c>
      <c r="Y160" s="65" t="s">
        <v>625</v>
      </c>
      <c r="Z160" s="64"/>
      <c r="AA160" s="64"/>
      <c r="AB160" s="64"/>
      <c r="AC160" s="64"/>
      <c r="AD160" s="64"/>
      <c r="AE160" s="64"/>
      <c r="AF160" s="64"/>
      <c r="AG160" s="64"/>
    </row>
    <row r="161" spans="17:33" ht="22" customHeight="1" x14ac:dyDescent="0.2">
      <c r="Q161" s="21"/>
      <c r="R161" s="14">
        <v>8</v>
      </c>
      <c r="S161" s="63" t="s">
        <v>328</v>
      </c>
      <c r="T161" s="64"/>
      <c r="U161" s="64"/>
      <c r="V161" s="64"/>
      <c r="W161" s="6" t="s">
        <v>699</v>
      </c>
      <c r="Y161" s="63" t="s">
        <v>700</v>
      </c>
      <c r="Z161" s="64"/>
      <c r="AA161" s="64"/>
      <c r="AB161" s="64"/>
      <c r="AC161" s="64"/>
      <c r="AD161" s="64"/>
      <c r="AE161" s="64"/>
      <c r="AF161" s="64"/>
      <c r="AG161" s="64"/>
    </row>
    <row r="162" spans="17:33" ht="22" customHeight="1" x14ac:dyDescent="0.2">
      <c r="Q162" s="22"/>
      <c r="R162" s="14">
        <v>9</v>
      </c>
      <c r="S162" s="63" t="s">
        <v>161</v>
      </c>
      <c r="T162" s="64"/>
      <c r="U162" s="64"/>
      <c r="V162" s="64"/>
      <c r="W162" s="6" t="s">
        <v>701</v>
      </c>
      <c r="Y162" s="64"/>
      <c r="Z162" s="64"/>
      <c r="AA162" s="64"/>
      <c r="AB162" s="64"/>
      <c r="AC162" s="64"/>
      <c r="AD162" s="64"/>
      <c r="AE162" s="64"/>
      <c r="AF162" s="64"/>
      <c r="AG162" s="64"/>
    </row>
    <row r="163" spans="17:33" ht="22" customHeight="1" x14ac:dyDescent="0.2">
      <c r="Q163" s="23"/>
      <c r="R163" s="14">
        <v>10</v>
      </c>
      <c r="S163" s="63" t="s">
        <v>251</v>
      </c>
      <c r="T163" s="64"/>
      <c r="U163" s="64"/>
      <c r="V163" s="64"/>
      <c r="W163" s="6" t="s">
        <v>702</v>
      </c>
      <c r="Y163" s="64"/>
      <c r="Z163" s="64"/>
      <c r="AA163" s="64"/>
      <c r="AB163" s="64"/>
      <c r="AC163" s="64"/>
      <c r="AD163" s="64"/>
      <c r="AE163" s="64"/>
      <c r="AF163" s="64"/>
      <c r="AG163" s="64"/>
    </row>
    <row r="164" spans="17:33" x14ac:dyDescent="0.2">
      <c r="Y164" s="64"/>
      <c r="Z164" s="64"/>
      <c r="AA164" s="64"/>
      <c r="AB164" s="64"/>
      <c r="AC164" s="64"/>
      <c r="AD164" s="64"/>
      <c r="AE164" s="64"/>
      <c r="AF164" s="64"/>
      <c r="AG164" s="64"/>
    </row>
    <row r="166" spans="17:33" x14ac:dyDescent="0.2">
      <c r="Y166" s="65" t="s">
        <v>627</v>
      </c>
      <c r="Z166" s="64"/>
      <c r="AA166" s="64"/>
      <c r="AB166" s="64"/>
      <c r="AC166" s="64"/>
      <c r="AD166" s="64"/>
      <c r="AE166" s="64"/>
      <c r="AF166" s="64"/>
      <c r="AG166" s="64"/>
    </row>
    <row r="167" spans="17:33" x14ac:dyDescent="0.2">
      <c r="Y167" s="63" t="s">
        <v>703</v>
      </c>
      <c r="Z167" s="64"/>
      <c r="AA167" s="64"/>
      <c r="AB167" s="64"/>
      <c r="AC167" s="64"/>
      <c r="AD167" s="64"/>
      <c r="AE167" s="64"/>
      <c r="AF167" s="64"/>
      <c r="AG167" s="64"/>
    </row>
    <row r="168" spans="17:33" x14ac:dyDescent="0.2">
      <c r="Y168" s="64"/>
      <c r="Z168" s="64"/>
      <c r="AA168" s="64"/>
      <c r="AB168" s="64"/>
      <c r="AC168" s="64"/>
      <c r="AD168" s="64"/>
      <c r="AE168" s="64"/>
      <c r="AF168" s="64"/>
      <c r="AG168" s="64"/>
    </row>
    <row r="169" spans="17:33" x14ac:dyDescent="0.2">
      <c r="Y169" s="64"/>
      <c r="Z169" s="64"/>
      <c r="AA169" s="64"/>
      <c r="AB169" s="64"/>
      <c r="AC169" s="64"/>
      <c r="AD169" s="64"/>
      <c r="AE169" s="64"/>
      <c r="AF169" s="64"/>
      <c r="AG169" s="64"/>
    </row>
    <row r="170" spans="17:33" x14ac:dyDescent="0.2">
      <c r="Y170" s="64"/>
      <c r="Z170" s="64"/>
      <c r="AA170" s="64"/>
      <c r="AB170" s="64"/>
      <c r="AC170" s="64"/>
      <c r="AD170" s="64"/>
      <c r="AE170" s="64"/>
      <c r="AF170" s="64"/>
      <c r="AG170" s="64"/>
    </row>
    <row r="172" spans="17:33" x14ac:dyDescent="0.2">
      <c r="Y172" s="65" t="s">
        <v>629</v>
      </c>
      <c r="Z172" s="64"/>
      <c r="AA172" s="64"/>
      <c r="AB172" s="64"/>
      <c r="AC172" s="64"/>
      <c r="AD172" s="64"/>
      <c r="AE172" s="64"/>
      <c r="AF172" s="64"/>
      <c r="AG172" s="64"/>
    </row>
    <row r="173" spans="17:33" x14ac:dyDescent="0.2">
      <c r="Y173" s="63" t="s">
        <v>704</v>
      </c>
      <c r="Z173" s="64"/>
      <c r="AA173" s="64"/>
      <c r="AB173" s="64"/>
      <c r="AC173" s="64"/>
      <c r="AD173" s="64"/>
      <c r="AE173" s="64"/>
      <c r="AF173" s="64"/>
      <c r="AG173" s="64"/>
    </row>
    <row r="174" spans="17:33" x14ac:dyDescent="0.2">
      <c r="Y174" s="64"/>
      <c r="Z174" s="64"/>
      <c r="AA174" s="64"/>
      <c r="AB174" s="64"/>
      <c r="AC174" s="64"/>
      <c r="AD174" s="64"/>
      <c r="AE174" s="64"/>
      <c r="AF174" s="64"/>
      <c r="AG174" s="64"/>
    </row>
    <row r="175" spans="17:33" x14ac:dyDescent="0.2">
      <c r="Y175" s="64"/>
      <c r="Z175" s="64"/>
      <c r="AA175" s="64"/>
      <c r="AB175" s="64"/>
      <c r="AC175" s="64"/>
      <c r="AD175" s="64"/>
      <c r="AE175" s="64"/>
      <c r="AF175" s="64"/>
      <c r="AG175" s="64"/>
    </row>
    <row r="176" spans="17:33" x14ac:dyDescent="0.2">
      <c r="Y176" s="64"/>
      <c r="Z176" s="64"/>
      <c r="AA176" s="64"/>
      <c r="AB176" s="64"/>
      <c r="AC176" s="64"/>
      <c r="AD176" s="64"/>
      <c r="AE176" s="64"/>
      <c r="AF176" s="64"/>
      <c r="AG176" s="64"/>
    </row>
    <row r="188" spans="17:33" ht="16" customHeight="1" x14ac:dyDescent="0.2">
      <c r="Q188" s="66" t="s">
        <v>705</v>
      </c>
      <c r="R188" s="64"/>
      <c r="S188" s="64"/>
      <c r="T188" s="64"/>
      <c r="U188" s="64"/>
      <c r="V188" s="64"/>
      <c r="W188" s="64"/>
      <c r="Y188" s="66" t="s">
        <v>617</v>
      </c>
      <c r="Z188" s="64"/>
      <c r="AA188" s="64"/>
      <c r="AB188" s="64"/>
      <c r="AC188" s="64"/>
      <c r="AD188" s="64"/>
      <c r="AE188" s="64"/>
      <c r="AF188" s="64"/>
      <c r="AG188" s="64"/>
    </row>
    <row r="189" spans="17:33" x14ac:dyDescent="0.2">
      <c r="Q189" s="12"/>
      <c r="R189" s="12" t="s">
        <v>618</v>
      </c>
      <c r="S189" s="12" t="s">
        <v>619</v>
      </c>
      <c r="W189" s="12" t="s">
        <v>620</v>
      </c>
    </row>
    <row r="190" spans="17:33" ht="22" customHeight="1" x14ac:dyDescent="0.2">
      <c r="Q190" s="13"/>
      <c r="R190" s="14">
        <v>1</v>
      </c>
      <c r="S190" s="63" t="s">
        <v>455</v>
      </c>
      <c r="T190" s="64"/>
      <c r="U190" s="64"/>
      <c r="V190" s="64"/>
      <c r="W190" s="6" t="s">
        <v>656</v>
      </c>
      <c r="Y190" s="65" t="s">
        <v>623</v>
      </c>
      <c r="Z190" s="64"/>
      <c r="AA190" s="64"/>
      <c r="AB190" s="64"/>
      <c r="AC190" s="64"/>
      <c r="AD190" s="64"/>
      <c r="AE190" s="64"/>
      <c r="AF190" s="64"/>
      <c r="AG190" s="64"/>
    </row>
    <row r="191" spans="17:33" ht="22" customHeight="1" x14ac:dyDescent="0.2">
      <c r="Q191" s="15"/>
      <c r="R191" s="14">
        <v>2</v>
      </c>
      <c r="S191" s="63" t="s">
        <v>352</v>
      </c>
      <c r="T191" s="64"/>
      <c r="U191" s="64"/>
      <c r="V191" s="64"/>
      <c r="W191" s="6" t="s">
        <v>657</v>
      </c>
      <c r="Y191" s="63" t="s">
        <v>706</v>
      </c>
      <c r="Z191" s="64"/>
      <c r="AA191" s="64"/>
      <c r="AB191" s="64"/>
      <c r="AC191" s="64"/>
      <c r="AD191" s="64"/>
      <c r="AE191" s="64"/>
      <c r="AF191" s="64"/>
      <c r="AG191" s="64"/>
    </row>
    <row r="192" spans="17:33" ht="22" customHeight="1" x14ac:dyDescent="0.2">
      <c r="Q192" s="16"/>
      <c r="R192" s="14">
        <v>3</v>
      </c>
      <c r="S192" s="63" t="s">
        <v>450</v>
      </c>
      <c r="T192" s="64"/>
      <c r="U192" s="64"/>
      <c r="V192" s="64"/>
      <c r="W192" s="6" t="s">
        <v>659</v>
      </c>
      <c r="Y192" s="64"/>
      <c r="Z192" s="64"/>
      <c r="AA192" s="64"/>
      <c r="AB192" s="64"/>
      <c r="AC192" s="64"/>
      <c r="AD192" s="64"/>
      <c r="AE192" s="64"/>
      <c r="AF192" s="64"/>
      <c r="AG192" s="64"/>
    </row>
    <row r="193" spans="17:33" ht="22" customHeight="1" x14ac:dyDescent="0.2">
      <c r="Q193" s="17"/>
      <c r="R193" s="14">
        <v>4</v>
      </c>
      <c r="S193" s="63" t="s">
        <v>402</v>
      </c>
      <c r="T193" s="64"/>
      <c r="U193" s="64"/>
      <c r="V193" s="64"/>
      <c r="W193" s="6" t="s">
        <v>660</v>
      </c>
      <c r="Y193" s="64"/>
      <c r="Z193" s="64"/>
      <c r="AA193" s="64"/>
      <c r="AB193" s="64"/>
      <c r="AC193" s="64"/>
      <c r="AD193" s="64"/>
      <c r="AE193" s="64"/>
      <c r="AF193" s="64"/>
      <c r="AG193" s="64"/>
    </row>
    <row r="194" spans="17:33" ht="22" customHeight="1" x14ac:dyDescent="0.2">
      <c r="Q194" s="18"/>
      <c r="R194" s="14">
        <v>5</v>
      </c>
      <c r="S194" s="63" t="s">
        <v>558</v>
      </c>
      <c r="T194" s="64"/>
      <c r="U194" s="64"/>
      <c r="V194" s="64"/>
      <c r="W194" s="6" t="s">
        <v>661</v>
      </c>
      <c r="Y194" s="64"/>
      <c r="Z194" s="64"/>
      <c r="AA194" s="64"/>
      <c r="AB194" s="64"/>
      <c r="AC194" s="64"/>
      <c r="AD194" s="64"/>
      <c r="AE194" s="64"/>
      <c r="AF194" s="64"/>
      <c r="AG194" s="64"/>
    </row>
    <row r="195" spans="17:33" ht="22" customHeight="1" x14ac:dyDescent="0.2">
      <c r="Q195" s="19"/>
      <c r="R195" s="14">
        <v>6</v>
      </c>
      <c r="S195" s="63" t="s">
        <v>607</v>
      </c>
      <c r="T195" s="64"/>
      <c r="U195" s="64"/>
      <c r="V195" s="64"/>
      <c r="W195" s="6" t="s">
        <v>662</v>
      </c>
    </row>
    <row r="196" spans="17:33" ht="22" customHeight="1" x14ac:dyDescent="0.2">
      <c r="Q196" s="20"/>
      <c r="R196" s="14">
        <v>7</v>
      </c>
      <c r="S196" s="63" t="s">
        <v>561</v>
      </c>
      <c r="T196" s="64"/>
      <c r="U196" s="64"/>
      <c r="V196" s="64"/>
      <c r="W196" s="6" t="s">
        <v>663</v>
      </c>
      <c r="Y196" s="65" t="s">
        <v>625</v>
      </c>
      <c r="Z196" s="64"/>
      <c r="AA196" s="64"/>
      <c r="AB196" s="64"/>
      <c r="AC196" s="64"/>
      <c r="AD196" s="64"/>
      <c r="AE196" s="64"/>
      <c r="AF196" s="64"/>
      <c r="AG196" s="64"/>
    </row>
    <row r="197" spans="17:33" ht="22" customHeight="1" x14ac:dyDescent="0.2">
      <c r="Q197" s="21"/>
      <c r="R197" s="14">
        <v>8</v>
      </c>
      <c r="S197" s="63" t="s">
        <v>594</v>
      </c>
      <c r="T197" s="64"/>
      <c r="U197" s="64"/>
      <c r="V197" s="64"/>
      <c r="W197" s="6" t="s">
        <v>664</v>
      </c>
      <c r="Y197" s="63" t="s">
        <v>707</v>
      </c>
      <c r="Z197" s="64"/>
      <c r="AA197" s="64"/>
      <c r="AB197" s="64"/>
      <c r="AC197" s="64"/>
      <c r="AD197" s="64"/>
      <c r="AE197" s="64"/>
      <c r="AF197" s="64"/>
      <c r="AG197" s="64"/>
    </row>
    <row r="198" spans="17:33" ht="22" customHeight="1" x14ac:dyDescent="0.2">
      <c r="Q198" s="26"/>
      <c r="R198" s="14">
        <v>1</v>
      </c>
      <c r="S198" s="63" t="s">
        <v>708</v>
      </c>
      <c r="T198" s="64"/>
      <c r="U198" s="64"/>
      <c r="V198" s="64"/>
      <c r="W198" s="6" t="s">
        <v>622</v>
      </c>
      <c r="Y198" s="64"/>
      <c r="Z198" s="64"/>
      <c r="AA198" s="64"/>
      <c r="AB198" s="64"/>
      <c r="AC198" s="64"/>
      <c r="AD198" s="64"/>
      <c r="AE198" s="64"/>
      <c r="AF198" s="64"/>
      <c r="AG198" s="64"/>
    </row>
    <row r="199" spans="17:33" x14ac:dyDescent="0.2">
      <c r="Y199" s="64"/>
      <c r="Z199" s="64"/>
      <c r="AA199" s="64"/>
      <c r="AB199" s="64"/>
      <c r="AC199" s="64"/>
      <c r="AD199" s="64"/>
      <c r="AE199" s="64"/>
      <c r="AF199" s="64"/>
      <c r="AG199" s="64"/>
    </row>
    <row r="200" spans="17:33" x14ac:dyDescent="0.2">
      <c r="Y200" s="64"/>
      <c r="Z200" s="64"/>
      <c r="AA200" s="64"/>
      <c r="AB200" s="64"/>
      <c r="AC200" s="64"/>
      <c r="AD200" s="64"/>
      <c r="AE200" s="64"/>
      <c r="AF200" s="64"/>
      <c r="AG200" s="64"/>
    </row>
    <row r="202" spans="17:33" x14ac:dyDescent="0.2">
      <c r="Y202" s="65" t="s">
        <v>627</v>
      </c>
      <c r="Z202" s="64"/>
      <c r="AA202" s="64"/>
      <c r="AB202" s="64"/>
      <c r="AC202" s="64"/>
      <c r="AD202" s="64"/>
      <c r="AE202" s="64"/>
      <c r="AF202" s="64"/>
      <c r="AG202" s="64"/>
    </row>
    <row r="203" spans="17:33" x14ac:dyDescent="0.2">
      <c r="Y203" s="63" t="s">
        <v>709</v>
      </c>
      <c r="Z203" s="64"/>
      <c r="AA203" s="64"/>
      <c r="AB203" s="64"/>
      <c r="AC203" s="64"/>
      <c r="AD203" s="64"/>
      <c r="AE203" s="64"/>
      <c r="AF203" s="64"/>
      <c r="AG203" s="64"/>
    </row>
    <row r="204" spans="17:33" x14ac:dyDescent="0.2">
      <c r="Y204" s="64"/>
      <c r="Z204" s="64"/>
      <c r="AA204" s="64"/>
      <c r="AB204" s="64"/>
      <c r="AC204" s="64"/>
      <c r="AD204" s="64"/>
      <c r="AE204" s="64"/>
      <c r="AF204" s="64"/>
      <c r="AG204" s="64"/>
    </row>
    <row r="205" spans="17:33" x14ac:dyDescent="0.2">
      <c r="Y205" s="64"/>
      <c r="Z205" s="64"/>
      <c r="AA205" s="64"/>
      <c r="AB205" s="64"/>
      <c r="AC205" s="64"/>
      <c r="AD205" s="64"/>
      <c r="AE205" s="64"/>
      <c r="AF205" s="64"/>
      <c r="AG205" s="64"/>
    </row>
    <row r="206" spans="17:33" x14ac:dyDescent="0.2">
      <c r="Y206" s="64"/>
      <c r="Z206" s="64"/>
      <c r="AA206" s="64"/>
      <c r="AB206" s="64"/>
      <c r="AC206" s="64"/>
      <c r="AD206" s="64"/>
      <c r="AE206" s="64"/>
      <c r="AF206" s="64"/>
      <c r="AG206" s="64"/>
    </row>
    <row r="208" spans="17:33" x14ac:dyDescent="0.2">
      <c r="Y208" s="65" t="s">
        <v>629</v>
      </c>
      <c r="Z208" s="64"/>
      <c r="AA208" s="64"/>
      <c r="AB208" s="64"/>
      <c r="AC208" s="64"/>
      <c r="AD208" s="64"/>
      <c r="AE208" s="64"/>
      <c r="AF208" s="64"/>
      <c r="AG208" s="64"/>
    </row>
    <row r="209" spans="17:33" x14ac:dyDescent="0.2">
      <c r="Y209" s="63" t="s">
        <v>710</v>
      </c>
      <c r="Z209" s="64"/>
      <c r="AA209" s="64"/>
      <c r="AB209" s="64"/>
      <c r="AC209" s="64"/>
      <c r="AD209" s="64"/>
      <c r="AE209" s="64"/>
      <c r="AF209" s="64"/>
      <c r="AG209" s="64"/>
    </row>
    <row r="210" spans="17:33" x14ac:dyDescent="0.2">
      <c r="Y210" s="64"/>
      <c r="Z210" s="64"/>
      <c r="AA210" s="64"/>
      <c r="AB210" s="64"/>
      <c r="AC210" s="64"/>
      <c r="AD210" s="64"/>
      <c r="AE210" s="64"/>
      <c r="AF210" s="64"/>
      <c r="AG210" s="64"/>
    </row>
    <row r="211" spans="17:33" x14ac:dyDescent="0.2">
      <c r="Y211" s="64"/>
      <c r="Z211" s="64"/>
      <c r="AA211" s="64"/>
      <c r="AB211" s="64"/>
      <c r="AC211" s="64"/>
      <c r="AD211" s="64"/>
      <c r="AE211" s="64"/>
      <c r="AF211" s="64"/>
      <c r="AG211" s="64"/>
    </row>
    <row r="212" spans="17:33" x14ac:dyDescent="0.2">
      <c r="Y212" s="64"/>
      <c r="Z212" s="64"/>
      <c r="AA212" s="64"/>
      <c r="AB212" s="64"/>
      <c r="AC212" s="64"/>
      <c r="AD212" s="64"/>
      <c r="AE212" s="64"/>
      <c r="AF212" s="64"/>
      <c r="AG212" s="64"/>
    </row>
    <row r="224" spans="17:33" ht="16" customHeight="1" x14ac:dyDescent="0.2">
      <c r="Q224" s="66" t="s">
        <v>631</v>
      </c>
      <c r="R224" s="64"/>
      <c r="S224" s="64"/>
      <c r="T224" s="64"/>
      <c r="U224" s="64"/>
      <c r="V224" s="64"/>
      <c r="W224" s="64"/>
      <c r="Y224" s="66" t="s">
        <v>617</v>
      </c>
      <c r="Z224" s="64"/>
      <c r="AA224" s="64"/>
      <c r="AB224" s="64"/>
      <c r="AC224" s="64"/>
      <c r="AD224" s="64"/>
      <c r="AE224" s="64"/>
      <c r="AF224" s="64"/>
      <c r="AG224" s="64"/>
    </row>
    <row r="225" spans="17:33" x14ac:dyDescent="0.2">
      <c r="Q225" s="12"/>
      <c r="R225" s="12" t="s">
        <v>618</v>
      </c>
      <c r="S225" s="12" t="s">
        <v>619</v>
      </c>
      <c r="W225" s="12" t="s">
        <v>620</v>
      </c>
    </row>
    <row r="226" spans="17:33" ht="22" customHeight="1" x14ac:dyDescent="0.2">
      <c r="Q226" s="13"/>
      <c r="R226" s="14">
        <v>1</v>
      </c>
      <c r="S226" s="63" t="s">
        <v>122</v>
      </c>
      <c r="T226" s="64"/>
      <c r="U226" s="64"/>
      <c r="V226" s="64"/>
      <c r="W226" s="6" t="s">
        <v>711</v>
      </c>
      <c r="Y226" s="65" t="s">
        <v>623</v>
      </c>
      <c r="Z226" s="64"/>
      <c r="AA226" s="64"/>
      <c r="AB226" s="64"/>
      <c r="AC226" s="64"/>
      <c r="AD226" s="64"/>
      <c r="AE226" s="64"/>
      <c r="AF226" s="64"/>
      <c r="AG226" s="64"/>
    </row>
    <row r="227" spans="17:33" ht="22" customHeight="1" x14ac:dyDescent="0.2">
      <c r="Q227" s="15"/>
      <c r="R227" s="14">
        <v>2</v>
      </c>
      <c r="S227" s="63" t="s">
        <v>83</v>
      </c>
      <c r="T227" s="64"/>
      <c r="U227" s="64"/>
      <c r="V227" s="64"/>
      <c r="W227" s="6" t="s">
        <v>712</v>
      </c>
      <c r="Y227" s="63" t="s">
        <v>713</v>
      </c>
      <c r="Z227" s="64"/>
      <c r="AA227" s="64"/>
      <c r="AB227" s="64"/>
      <c r="AC227" s="64"/>
      <c r="AD227" s="64"/>
      <c r="AE227" s="64"/>
      <c r="AF227" s="64"/>
      <c r="AG227" s="64"/>
    </row>
    <row r="228" spans="17:33" ht="22" customHeight="1" x14ac:dyDescent="0.2">
      <c r="Q228" s="16"/>
      <c r="R228" s="14">
        <v>3</v>
      </c>
      <c r="S228" s="63" t="s">
        <v>31</v>
      </c>
      <c r="T228" s="64"/>
      <c r="U228" s="64"/>
      <c r="V228" s="64"/>
      <c r="W228" s="6" t="s">
        <v>714</v>
      </c>
      <c r="Y228" s="64"/>
      <c r="Z228" s="64"/>
      <c r="AA228" s="64"/>
      <c r="AB228" s="64"/>
      <c r="AC228" s="64"/>
      <c r="AD228" s="64"/>
      <c r="AE228" s="64"/>
      <c r="AF228" s="64"/>
      <c r="AG228" s="64"/>
    </row>
    <row r="229" spans="17:33" ht="22" customHeight="1" x14ac:dyDescent="0.2">
      <c r="Q229" s="17"/>
      <c r="R229" s="14">
        <v>4</v>
      </c>
      <c r="S229" s="63" t="s">
        <v>107</v>
      </c>
      <c r="T229" s="64"/>
      <c r="U229" s="64"/>
      <c r="V229" s="64"/>
      <c r="W229" s="6" t="s">
        <v>715</v>
      </c>
      <c r="Y229" s="64"/>
      <c r="Z229" s="64"/>
      <c r="AA229" s="64"/>
      <c r="AB229" s="64"/>
      <c r="AC229" s="64"/>
      <c r="AD229" s="64"/>
      <c r="AE229" s="64"/>
      <c r="AF229" s="64"/>
      <c r="AG229" s="64"/>
    </row>
    <row r="230" spans="17:33" ht="22" customHeight="1" x14ac:dyDescent="0.2">
      <c r="Q230" s="18"/>
      <c r="R230" s="14">
        <v>5</v>
      </c>
      <c r="S230" s="63" t="s">
        <v>47</v>
      </c>
      <c r="T230" s="64"/>
      <c r="U230" s="64"/>
      <c r="V230" s="64"/>
      <c r="W230" s="6" t="s">
        <v>716</v>
      </c>
      <c r="Y230" s="64"/>
      <c r="Z230" s="64"/>
      <c r="AA230" s="64"/>
      <c r="AB230" s="64"/>
      <c r="AC230" s="64"/>
      <c r="AD230" s="64"/>
      <c r="AE230" s="64"/>
      <c r="AF230" s="64"/>
      <c r="AG230" s="64"/>
    </row>
    <row r="231" spans="17:33" ht="22" customHeight="1" x14ac:dyDescent="0.2">
      <c r="Q231" s="19"/>
      <c r="R231" s="14">
        <v>6</v>
      </c>
      <c r="S231" s="63" t="s">
        <v>59</v>
      </c>
      <c r="T231" s="64"/>
      <c r="U231" s="64"/>
      <c r="V231" s="64"/>
      <c r="W231" s="6" t="s">
        <v>717</v>
      </c>
    </row>
    <row r="232" spans="17:33" ht="22" customHeight="1" x14ac:dyDescent="0.2">
      <c r="Q232" s="20"/>
      <c r="R232" s="14">
        <v>7</v>
      </c>
      <c r="S232" s="63" t="s">
        <v>112</v>
      </c>
      <c r="T232" s="64"/>
      <c r="U232" s="64"/>
      <c r="V232" s="64"/>
      <c r="W232" s="6" t="s">
        <v>717</v>
      </c>
      <c r="Y232" s="65" t="s">
        <v>625</v>
      </c>
      <c r="Z232" s="64"/>
      <c r="AA232" s="64"/>
      <c r="AB232" s="64"/>
      <c r="AC232" s="64"/>
      <c r="AD232" s="64"/>
      <c r="AE232" s="64"/>
      <c r="AF232" s="64"/>
      <c r="AG232" s="64"/>
    </row>
    <row r="233" spans="17:33" ht="22" customHeight="1" x14ac:dyDescent="0.2">
      <c r="Q233" s="21"/>
      <c r="R233" s="14">
        <v>8</v>
      </c>
      <c r="S233" s="63" t="s">
        <v>129</v>
      </c>
      <c r="T233" s="64"/>
      <c r="U233" s="64"/>
      <c r="V233" s="64"/>
      <c r="W233" s="6" t="s">
        <v>717</v>
      </c>
      <c r="Y233" s="63" t="s">
        <v>718</v>
      </c>
      <c r="Z233" s="64"/>
      <c r="AA233" s="64"/>
      <c r="AB233" s="64"/>
      <c r="AC233" s="64"/>
      <c r="AD233" s="64"/>
      <c r="AE233" s="64"/>
      <c r="AF233" s="64"/>
      <c r="AG233" s="64"/>
    </row>
    <row r="234" spans="17:33" ht="22" customHeight="1" x14ac:dyDescent="0.2">
      <c r="Q234" s="22"/>
      <c r="R234" s="14">
        <v>9</v>
      </c>
      <c r="S234" s="63" t="s">
        <v>255</v>
      </c>
      <c r="T234" s="64"/>
      <c r="U234" s="64"/>
      <c r="V234" s="64"/>
      <c r="W234" s="6" t="s">
        <v>717</v>
      </c>
      <c r="Y234" s="64"/>
      <c r="Z234" s="64"/>
      <c r="AA234" s="64"/>
      <c r="AB234" s="64"/>
      <c r="AC234" s="64"/>
      <c r="AD234" s="64"/>
      <c r="AE234" s="64"/>
      <c r="AF234" s="64"/>
      <c r="AG234" s="64"/>
    </row>
    <row r="235" spans="17:33" ht="22" customHeight="1" x14ac:dyDescent="0.2">
      <c r="Q235" s="23"/>
      <c r="R235" s="14">
        <v>10</v>
      </c>
      <c r="S235" s="63" t="s">
        <v>56</v>
      </c>
      <c r="T235" s="64"/>
      <c r="U235" s="64"/>
      <c r="V235" s="64"/>
      <c r="W235" s="6" t="s">
        <v>717</v>
      </c>
      <c r="Y235" s="64"/>
      <c r="Z235" s="64"/>
      <c r="AA235" s="64"/>
      <c r="AB235" s="64"/>
      <c r="AC235" s="64"/>
      <c r="AD235" s="64"/>
      <c r="AE235" s="64"/>
      <c r="AF235" s="64"/>
      <c r="AG235" s="64"/>
    </row>
    <row r="236" spans="17:33" ht="22" customHeight="1" x14ac:dyDescent="0.2">
      <c r="Q236" s="24"/>
      <c r="R236" s="14">
        <v>11</v>
      </c>
      <c r="S236" s="63" t="s">
        <v>164</v>
      </c>
      <c r="T236" s="64"/>
      <c r="U236" s="64"/>
      <c r="V236" s="64"/>
      <c r="W236" s="6" t="s">
        <v>719</v>
      </c>
      <c r="Y236" s="64"/>
      <c r="Z236" s="64"/>
      <c r="AA236" s="64"/>
      <c r="AB236" s="64"/>
      <c r="AC236" s="64"/>
      <c r="AD236" s="64"/>
      <c r="AE236" s="64"/>
      <c r="AF236" s="64"/>
      <c r="AG236" s="64"/>
    </row>
    <row r="237" spans="17:33" ht="22" customHeight="1" x14ac:dyDescent="0.2">
      <c r="Q237" s="25"/>
      <c r="R237" s="14">
        <v>12</v>
      </c>
      <c r="S237" s="63" t="s">
        <v>198</v>
      </c>
      <c r="T237" s="64"/>
      <c r="U237" s="64"/>
      <c r="V237" s="64"/>
      <c r="W237" s="6" t="s">
        <v>719</v>
      </c>
    </row>
    <row r="238" spans="17:33" ht="22" customHeight="1" x14ac:dyDescent="0.2">
      <c r="Q238" s="13"/>
      <c r="R238" s="14">
        <v>13</v>
      </c>
      <c r="S238" s="63" t="s">
        <v>27</v>
      </c>
      <c r="T238" s="64"/>
      <c r="U238" s="64"/>
      <c r="V238" s="64"/>
      <c r="W238" s="6" t="s">
        <v>719</v>
      </c>
      <c r="Y238" s="65" t="s">
        <v>627</v>
      </c>
      <c r="Z238" s="64"/>
      <c r="AA238" s="64"/>
      <c r="AB238" s="64"/>
      <c r="AC238" s="64"/>
      <c r="AD238" s="64"/>
      <c r="AE238" s="64"/>
      <c r="AF238" s="64"/>
      <c r="AG238" s="64"/>
    </row>
    <row r="239" spans="17:33" ht="22" customHeight="1" x14ac:dyDescent="0.2">
      <c r="Q239" s="15"/>
      <c r="R239" s="14">
        <v>14</v>
      </c>
      <c r="S239" s="63" t="s">
        <v>34</v>
      </c>
      <c r="T239" s="64"/>
      <c r="U239" s="64"/>
      <c r="V239" s="64"/>
      <c r="W239" s="6" t="s">
        <v>720</v>
      </c>
      <c r="Y239" s="63" t="s">
        <v>721</v>
      </c>
      <c r="Z239" s="64"/>
      <c r="AA239" s="64"/>
      <c r="AB239" s="64"/>
      <c r="AC239" s="64"/>
      <c r="AD239" s="64"/>
      <c r="AE239" s="64"/>
      <c r="AF239" s="64"/>
      <c r="AG239" s="64"/>
    </row>
    <row r="240" spans="17:33" ht="22" customHeight="1" x14ac:dyDescent="0.2">
      <c r="Q240" s="16"/>
      <c r="R240" s="14">
        <v>15</v>
      </c>
      <c r="S240" s="63" t="s">
        <v>70</v>
      </c>
      <c r="T240" s="64"/>
      <c r="U240" s="64"/>
      <c r="V240" s="64"/>
      <c r="W240" s="6" t="s">
        <v>720</v>
      </c>
      <c r="Y240" s="64"/>
      <c r="Z240" s="64"/>
      <c r="AA240" s="64"/>
      <c r="AB240" s="64"/>
      <c r="AC240" s="64"/>
      <c r="AD240" s="64"/>
      <c r="AE240" s="64"/>
      <c r="AF240" s="64"/>
      <c r="AG240" s="64"/>
    </row>
    <row r="241" spans="17:33" ht="22" customHeight="1" x14ac:dyDescent="0.2">
      <c r="Q241" s="17"/>
      <c r="R241" s="14">
        <v>16</v>
      </c>
      <c r="S241" s="63" t="s">
        <v>126</v>
      </c>
      <c r="T241" s="64"/>
      <c r="U241" s="64"/>
      <c r="V241" s="64"/>
      <c r="W241" s="6" t="s">
        <v>720</v>
      </c>
      <c r="Y241" s="64"/>
      <c r="Z241" s="64"/>
      <c r="AA241" s="64"/>
      <c r="AB241" s="64"/>
      <c r="AC241" s="64"/>
      <c r="AD241" s="64"/>
      <c r="AE241" s="64"/>
      <c r="AF241" s="64"/>
      <c r="AG241" s="64"/>
    </row>
    <row r="242" spans="17:33" ht="22" customHeight="1" x14ac:dyDescent="0.2">
      <c r="Q242" s="18"/>
      <c r="R242" s="14">
        <v>17</v>
      </c>
      <c r="S242" s="63" t="s">
        <v>313</v>
      </c>
      <c r="T242" s="64"/>
      <c r="U242" s="64"/>
      <c r="V242" s="64"/>
      <c r="W242" s="6" t="s">
        <v>720</v>
      </c>
      <c r="Y242" s="64"/>
      <c r="Z242" s="64"/>
      <c r="AA242" s="64"/>
      <c r="AB242" s="64"/>
      <c r="AC242" s="64"/>
      <c r="AD242" s="64"/>
      <c r="AE242" s="64"/>
      <c r="AF242" s="64"/>
      <c r="AG242" s="64"/>
    </row>
    <row r="243" spans="17:33" ht="22" customHeight="1" x14ac:dyDescent="0.2">
      <c r="Q243" s="19"/>
      <c r="R243" s="14">
        <v>18</v>
      </c>
      <c r="S243" s="63" t="s">
        <v>53</v>
      </c>
      <c r="T243" s="64"/>
      <c r="U243" s="64"/>
      <c r="V243" s="64"/>
      <c r="W243" s="6" t="s">
        <v>722</v>
      </c>
    </row>
    <row r="244" spans="17:33" ht="22" customHeight="1" x14ac:dyDescent="0.2">
      <c r="Q244" s="20"/>
      <c r="R244" s="14">
        <v>19</v>
      </c>
      <c r="S244" s="63" t="s">
        <v>51</v>
      </c>
      <c r="T244" s="64"/>
      <c r="U244" s="64"/>
      <c r="V244" s="64"/>
      <c r="W244" s="6" t="s">
        <v>722</v>
      </c>
    </row>
    <row r="245" spans="17:33" ht="22" customHeight="1" x14ac:dyDescent="0.2">
      <c r="Q245" s="21"/>
      <c r="R245" s="14">
        <v>20</v>
      </c>
      <c r="S245" s="63" t="s">
        <v>79</v>
      </c>
      <c r="T245" s="64"/>
      <c r="U245" s="64"/>
      <c r="V245" s="64"/>
      <c r="W245" s="6" t="s">
        <v>722</v>
      </c>
    </row>
  </sheetData>
  <mergeCells count="155">
    <mergeCell ref="Y238:AG238"/>
    <mergeCell ref="S121:V121"/>
    <mergeCell ref="Y29:AG32"/>
    <mergeCell ref="S244:V244"/>
    <mergeCell ref="S130:V130"/>
    <mergeCell ref="S82:V82"/>
    <mergeCell ref="S231:V231"/>
    <mergeCell ref="S240:V240"/>
    <mergeCell ref="S132:V132"/>
    <mergeCell ref="S190:V190"/>
    <mergeCell ref="Y119:AG122"/>
    <mergeCell ref="Y224:AG224"/>
    <mergeCell ref="Y202:AG202"/>
    <mergeCell ref="Y58:AG58"/>
    <mergeCell ref="S239:V239"/>
    <mergeCell ref="S196:V196"/>
    <mergeCell ref="Q188:W188"/>
    <mergeCell ref="S84:V84"/>
    <mergeCell ref="Q8:W8"/>
    <mergeCell ref="S86:V86"/>
    <mergeCell ref="Y89:AG92"/>
    <mergeCell ref="Y191:AG194"/>
    <mergeCell ref="S122:V122"/>
    <mergeCell ref="Y161:AG164"/>
    <mergeCell ref="Y137:AG140"/>
    <mergeCell ref="Y226:AG226"/>
    <mergeCell ref="Y203:AG206"/>
    <mergeCell ref="Q152:W152"/>
    <mergeCell ref="S53:V53"/>
    <mergeCell ref="S133:V133"/>
    <mergeCell ref="Q44:W44"/>
    <mergeCell ref="S127:V127"/>
    <mergeCell ref="Y44:AG44"/>
    <mergeCell ref="S55:V55"/>
    <mergeCell ref="Y172:AG172"/>
    <mergeCell ref="S64:V64"/>
    <mergeCell ref="S162:V162"/>
    <mergeCell ref="Y188:AG188"/>
    <mergeCell ref="S54:V54"/>
    <mergeCell ref="S88:V88"/>
    <mergeCell ref="S63:V63"/>
    <mergeCell ref="S197:V197"/>
    <mergeCell ref="S245:V245"/>
    <mergeCell ref="S49:V49"/>
    <mergeCell ref="S128:V128"/>
    <mergeCell ref="S10:V10"/>
    <mergeCell ref="Y118:AG118"/>
    <mergeCell ref="Y155:AG158"/>
    <mergeCell ref="S137:V137"/>
    <mergeCell ref="S195:V195"/>
    <mergeCell ref="S89:V89"/>
    <mergeCell ref="Y232:AG232"/>
    <mergeCell ref="Q80:W80"/>
    <mergeCell ref="S65:V65"/>
    <mergeCell ref="Y94:AG94"/>
    <mergeCell ref="S157:V157"/>
    <mergeCell ref="S237:V237"/>
    <mergeCell ref="Y22:AG22"/>
    <mergeCell ref="Y101:AG104"/>
    <mergeCell ref="S129:V129"/>
    <mergeCell ref="S123:V123"/>
    <mergeCell ref="S50:V50"/>
    <mergeCell ref="S230:V230"/>
    <mergeCell ref="S51:V51"/>
    <mergeCell ref="Y125:AG128"/>
    <mergeCell ref="S60:V60"/>
    <mergeCell ref="S243:V243"/>
    <mergeCell ref="Y173:AG176"/>
    <mergeCell ref="Y17:AG20"/>
    <mergeCell ref="Y196:AG196"/>
    <mergeCell ref="Y11:AG14"/>
    <mergeCell ref="S57:V57"/>
    <mergeCell ref="Y152:AG152"/>
    <mergeCell ref="S229:V229"/>
    <mergeCell ref="Y59:AG62"/>
    <mergeCell ref="Y239:AG242"/>
    <mergeCell ref="S83:V83"/>
    <mergeCell ref="Y95:AG98"/>
    <mergeCell ref="S154:V154"/>
    <mergeCell ref="S163:V163"/>
    <mergeCell ref="S124:V124"/>
    <mergeCell ref="Y88:AG88"/>
    <mergeCell ref="S85:V85"/>
    <mergeCell ref="Y209:AG212"/>
    <mergeCell ref="S47:V47"/>
    <mergeCell ref="S233:V233"/>
    <mergeCell ref="S59:V59"/>
    <mergeCell ref="S119:V119"/>
    <mergeCell ref="Y131:AG134"/>
    <mergeCell ref="Y154:AG154"/>
    <mergeCell ref="A1:AG2"/>
    <mergeCell ref="Y83:AG86"/>
    <mergeCell ref="Y100:AG100"/>
    <mergeCell ref="S241:V241"/>
    <mergeCell ref="S58:V58"/>
    <mergeCell ref="Y160:AG160"/>
    <mergeCell ref="S228:V228"/>
    <mergeCell ref="Q224:W224"/>
    <mergeCell ref="S120:V120"/>
    <mergeCell ref="S191:V191"/>
    <mergeCell ref="S46:V46"/>
    <mergeCell ref="S61:V61"/>
    <mergeCell ref="Y116:AG116"/>
    <mergeCell ref="S48:V48"/>
    <mergeCell ref="Y8:AG8"/>
    <mergeCell ref="S194:V194"/>
    <mergeCell ref="Y130:AG130"/>
    <mergeCell ref="S160:V160"/>
    <mergeCell ref="S131:V131"/>
    <mergeCell ref="S87:V87"/>
    <mergeCell ref="Y80:AG80"/>
    <mergeCell ref="Y208:AG208"/>
    <mergeCell ref="S236:V236"/>
    <mergeCell ref="Y53:AG56"/>
    <mergeCell ref="S242:V242"/>
    <mergeCell ref="S125:V125"/>
    <mergeCell ref="Q116:W116"/>
    <mergeCell ref="S134:V134"/>
    <mergeCell ref="S192:V192"/>
    <mergeCell ref="S226:V226"/>
    <mergeCell ref="S161:V161"/>
    <mergeCell ref="S62:V62"/>
    <mergeCell ref="Y227:AG230"/>
    <mergeCell ref="S232:V232"/>
    <mergeCell ref="Y136:AG136"/>
    <mergeCell ref="S155:V155"/>
    <mergeCell ref="Y167:AG170"/>
    <mergeCell ref="S234:V234"/>
    <mergeCell ref="S235:V235"/>
    <mergeCell ref="S227:V227"/>
    <mergeCell ref="Y197:AG200"/>
    <mergeCell ref="Y124:AG124"/>
    <mergeCell ref="Y190:AG190"/>
    <mergeCell ref="S156:V156"/>
    <mergeCell ref="S126:V126"/>
    <mergeCell ref="Y166:AG166"/>
    <mergeCell ref="S198:V198"/>
    <mergeCell ref="S238:V238"/>
    <mergeCell ref="S136:V136"/>
    <mergeCell ref="S118:V118"/>
    <mergeCell ref="Y82:AG82"/>
    <mergeCell ref="S158:V158"/>
    <mergeCell ref="Y233:AG236"/>
    <mergeCell ref="Y10:AG10"/>
    <mergeCell ref="Y16:AG16"/>
    <mergeCell ref="S135:V135"/>
    <mergeCell ref="S193:V193"/>
    <mergeCell ref="Y52:AG52"/>
    <mergeCell ref="S159:V159"/>
    <mergeCell ref="Y47:AG50"/>
    <mergeCell ref="S52:V52"/>
    <mergeCell ref="Y23:AG26"/>
    <mergeCell ref="Y46:AG46"/>
    <mergeCell ref="Y28:AG28"/>
    <mergeCell ref="S56:V5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2"/>
  <sheetViews>
    <sheetView workbookViewId="0"/>
  </sheetViews>
  <sheetFormatPr baseColWidth="10" defaultColWidth="8.83203125" defaultRowHeight="15" x14ac:dyDescent="0.2"/>
  <sheetData>
    <row r="1" spans="1:33" x14ac:dyDescent="0.2">
      <c r="A1" s="8" t="s">
        <v>723</v>
      </c>
      <c r="E1" s="8" t="s">
        <v>724</v>
      </c>
      <c r="I1" s="8" t="s">
        <v>725</v>
      </c>
      <c r="M1" s="8" t="s">
        <v>726</v>
      </c>
      <c r="Q1" s="8" t="s">
        <v>727</v>
      </c>
      <c r="U1" s="8" t="s">
        <v>728</v>
      </c>
      <c r="Y1" s="8" t="s">
        <v>729</v>
      </c>
    </row>
    <row r="2" spans="1:33" x14ac:dyDescent="0.2">
      <c r="A2" s="8" t="s">
        <v>730</v>
      </c>
      <c r="B2" s="8" t="s">
        <v>731</v>
      </c>
      <c r="C2" s="8" t="s">
        <v>732</v>
      </c>
      <c r="E2" s="8" t="s">
        <v>730</v>
      </c>
      <c r="F2" s="8" t="s">
        <v>0</v>
      </c>
      <c r="G2" s="8" t="s">
        <v>732</v>
      </c>
      <c r="I2" s="8" t="s">
        <v>730</v>
      </c>
      <c r="J2" s="8" t="s">
        <v>334</v>
      </c>
      <c r="K2" s="8" t="s">
        <v>732</v>
      </c>
      <c r="M2" s="8" t="s">
        <v>730</v>
      </c>
      <c r="N2" s="8" t="s">
        <v>0</v>
      </c>
      <c r="O2" s="8" t="s">
        <v>732</v>
      </c>
      <c r="Q2" s="8" t="s">
        <v>730</v>
      </c>
      <c r="R2" s="8" t="s">
        <v>336</v>
      </c>
      <c r="S2" s="8" t="s">
        <v>732</v>
      </c>
      <c r="U2" s="8" t="s">
        <v>730</v>
      </c>
      <c r="V2" s="8" t="s">
        <v>0</v>
      </c>
      <c r="W2" s="8" t="s">
        <v>733</v>
      </c>
      <c r="Y2" s="8" t="s">
        <v>734</v>
      </c>
      <c r="Z2" s="8" t="s">
        <v>722</v>
      </c>
      <c r="AA2" s="8" t="s">
        <v>720</v>
      </c>
      <c r="AB2" s="8" t="s">
        <v>719</v>
      </c>
      <c r="AC2" s="8" t="s">
        <v>735</v>
      </c>
      <c r="AD2" s="8" t="s">
        <v>736</v>
      </c>
      <c r="AE2" s="8" t="s">
        <v>717</v>
      </c>
      <c r="AF2" s="8" t="s">
        <v>716</v>
      </c>
      <c r="AG2" s="8" t="s">
        <v>737</v>
      </c>
    </row>
    <row r="3" spans="1:33" x14ac:dyDescent="0.2">
      <c r="A3">
        <v>1</v>
      </c>
      <c r="B3" s="4">
        <v>46266</v>
      </c>
      <c r="C3" s="5">
        <v>929.6200000000008</v>
      </c>
      <c r="E3">
        <v>1</v>
      </c>
      <c r="F3" t="s">
        <v>83</v>
      </c>
      <c r="G3" s="5">
        <v>137.88</v>
      </c>
      <c r="I3">
        <v>1</v>
      </c>
      <c r="J3" t="s">
        <v>455</v>
      </c>
      <c r="K3" s="5">
        <v>324.61</v>
      </c>
      <c r="M3">
        <v>1</v>
      </c>
      <c r="N3" t="s">
        <v>83</v>
      </c>
      <c r="O3" s="5">
        <v>137.88</v>
      </c>
      <c r="Q3">
        <v>1</v>
      </c>
      <c r="R3" t="s">
        <v>167</v>
      </c>
      <c r="S3" s="5">
        <v>46.91</v>
      </c>
      <c r="U3">
        <v>1</v>
      </c>
      <c r="V3" t="s">
        <v>122</v>
      </c>
      <c r="W3">
        <v>42</v>
      </c>
      <c r="Y3">
        <v>1</v>
      </c>
      <c r="Z3" s="5">
        <v>324.61</v>
      </c>
      <c r="AA3" s="5">
        <v>262.92000000000007</v>
      </c>
      <c r="AB3" s="5">
        <v>125.58</v>
      </c>
      <c r="AC3" s="5">
        <v>97.13000000000001</v>
      </c>
      <c r="AD3" s="5">
        <v>56.7</v>
      </c>
      <c r="AE3" s="5">
        <v>46.79</v>
      </c>
      <c r="AF3" s="5">
        <v>13.3</v>
      </c>
      <c r="AG3" s="5">
        <v>2.59</v>
      </c>
    </row>
    <row r="4" spans="1:33" x14ac:dyDescent="0.2">
      <c r="E4">
        <v>2</v>
      </c>
      <c r="F4" t="s">
        <v>122</v>
      </c>
      <c r="G4" s="5">
        <v>127.81</v>
      </c>
      <c r="I4">
        <v>2</v>
      </c>
      <c r="J4" t="s">
        <v>352</v>
      </c>
      <c r="K4" s="5">
        <v>262.92000000000007</v>
      </c>
      <c r="M4">
        <v>2</v>
      </c>
      <c r="N4" t="s">
        <v>122</v>
      </c>
      <c r="O4" s="5">
        <v>127.81</v>
      </c>
      <c r="Q4">
        <v>2</v>
      </c>
      <c r="R4" t="s">
        <v>40</v>
      </c>
      <c r="S4" s="5">
        <v>46.79</v>
      </c>
      <c r="U4">
        <v>2</v>
      </c>
      <c r="V4" t="s">
        <v>83</v>
      </c>
      <c r="W4">
        <v>29</v>
      </c>
    </row>
    <row r="5" spans="1:33" x14ac:dyDescent="0.2">
      <c r="E5">
        <v>3</v>
      </c>
      <c r="F5" t="s">
        <v>107</v>
      </c>
      <c r="G5" s="5">
        <v>110.57</v>
      </c>
      <c r="I5">
        <v>3</v>
      </c>
      <c r="J5" t="s">
        <v>450</v>
      </c>
      <c r="K5" s="5">
        <v>125.58</v>
      </c>
      <c r="M5">
        <v>3</v>
      </c>
      <c r="N5" t="s">
        <v>107</v>
      </c>
      <c r="O5" s="5">
        <v>110.57</v>
      </c>
      <c r="Q5">
        <v>3</v>
      </c>
      <c r="R5" t="s">
        <v>266</v>
      </c>
      <c r="S5" s="5">
        <v>39.369999999999997</v>
      </c>
      <c r="U5">
        <v>3</v>
      </c>
      <c r="V5" t="s">
        <v>31</v>
      </c>
      <c r="W5">
        <v>16</v>
      </c>
    </row>
    <row r="6" spans="1:33" x14ac:dyDescent="0.2">
      <c r="E6">
        <v>4</v>
      </c>
      <c r="F6" t="s">
        <v>31</v>
      </c>
      <c r="G6" s="5">
        <v>76.929999999999993</v>
      </c>
      <c r="I6">
        <v>4</v>
      </c>
      <c r="J6" t="s">
        <v>402</v>
      </c>
      <c r="K6" s="5">
        <v>97.13000000000001</v>
      </c>
      <c r="M6">
        <v>4</v>
      </c>
      <c r="N6" t="s">
        <v>31</v>
      </c>
      <c r="O6" s="5">
        <v>76.929999999999993</v>
      </c>
      <c r="Q6">
        <v>4</v>
      </c>
      <c r="R6" t="s">
        <v>141</v>
      </c>
      <c r="S6" s="5">
        <v>35.97</v>
      </c>
      <c r="U6">
        <v>4</v>
      </c>
      <c r="V6" t="s">
        <v>107</v>
      </c>
      <c r="W6">
        <v>9</v>
      </c>
    </row>
    <row r="7" spans="1:33" x14ac:dyDescent="0.2">
      <c r="E7">
        <v>5</v>
      </c>
      <c r="F7" t="s">
        <v>255</v>
      </c>
      <c r="G7" s="5">
        <v>71.789999999999992</v>
      </c>
      <c r="I7">
        <v>5</v>
      </c>
      <c r="J7" t="s">
        <v>558</v>
      </c>
      <c r="K7" s="5">
        <v>56.7</v>
      </c>
      <c r="M7">
        <v>5</v>
      </c>
      <c r="N7" t="s">
        <v>255</v>
      </c>
      <c r="O7" s="5">
        <v>71.789999999999992</v>
      </c>
      <c r="Q7">
        <v>5</v>
      </c>
      <c r="R7" t="s">
        <v>162</v>
      </c>
      <c r="S7" s="5">
        <v>27.96</v>
      </c>
      <c r="U7">
        <v>5</v>
      </c>
      <c r="V7" t="s">
        <v>47</v>
      </c>
      <c r="W7">
        <v>7</v>
      </c>
    </row>
    <row r="8" spans="1:33" x14ac:dyDescent="0.2">
      <c r="E8">
        <v>6</v>
      </c>
      <c r="F8" t="s">
        <v>164</v>
      </c>
      <c r="G8" s="5">
        <v>60.9</v>
      </c>
      <c r="I8">
        <v>6</v>
      </c>
      <c r="J8" t="s">
        <v>607</v>
      </c>
      <c r="K8" s="5">
        <v>46.79</v>
      </c>
      <c r="M8">
        <v>6</v>
      </c>
      <c r="N8" t="s">
        <v>164</v>
      </c>
      <c r="O8" s="5">
        <v>60.9</v>
      </c>
      <c r="Q8">
        <v>6</v>
      </c>
      <c r="R8" t="s">
        <v>82</v>
      </c>
      <c r="S8" s="5">
        <v>25.94</v>
      </c>
      <c r="U8">
        <v>6</v>
      </c>
      <c r="V8" t="s">
        <v>59</v>
      </c>
      <c r="W8">
        <v>6</v>
      </c>
    </row>
    <row r="9" spans="1:33" x14ac:dyDescent="0.2">
      <c r="E9">
        <v>7</v>
      </c>
      <c r="F9" t="s">
        <v>34</v>
      </c>
      <c r="G9" s="5">
        <v>59.78</v>
      </c>
      <c r="I9">
        <v>7</v>
      </c>
      <c r="J9" t="s">
        <v>561</v>
      </c>
      <c r="K9" s="5">
        <v>13.3</v>
      </c>
      <c r="M9">
        <v>7</v>
      </c>
      <c r="N9" t="s">
        <v>34</v>
      </c>
      <c r="O9" s="5">
        <v>59.78</v>
      </c>
      <c r="Q9">
        <v>7</v>
      </c>
      <c r="R9" t="s">
        <v>131</v>
      </c>
      <c r="S9" s="5">
        <v>22.11</v>
      </c>
      <c r="U9">
        <v>7</v>
      </c>
      <c r="V9" t="s">
        <v>112</v>
      </c>
      <c r="W9">
        <v>6</v>
      </c>
    </row>
    <row r="10" spans="1:33" x14ac:dyDescent="0.2">
      <c r="E10">
        <v>8</v>
      </c>
      <c r="F10" t="s">
        <v>47</v>
      </c>
      <c r="G10" s="5">
        <v>36.71</v>
      </c>
      <c r="I10">
        <v>8</v>
      </c>
      <c r="J10" t="s">
        <v>594</v>
      </c>
      <c r="K10" s="5">
        <v>2.59</v>
      </c>
      <c r="M10">
        <v>8</v>
      </c>
      <c r="N10" t="s">
        <v>47</v>
      </c>
      <c r="O10" s="5">
        <v>36.71</v>
      </c>
      <c r="Q10">
        <v>8</v>
      </c>
      <c r="R10" t="s">
        <v>328</v>
      </c>
      <c r="S10" s="5">
        <v>21.98</v>
      </c>
      <c r="U10">
        <v>8</v>
      </c>
      <c r="V10" t="s">
        <v>129</v>
      </c>
      <c r="W10">
        <v>6</v>
      </c>
    </row>
    <row r="11" spans="1:33" x14ac:dyDescent="0.2">
      <c r="E11">
        <v>9</v>
      </c>
      <c r="F11" t="s">
        <v>59</v>
      </c>
      <c r="G11" s="5">
        <v>31.81</v>
      </c>
      <c r="M11">
        <v>9</v>
      </c>
      <c r="N11" t="s">
        <v>59</v>
      </c>
      <c r="O11" s="5">
        <v>31.81</v>
      </c>
      <c r="Q11">
        <v>9</v>
      </c>
      <c r="R11" t="s">
        <v>161</v>
      </c>
      <c r="S11" s="5">
        <v>21.74</v>
      </c>
      <c r="U11">
        <v>9</v>
      </c>
      <c r="V11" t="s">
        <v>255</v>
      </c>
      <c r="W11">
        <v>6</v>
      </c>
    </row>
    <row r="12" spans="1:33" x14ac:dyDescent="0.2">
      <c r="E12">
        <v>10</v>
      </c>
      <c r="F12" t="s">
        <v>129</v>
      </c>
      <c r="G12" s="5">
        <v>30.69</v>
      </c>
      <c r="M12">
        <v>10</v>
      </c>
      <c r="N12" t="s">
        <v>129</v>
      </c>
      <c r="O12" s="5">
        <v>30.69</v>
      </c>
      <c r="Q12">
        <v>10</v>
      </c>
      <c r="R12" t="s">
        <v>251</v>
      </c>
      <c r="S12" s="5">
        <v>20.37</v>
      </c>
      <c r="U12">
        <v>10</v>
      </c>
      <c r="V12" t="s">
        <v>56</v>
      </c>
      <c r="W12">
        <v>6</v>
      </c>
    </row>
    <row r="13" spans="1:33" x14ac:dyDescent="0.2">
      <c r="E13">
        <v>11</v>
      </c>
      <c r="F13" t="s">
        <v>56</v>
      </c>
      <c r="G13" s="5">
        <v>30.54</v>
      </c>
      <c r="M13">
        <v>11</v>
      </c>
      <c r="N13" t="s">
        <v>56</v>
      </c>
      <c r="O13" s="5">
        <v>30.54</v>
      </c>
      <c r="U13">
        <v>11</v>
      </c>
      <c r="V13" t="s">
        <v>164</v>
      </c>
      <c r="W13">
        <v>3</v>
      </c>
    </row>
    <row r="14" spans="1:33" x14ac:dyDescent="0.2">
      <c r="E14">
        <v>12</v>
      </c>
      <c r="F14" t="s">
        <v>27</v>
      </c>
      <c r="G14" s="5">
        <v>29.22</v>
      </c>
      <c r="M14">
        <v>12</v>
      </c>
      <c r="N14" t="s">
        <v>27</v>
      </c>
      <c r="O14" s="5">
        <v>29.22</v>
      </c>
      <c r="U14">
        <v>12</v>
      </c>
      <c r="V14" t="s">
        <v>198</v>
      </c>
      <c r="W14">
        <v>3</v>
      </c>
    </row>
    <row r="15" spans="1:33" x14ac:dyDescent="0.2">
      <c r="E15">
        <v>13</v>
      </c>
      <c r="F15" t="s">
        <v>79</v>
      </c>
      <c r="G15" s="5">
        <v>25.94</v>
      </c>
      <c r="M15">
        <v>13</v>
      </c>
      <c r="N15" t="s">
        <v>79</v>
      </c>
      <c r="O15" s="5">
        <v>25.94</v>
      </c>
      <c r="U15">
        <v>13</v>
      </c>
      <c r="V15" t="s">
        <v>27</v>
      </c>
      <c r="W15">
        <v>3</v>
      </c>
    </row>
    <row r="16" spans="1:33" x14ac:dyDescent="0.2">
      <c r="E16">
        <v>14</v>
      </c>
      <c r="F16" t="s">
        <v>112</v>
      </c>
      <c r="G16" s="5">
        <v>21.08</v>
      </c>
      <c r="M16">
        <v>14</v>
      </c>
      <c r="N16" t="s">
        <v>112</v>
      </c>
      <c r="O16" s="5">
        <v>21.08</v>
      </c>
      <c r="U16">
        <v>14</v>
      </c>
      <c r="V16" t="s">
        <v>34</v>
      </c>
      <c r="W16">
        <v>2</v>
      </c>
    </row>
    <row r="17" spans="5:23" x14ac:dyDescent="0.2">
      <c r="E17">
        <v>15</v>
      </c>
      <c r="F17" t="s">
        <v>70</v>
      </c>
      <c r="G17" s="5">
        <v>19.48</v>
      </c>
      <c r="M17">
        <v>15</v>
      </c>
      <c r="N17" t="s">
        <v>70</v>
      </c>
      <c r="O17" s="5">
        <v>19.48</v>
      </c>
      <c r="U17">
        <v>15</v>
      </c>
      <c r="V17" t="s">
        <v>70</v>
      </c>
      <c r="W17">
        <v>2</v>
      </c>
    </row>
    <row r="18" spans="5:23" x14ac:dyDescent="0.2">
      <c r="E18">
        <v>16</v>
      </c>
      <c r="F18" t="s">
        <v>53</v>
      </c>
      <c r="G18" s="5">
        <v>17.87</v>
      </c>
      <c r="M18">
        <v>16</v>
      </c>
      <c r="N18" t="s">
        <v>53</v>
      </c>
      <c r="O18" s="5">
        <v>17.87</v>
      </c>
      <c r="U18">
        <v>16</v>
      </c>
      <c r="V18" t="s">
        <v>126</v>
      </c>
      <c r="W18">
        <v>2</v>
      </c>
    </row>
    <row r="19" spans="5:23" x14ac:dyDescent="0.2">
      <c r="E19">
        <v>17</v>
      </c>
      <c r="F19" t="s">
        <v>313</v>
      </c>
      <c r="G19" s="5">
        <v>14.38</v>
      </c>
      <c r="M19">
        <v>17</v>
      </c>
      <c r="N19" t="s">
        <v>313</v>
      </c>
      <c r="O19" s="5">
        <v>14.38</v>
      </c>
      <c r="U19">
        <v>17</v>
      </c>
      <c r="V19" t="s">
        <v>313</v>
      </c>
      <c r="W19">
        <v>2</v>
      </c>
    </row>
    <row r="20" spans="5:23" x14ac:dyDescent="0.2">
      <c r="E20">
        <v>18</v>
      </c>
      <c r="F20" t="s">
        <v>198</v>
      </c>
      <c r="G20" s="5">
        <v>14.05</v>
      </c>
      <c r="M20">
        <v>18</v>
      </c>
      <c r="N20" t="s">
        <v>198</v>
      </c>
      <c r="O20" s="5">
        <v>14.05</v>
      </c>
      <c r="U20">
        <v>18</v>
      </c>
      <c r="V20" t="s">
        <v>53</v>
      </c>
      <c r="W20">
        <v>1</v>
      </c>
    </row>
    <row r="21" spans="5:23" x14ac:dyDescent="0.2">
      <c r="E21">
        <v>19</v>
      </c>
      <c r="F21" t="s">
        <v>126</v>
      </c>
      <c r="G21" s="5">
        <v>8.1999999999999993</v>
      </c>
      <c r="M21">
        <v>19</v>
      </c>
      <c r="N21" t="s">
        <v>126</v>
      </c>
      <c r="O21" s="5">
        <v>8.1999999999999993</v>
      </c>
      <c r="U21">
        <v>19</v>
      </c>
      <c r="V21" t="s">
        <v>51</v>
      </c>
      <c r="W21">
        <v>1</v>
      </c>
    </row>
    <row r="22" spans="5:23" x14ac:dyDescent="0.2">
      <c r="E22">
        <v>20</v>
      </c>
      <c r="F22" t="s">
        <v>51</v>
      </c>
      <c r="G22" s="5">
        <v>3.99</v>
      </c>
      <c r="M22">
        <v>20</v>
      </c>
      <c r="N22" t="s">
        <v>51</v>
      </c>
      <c r="O22" s="5">
        <v>3.99</v>
      </c>
      <c r="U22">
        <v>20</v>
      </c>
      <c r="V22" t="s">
        <v>79</v>
      </c>
      <c r="W2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28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5" width="10" customWidth="1"/>
    <col min="16" max="16" width="2" customWidth="1"/>
    <col min="17" max="17" width="4" customWidth="1"/>
    <col min="18" max="18" width="5" customWidth="1"/>
    <col min="19" max="22" width="15" customWidth="1"/>
    <col min="23" max="23" width="14" customWidth="1"/>
    <col min="24" max="24" width="2" customWidth="1"/>
    <col min="25" max="33" width="13" customWidth="1"/>
  </cols>
  <sheetData>
    <row r="1" spans="1:33" ht="28" customHeight="1" x14ac:dyDescent="0.2">
      <c r="A1" s="67" t="s">
        <v>738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33" ht="28" customHeight="1" x14ac:dyDescent="0.2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</row>
    <row r="4" spans="1:33" x14ac:dyDescent="0.2">
      <c r="A4" s="9" t="s">
        <v>610</v>
      </c>
      <c r="G4" s="9" t="s">
        <v>611</v>
      </c>
      <c r="M4" s="9" t="s">
        <v>612</v>
      </c>
      <c r="T4" s="9" t="s">
        <v>613</v>
      </c>
      <c r="Z4" s="9" t="s">
        <v>739</v>
      </c>
    </row>
    <row r="5" spans="1:33" ht="16" customHeight="1" x14ac:dyDescent="0.2">
      <c r="A5" s="10">
        <v>929.62</v>
      </c>
      <c r="G5" s="11">
        <v>153</v>
      </c>
      <c r="M5" s="11" t="s">
        <v>615</v>
      </c>
      <c r="T5" s="11">
        <v>8</v>
      </c>
      <c r="Z5" s="11">
        <v>55</v>
      </c>
    </row>
    <row r="8" spans="1:33" ht="16" customHeight="1" x14ac:dyDescent="0.2">
      <c r="Q8" s="66" t="s">
        <v>616</v>
      </c>
      <c r="R8" s="64"/>
      <c r="S8" s="64"/>
      <c r="T8" s="64"/>
      <c r="U8" s="64"/>
      <c r="V8" s="64"/>
      <c r="W8" s="64"/>
      <c r="Y8" s="66" t="s">
        <v>617</v>
      </c>
      <c r="Z8" s="64"/>
      <c r="AA8" s="64"/>
      <c r="AB8" s="64"/>
      <c r="AC8" s="64"/>
      <c r="AD8" s="64"/>
      <c r="AE8" s="64"/>
      <c r="AF8" s="64"/>
      <c r="AG8" s="64"/>
    </row>
    <row r="9" spans="1:33" x14ac:dyDescent="0.2">
      <c r="Q9" s="12"/>
      <c r="R9" s="12" t="s">
        <v>618</v>
      </c>
      <c r="S9" s="12" t="s">
        <v>619</v>
      </c>
      <c r="W9" s="12" t="s">
        <v>620</v>
      </c>
    </row>
    <row r="10" spans="1:33" ht="22" customHeight="1" x14ac:dyDescent="0.2">
      <c r="Q10" s="13"/>
      <c r="R10" s="14">
        <v>1</v>
      </c>
      <c r="S10" s="63" t="s">
        <v>621</v>
      </c>
      <c r="T10" s="64"/>
      <c r="U10" s="64"/>
      <c r="V10" s="64"/>
      <c r="W10" s="6" t="s">
        <v>622</v>
      </c>
      <c r="Y10" s="65" t="s">
        <v>623</v>
      </c>
      <c r="Z10" s="64"/>
      <c r="AA10" s="64"/>
      <c r="AB10" s="64"/>
      <c r="AC10" s="64"/>
      <c r="AD10" s="64"/>
      <c r="AE10" s="64"/>
      <c r="AF10" s="64"/>
      <c r="AG10" s="64"/>
    </row>
    <row r="11" spans="1:33" x14ac:dyDescent="0.2">
      <c r="Y11" s="63" t="s">
        <v>624</v>
      </c>
      <c r="Z11" s="64"/>
      <c r="AA11" s="64"/>
      <c r="AB11" s="64"/>
      <c r="AC11" s="64"/>
      <c r="AD11" s="64"/>
      <c r="AE11" s="64"/>
      <c r="AF11" s="64"/>
      <c r="AG11" s="64"/>
    </row>
    <row r="12" spans="1:33" x14ac:dyDescent="0.2">
      <c r="Y12" s="64"/>
      <c r="Z12" s="64"/>
      <c r="AA12" s="64"/>
      <c r="AB12" s="64"/>
      <c r="AC12" s="64"/>
      <c r="AD12" s="64"/>
      <c r="AE12" s="64"/>
      <c r="AF12" s="64"/>
      <c r="AG12" s="64"/>
    </row>
    <row r="13" spans="1:33" x14ac:dyDescent="0.2">
      <c r="Y13" s="64"/>
      <c r="Z13" s="64"/>
      <c r="AA13" s="64"/>
      <c r="AB13" s="64"/>
      <c r="AC13" s="64"/>
      <c r="AD13" s="64"/>
      <c r="AE13" s="64"/>
      <c r="AF13" s="64"/>
      <c r="AG13" s="64"/>
    </row>
    <row r="14" spans="1:33" x14ac:dyDescent="0.2">
      <c r="Y14" s="64"/>
      <c r="Z14" s="64"/>
      <c r="AA14" s="64"/>
      <c r="AB14" s="64"/>
      <c r="AC14" s="64"/>
      <c r="AD14" s="64"/>
      <c r="AE14" s="64"/>
      <c r="AF14" s="64"/>
      <c r="AG14" s="64"/>
    </row>
    <row r="16" spans="1:33" x14ac:dyDescent="0.2">
      <c r="Y16" s="65" t="s">
        <v>625</v>
      </c>
      <c r="Z16" s="64"/>
      <c r="AA16" s="64"/>
      <c r="AB16" s="64"/>
      <c r="AC16" s="64"/>
      <c r="AD16" s="64"/>
      <c r="AE16" s="64"/>
      <c r="AF16" s="64"/>
      <c r="AG16" s="64"/>
    </row>
    <row r="17" spans="25:33" x14ac:dyDescent="0.2">
      <c r="Y17" s="63" t="s">
        <v>626</v>
      </c>
      <c r="Z17" s="64"/>
      <c r="AA17" s="64"/>
      <c r="AB17" s="64"/>
      <c r="AC17" s="64"/>
      <c r="AD17" s="64"/>
      <c r="AE17" s="64"/>
      <c r="AF17" s="64"/>
      <c r="AG17" s="64"/>
    </row>
    <row r="18" spans="25:33" x14ac:dyDescent="0.2">
      <c r="Y18" s="64"/>
      <c r="Z18" s="64"/>
      <c r="AA18" s="64"/>
      <c r="AB18" s="64"/>
      <c r="AC18" s="64"/>
      <c r="AD18" s="64"/>
      <c r="AE18" s="64"/>
      <c r="AF18" s="64"/>
      <c r="AG18" s="64"/>
    </row>
    <row r="19" spans="25:33" x14ac:dyDescent="0.2">
      <c r="Y19" s="64"/>
      <c r="Z19" s="64"/>
      <c r="AA19" s="64"/>
      <c r="AB19" s="64"/>
      <c r="AC19" s="64"/>
      <c r="AD19" s="64"/>
      <c r="AE19" s="64"/>
      <c r="AF19" s="64"/>
      <c r="AG19" s="64"/>
    </row>
    <row r="20" spans="25:33" x14ac:dyDescent="0.2">
      <c r="Y20" s="64"/>
      <c r="Z20" s="64"/>
      <c r="AA20" s="64"/>
      <c r="AB20" s="64"/>
      <c r="AC20" s="64"/>
      <c r="AD20" s="64"/>
      <c r="AE20" s="64"/>
      <c r="AF20" s="64"/>
      <c r="AG20" s="64"/>
    </row>
    <row r="22" spans="25:33" x14ac:dyDescent="0.2">
      <c r="Y22" s="65" t="s">
        <v>627</v>
      </c>
      <c r="Z22" s="64"/>
      <c r="AA22" s="64"/>
      <c r="AB22" s="64"/>
      <c r="AC22" s="64"/>
      <c r="AD22" s="64"/>
      <c r="AE22" s="64"/>
      <c r="AF22" s="64"/>
      <c r="AG22" s="64"/>
    </row>
    <row r="23" spans="25:33" x14ac:dyDescent="0.2">
      <c r="Y23" s="63" t="s">
        <v>628</v>
      </c>
      <c r="Z23" s="64"/>
      <c r="AA23" s="64"/>
      <c r="AB23" s="64"/>
      <c r="AC23" s="64"/>
      <c r="AD23" s="64"/>
      <c r="AE23" s="64"/>
      <c r="AF23" s="64"/>
      <c r="AG23" s="64"/>
    </row>
    <row r="24" spans="25:33" x14ac:dyDescent="0.2">
      <c r="Y24" s="64"/>
      <c r="Z24" s="64"/>
      <c r="AA24" s="64"/>
      <c r="AB24" s="64"/>
      <c r="AC24" s="64"/>
      <c r="AD24" s="64"/>
      <c r="AE24" s="64"/>
      <c r="AF24" s="64"/>
      <c r="AG24" s="64"/>
    </row>
    <row r="25" spans="25:33" x14ac:dyDescent="0.2">
      <c r="Y25" s="64"/>
      <c r="Z25" s="64"/>
      <c r="AA25" s="64"/>
      <c r="AB25" s="64"/>
      <c r="AC25" s="64"/>
      <c r="AD25" s="64"/>
      <c r="AE25" s="64"/>
      <c r="AF25" s="64"/>
      <c r="AG25" s="64"/>
    </row>
    <row r="26" spans="25:33" x14ac:dyDescent="0.2">
      <c r="Y26" s="64"/>
      <c r="Z26" s="64"/>
      <c r="AA26" s="64"/>
      <c r="AB26" s="64"/>
      <c r="AC26" s="64"/>
      <c r="AD26" s="64"/>
      <c r="AE26" s="64"/>
      <c r="AF26" s="64"/>
      <c r="AG26" s="64"/>
    </row>
    <row r="28" spans="25:33" x14ac:dyDescent="0.2">
      <c r="Y28" s="65" t="s">
        <v>629</v>
      </c>
      <c r="Z28" s="64"/>
      <c r="AA28" s="64"/>
      <c r="AB28" s="64"/>
      <c r="AC28" s="64"/>
      <c r="AD28" s="64"/>
      <c r="AE28" s="64"/>
      <c r="AF28" s="64"/>
      <c r="AG28" s="64"/>
    </row>
    <row r="29" spans="25:33" x14ac:dyDescent="0.2">
      <c r="Y29" s="63" t="s">
        <v>630</v>
      </c>
      <c r="Z29" s="64"/>
      <c r="AA29" s="64"/>
      <c r="AB29" s="64"/>
      <c r="AC29" s="64"/>
      <c r="AD29" s="64"/>
      <c r="AE29" s="64"/>
      <c r="AF29" s="64"/>
      <c r="AG29" s="64"/>
    </row>
    <row r="30" spans="25:33" x14ac:dyDescent="0.2">
      <c r="Y30" s="64"/>
      <c r="Z30" s="64"/>
      <c r="AA30" s="64"/>
      <c r="AB30" s="64"/>
      <c r="AC30" s="64"/>
      <c r="AD30" s="64"/>
      <c r="AE30" s="64"/>
      <c r="AF30" s="64"/>
      <c r="AG30" s="64"/>
    </row>
    <row r="31" spans="25:33" x14ac:dyDescent="0.2">
      <c r="Y31" s="64"/>
      <c r="Z31" s="64"/>
      <c r="AA31" s="64"/>
      <c r="AB31" s="64"/>
      <c r="AC31" s="64"/>
      <c r="AD31" s="64"/>
      <c r="AE31" s="64"/>
      <c r="AF31" s="64"/>
      <c r="AG31" s="64"/>
    </row>
    <row r="32" spans="25:33" x14ac:dyDescent="0.2">
      <c r="Y32" s="64"/>
      <c r="Z32" s="64"/>
      <c r="AA32" s="64"/>
      <c r="AB32" s="64"/>
      <c r="AC32" s="64"/>
      <c r="AD32" s="64"/>
      <c r="AE32" s="64"/>
      <c r="AF32" s="64"/>
      <c r="AG32" s="64"/>
    </row>
    <row r="44" spans="17:33" ht="16" customHeight="1" x14ac:dyDescent="0.2">
      <c r="Q44" s="66" t="s">
        <v>740</v>
      </c>
      <c r="R44" s="64"/>
      <c r="S44" s="64"/>
      <c r="T44" s="64"/>
      <c r="U44" s="64"/>
      <c r="V44" s="64"/>
      <c r="W44" s="64"/>
      <c r="Y44" s="66" t="s">
        <v>617</v>
      </c>
      <c r="Z44" s="64"/>
      <c r="AA44" s="64"/>
      <c r="AB44" s="64"/>
      <c r="AC44" s="64"/>
      <c r="AD44" s="64"/>
      <c r="AE44" s="64"/>
      <c r="AF44" s="64"/>
      <c r="AG44" s="64"/>
    </row>
    <row r="45" spans="17:33" x14ac:dyDescent="0.2">
      <c r="Q45" s="12"/>
      <c r="R45" s="12" t="s">
        <v>618</v>
      </c>
      <c r="S45" s="12" t="s">
        <v>619</v>
      </c>
      <c r="W45" s="12" t="s">
        <v>620</v>
      </c>
    </row>
    <row r="46" spans="17:33" ht="22" customHeight="1" x14ac:dyDescent="0.2">
      <c r="Q46" s="13"/>
      <c r="R46" s="14">
        <v>1</v>
      </c>
      <c r="S46" s="63" t="s">
        <v>259</v>
      </c>
      <c r="T46" s="64"/>
      <c r="U46" s="64"/>
      <c r="V46" s="64"/>
      <c r="W46" s="6" t="s">
        <v>637</v>
      </c>
      <c r="Y46" s="65" t="s">
        <v>623</v>
      </c>
      <c r="Z46" s="64"/>
      <c r="AA46" s="64"/>
      <c r="AB46" s="64"/>
      <c r="AC46" s="64"/>
      <c r="AD46" s="64"/>
      <c r="AE46" s="64"/>
      <c r="AF46" s="64"/>
      <c r="AG46" s="64"/>
    </row>
    <row r="47" spans="17:33" ht="22" customHeight="1" x14ac:dyDescent="0.2">
      <c r="Q47" s="15"/>
      <c r="R47" s="14">
        <v>2</v>
      </c>
      <c r="S47" s="63" t="s">
        <v>160</v>
      </c>
      <c r="T47" s="64"/>
      <c r="U47" s="64"/>
      <c r="V47" s="64"/>
      <c r="W47" s="6" t="s">
        <v>741</v>
      </c>
      <c r="Y47" s="63" t="s">
        <v>742</v>
      </c>
      <c r="Z47" s="64"/>
      <c r="AA47" s="64"/>
      <c r="AB47" s="64"/>
      <c r="AC47" s="64"/>
      <c r="AD47" s="64"/>
      <c r="AE47" s="64"/>
      <c r="AF47" s="64"/>
      <c r="AG47" s="64"/>
    </row>
    <row r="48" spans="17:33" ht="22" customHeight="1" x14ac:dyDescent="0.2">
      <c r="Q48" s="16"/>
      <c r="R48" s="14">
        <v>3</v>
      </c>
      <c r="S48" s="63" t="s">
        <v>34</v>
      </c>
      <c r="T48" s="64"/>
      <c r="U48" s="64"/>
      <c r="V48" s="64"/>
      <c r="W48" s="6" t="s">
        <v>639</v>
      </c>
      <c r="Y48" s="64"/>
      <c r="Z48" s="64"/>
      <c r="AA48" s="64"/>
      <c r="AB48" s="64"/>
      <c r="AC48" s="64"/>
      <c r="AD48" s="64"/>
      <c r="AE48" s="64"/>
      <c r="AF48" s="64"/>
      <c r="AG48" s="64"/>
    </row>
    <row r="49" spans="17:33" ht="22" customHeight="1" x14ac:dyDescent="0.2">
      <c r="Q49" s="17"/>
      <c r="R49" s="14">
        <v>4</v>
      </c>
      <c r="S49" s="63" t="s">
        <v>165</v>
      </c>
      <c r="T49" s="64"/>
      <c r="U49" s="64"/>
      <c r="V49" s="64"/>
      <c r="W49" s="6" t="s">
        <v>743</v>
      </c>
      <c r="Y49" s="64"/>
      <c r="Z49" s="64"/>
      <c r="AA49" s="64"/>
      <c r="AB49" s="64"/>
      <c r="AC49" s="64"/>
      <c r="AD49" s="64"/>
      <c r="AE49" s="64"/>
      <c r="AF49" s="64"/>
      <c r="AG49" s="64"/>
    </row>
    <row r="50" spans="17:33" ht="22" customHeight="1" x14ac:dyDescent="0.2">
      <c r="Q50" s="18"/>
      <c r="R50" s="14">
        <v>5</v>
      </c>
      <c r="S50" s="63" t="s">
        <v>320</v>
      </c>
      <c r="T50" s="64"/>
      <c r="U50" s="64"/>
      <c r="V50" s="64"/>
      <c r="W50" s="6" t="s">
        <v>744</v>
      </c>
      <c r="Y50" s="64"/>
      <c r="Z50" s="64"/>
      <c r="AA50" s="64"/>
      <c r="AB50" s="64"/>
      <c r="AC50" s="64"/>
      <c r="AD50" s="64"/>
      <c r="AE50" s="64"/>
      <c r="AF50" s="64"/>
      <c r="AG50" s="64"/>
    </row>
    <row r="51" spans="17:33" ht="22" customHeight="1" x14ac:dyDescent="0.2">
      <c r="Q51" s="19"/>
      <c r="R51" s="14">
        <v>6</v>
      </c>
      <c r="S51" s="63" t="s">
        <v>142</v>
      </c>
      <c r="T51" s="64"/>
      <c r="U51" s="64"/>
      <c r="V51" s="64"/>
      <c r="W51" s="6" t="s">
        <v>745</v>
      </c>
    </row>
    <row r="52" spans="17:33" ht="22" customHeight="1" x14ac:dyDescent="0.2">
      <c r="Q52" s="20"/>
      <c r="R52" s="14">
        <v>7</v>
      </c>
      <c r="S52" s="63" t="s">
        <v>169</v>
      </c>
      <c r="T52" s="64"/>
      <c r="U52" s="64"/>
      <c r="V52" s="64"/>
      <c r="W52" s="6" t="s">
        <v>746</v>
      </c>
      <c r="Y52" s="65" t="s">
        <v>625</v>
      </c>
      <c r="Z52" s="64"/>
      <c r="AA52" s="64"/>
      <c r="AB52" s="64"/>
      <c r="AC52" s="64"/>
      <c r="AD52" s="64"/>
      <c r="AE52" s="64"/>
      <c r="AF52" s="64"/>
      <c r="AG52" s="64"/>
    </row>
    <row r="53" spans="17:33" ht="22" customHeight="1" x14ac:dyDescent="0.2">
      <c r="Q53" s="21"/>
      <c r="R53" s="14">
        <v>8</v>
      </c>
      <c r="S53" s="63" t="s">
        <v>140</v>
      </c>
      <c r="T53" s="64"/>
      <c r="U53" s="64"/>
      <c r="V53" s="64"/>
      <c r="W53" s="6" t="s">
        <v>696</v>
      </c>
      <c r="Y53" s="63" t="s">
        <v>747</v>
      </c>
      <c r="Z53" s="64"/>
      <c r="AA53" s="64"/>
      <c r="AB53" s="64"/>
      <c r="AC53" s="64"/>
      <c r="AD53" s="64"/>
      <c r="AE53" s="64"/>
      <c r="AF53" s="64"/>
      <c r="AG53" s="64"/>
    </row>
    <row r="54" spans="17:33" ht="22" customHeight="1" x14ac:dyDescent="0.2">
      <c r="Q54" s="22"/>
      <c r="R54" s="14">
        <v>9</v>
      </c>
      <c r="S54" s="63" t="s">
        <v>130</v>
      </c>
      <c r="T54" s="64"/>
      <c r="U54" s="64"/>
      <c r="V54" s="64"/>
      <c r="W54" s="6" t="s">
        <v>643</v>
      </c>
      <c r="Y54" s="64"/>
      <c r="Z54" s="64"/>
      <c r="AA54" s="64"/>
      <c r="AB54" s="64"/>
      <c r="AC54" s="64"/>
      <c r="AD54" s="64"/>
      <c r="AE54" s="64"/>
      <c r="AF54" s="64"/>
      <c r="AG54" s="64"/>
    </row>
    <row r="55" spans="17:33" ht="22" customHeight="1" x14ac:dyDescent="0.2">
      <c r="Q55" s="23"/>
      <c r="R55" s="14">
        <v>10</v>
      </c>
      <c r="S55" s="63" t="s">
        <v>99</v>
      </c>
      <c r="T55" s="64"/>
      <c r="U55" s="64"/>
      <c r="V55" s="64"/>
      <c r="W55" s="6" t="s">
        <v>748</v>
      </c>
      <c r="Y55" s="64"/>
      <c r="Z55" s="64"/>
      <c r="AA55" s="64"/>
      <c r="AB55" s="64"/>
      <c r="AC55" s="64"/>
      <c r="AD55" s="64"/>
      <c r="AE55" s="64"/>
      <c r="AF55" s="64"/>
      <c r="AG55" s="64"/>
    </row>
    <row r="56" spans="17:33" ht="22" customHeight="1" x14ac:dyDescent="0.2">
      <c r="Q56" s="24"/>
      <c r="R56" s="14">
        <v>11</v>
      </c>
      <c r="S56" s="63" t="s">
        <v>80</v>
      </c>
      <c r="T56" s="64"/>
      <c r="U56" s="64"/>
      <c r="V56" s="64"/>
      <c r="W56" s="6" t="s">
        <v>646</v>
      </c>
      <c r="Y56" s="64"/>
      <c r="Z56" s="64"/>
      <c r="AA56" s="64"/>
      <c r="AB56" s="64"/>
      <c r="AC56" s="64"/>
      <c r="AD56" s="64"/>
      <c r="AE56" s="64"/>
      <c r="AF56" s="64"/>
      <c r="AG56" s="64"/>
    </row>
    <row r="57" spans="17:33" ht="22" customHeight="1" x14ac:dyDescent="0.2">
      <c r="Q57" s="25"/>
      <c r="R57" s="14">
        <v>12</v>
      </c>
      <c r="S57" s="63" t="s">
        <v>60</v>
      </c>
      <c r="T57" s="64"/>
      <c r="U57" s="64"/>
      <c r="V57" s="64"/>
      <c r="W57" s="6" t="s">
        <v>749</v>
      </c>
    </row>
    <row r="58" spans="17:33" ht="22" customHeight="1" x14ac:dyDescent="0.2">
      <c r="Q58" s="13"/>
      <c r="R58" s="14">
        <v>13</v>
      </c>
      <c r="S58" s="63" t="s">
        <v>281</v>
      </c>
      <c r="T58" s="64"/>
      <c r="U58" s="64"/>
      <c r="V58" s="64"/>
      <c r="W58" s="6" t="s">
        <v>750</v>
      </c>
      <c r="Y58" s="65" t="s">
        <v>627</v>
      </c>
      <c r="Z58" s="64"/>
      <c r="AA58" s="64"/>
      <c r="AB58" s="64"/>
      <c r="AC58" s="64"/>
      <c r="AD58" s="64"/>
      <c r="AE58" s="64"/>
      <c r="AF58" s="64"/>
      <c r="AG58" s="64"/>
    </row>
    <row r="59" spans="17:33" ht="22" customHeight="1" x14ac:dyDescent="0.2">
      <c r="Q59" s="15"/>
      <c r="R59" s="14">
        <v>14</v>
      </c>
      <c r="S59" s="63" t="s">
        <v>28</v>
      </c>
      <c r="T59" s="64"/>
      <c r="U59" s="64"/>
      <c r="V59" s="64"/>
      <c r="W59" s="6" t="s">
        <v>751</v>
      </c>
      <c r="Y59" s="63" t="s">
        <v>648</v>
      </c>
      <c r="Z59" s="64"/>
      <c r="AA59" s="64"/>
      <c r="AB59" s="64"/>
      <c r="AC59" s="64"/>
      <c r="AD59" s="64"/>
      <c r="AE59" s="64"/>
      <c r="AF59" s="64"/>
      <c r="AG59" s="64"/>
    </row>
    <row r="60" spans="17:33" ht="22" customHeight="1" x14ac:dyDescent="0.2">
      <c r="Q60" s="16"/>
      <c r="R60" s="14">
        <v>15</v>
      </c>
      <c r="S60" s="63" t="s">
        <v>249</v>
      </c>
      <c r="T60" s="64"/>
      <c r="U60" s="64"/>
      <c r="V60" s="64"/>
      <c r="W60" s="6" t="s">
        <v>702</v>
      </c>
      <c r="Y60" s="64"/>
      <c r="Z60" s="64"/>
      <c r="AA60" s="64"/>
      <c r="AB60" s="64"/>
      <c r="AC60" s="64"/>
      <c r="AD60" s="64"/>
      <c r="AE60" s="64"/>
      <c r="AF60" s="64"/>
      <c r="AG60" s="64"/>
    </row>
    <row r="61" spans="17:33" ht="22" customHeight="1" x14ac:dyDescent="0.2">
      <c r="Q61" s="17"/>
      <c r="R61" s="14">
        <v>16</v>
      </c>
      <c r="S61" s="63" t="s">
        <v>204</v>
      </c>
      <c r="T61" s="64"/>
      <c r="U61" s="64"/>
      <c r="V61" s="64"/>
      <c r="W61" s="6" t="s">
        <v>752</v>
      </c>
      <c r="Y61" s="64"/>
      <c r="Z61" s="64"/>
      <c r="AA61" s="64"/>
      <c r="AB61" s="64"/>
      <c r="AC61" s="64"/>
      <c r="AD61" s="64"/>
      <c r="AE61" s="64"/>
      <c r="AF61" s="64"/>
      <c r="AG61" s="64"/>
    </row>
    <row r="62" spans="17:33" ht="22" customHeight="1" x14ac:dyDescent="0.2">
      <c r="Q62" s="18"/>
      <c r="R62" s="14">
        <v>17</v>
      </c>
      <c r="S62" s="63" t="s">
        <v>70</v>
      </c>
      <c r="T62" s="64"/>
      <c r="U62" s="64"/>
      <c r="V62" s="64"/>
      <c r="W62" s="6" t="s">
        <v>649</v>
      </c>
      <c r="Y62" s="64"/>
      <c r="Z62" s="64"/>
      <c r="AA62" s="64"/>
      <c r="AB62" s="64"/>
      <c r="AC62" s="64"/>
      <c r="AD62" s="64"/>
      <c r="AE62" s="64"/>
      <c r="AF62" s="64"/>
      <c r="AG62" s="64"/>
    </row>
    <row r="63" spans="17:33" ht="22" customHeight="1" x14ac:dyDescent="0.2">
      <c r="Q63" s="19"/>
      <c r="R63" s="14">
        <v>18</v>
      </c>
      <c r="S63" s="63" t="s">
        <v>271</v>
      </c>
      <c r="T63" s="64"/>
      <c r="U63" s="64"/>
      <c r="V63" s="64"/>
      <c r="W63" s="6" t="s">
        <v>753</v>
      </c>
    </row>
    <row r="64" spans="17:33" ht="22" customHeight="1" x14ac:dyDescent="0.2">
      <c r="Q64" s="20"/>
      <c r="R64" s="14">
        <v>19</v>
      </c>
      <c r="S64" s="63" t="s">
        <v>84</v>
      </c>
      <c r="T64" s="64"/>
      <c r="U64" s="64"/>
      <c r="V64" s="64"/>
      <c r="W64" s="6" t="s">
        <v>754</v>
      </c>
    </row>
    <row r="65" spans="17:23" ht="22" customHeight="1" x14ac:dyDescent="0.2">
      <c r="Q65" s="21"/>
      <c r="R65" s="14">
        <v>20</v>
      </c>
      <c r="S65" s="63" t="s">
        <v>54</v>
      </c>
      <c r="T65" s="64"/>
      <c r="U65" s="64"/>
      <c r="V65" s="64"/>
      <c r="W65" s="6" t="s">
        <v>650</v>
      </c>
    </row>
    <row r="66" spans="17:23" ht="22" customHeight="1" x14ac:dyDescent="0.2">
      <c r="Q66" s="22"/>
      <c r="R66" s="14">
        <v>21</v>
      </c>
      <c r="S66" s="63" t="s">
        <v>313</v>
      </c>
      <c r="T66" s="64"/>
      <c r="U66" s="64"/>
      <c r="V66" s="64"/>
      <c r="W66" s="6" t="s">
        <v>651</v>
      </c>
    </row>
    <row r="67" spans="17:23" ht="22" customHeight="1" x14ac:dyDescent="0.2">
      <c r="Q67" s="23"/>
      <c r="R67" s="14">
        <v>22</v>
      </c>
      <c r="S67" s="63" t="s">
        <v>91</v>
      </c>
      <c r="T67" s="64"/>
      <c r="U67" s="64"/>
      <c r="V67" s="64"/>
      <c r="W67" s="6" t="s">
        <v>755</v>
      </c>
    </row>
    <row r="68" spans="17:23" ht="22" customHeight="1" x14ac:dyDescent="0.2">
      <c r="Q68" s="24"/>
      <c r="R68" s="14">
        <v>23</v>
      </c>
      <c r="S68" s="63" t="s">
        <v>67</v>
      </c>
      <c r="T68" s="64"/>
      <c r="U68" s="64"/>
      <c r="V68" s="64"/>
      <c r="W68" s="6" t="s">
        <v>756</v>
      </c>
    </row>
    <row r="69" spans="17:23" ht="22" customHeight="1" x14ac:dyDescent="0.2">
      <c r="Q69" s="25"/>
      <c r="R69" s="14">
        <v>24</v>
      </c>
      <c r="S69" s="63" t="s">
        <v>43</v>
      </c>
      <c r="T69" s="64"/>
      <c r="U69" s="64"/>
      <c r="V69" s="64"/>
      <c r="W69" s="6" t="s">
        <v>757</v>
      </c>
    </row>
    <row r="70" spans="17:23" ht="22" customHeight="1" x14ac:dyDescent="0.2">
      <c r="Q70" s="13"/>
      <c r="R70" s="14">
        <v>25</v>
      </c>
      <c r="S70" s="63" t="s">
        <v>292</v>
      </c>
      <c r="T70" s="64"/>
      <c r="U70" s="64"/>
      <c r="V70" s="64"/>
      <c r="W70" s="6" t="s">
        <v>758</v>
      </c>
    </row>
    <row r="71" spans="17:23" ht="22" customHeight="1" x14ac:dyDescent="0.2">
      <c r="Q71" s="15"/>
      <c r="R71" s="14">
        <v>26</v>
      </c>
      <c r="S71" s="63" t="s">
        <v>268</v>
      </c>
      <c r="T71" s="64"/>
      <c r="U71" s="64"/>
      <c r="V71" s="64"/>
      <c r="W71" s="6" t="s">
        <v>759</v>
      </c>
    </row>
    <row r="72" spans="17:23" ht="22" customHeight="1" x14ac:dyDescent="0.2">
      <c r="Q72" s="16"/>
      <c r="R72" s="14">
        <v>27</v>
      </c>
      <c r="S72" s="63" t="s">
        <v>224</v>
      </c>
      <c r="T72" s="64"/>
      <c r="U72" s="64"/>
      <c r="V72" s="64"/>
      <c r="W72" s="6" t="s">
        <v>760</v>
      </c>
    </row>
    <row r="73" spans="17:23" ht="22" customHeight="1" x14ac:dyDescent="0.2">
      <c r="Q73" s="17"/>
      <c r="R73" s="14">
        <v>28</v>
      </c>
      <c r="S73" s="63" t="s">
        <v>123</v>
      </c>
      <c r="T73" s="64"/>
      <c r="U73" s="64"/>
      <c r="V73" s="64"/>
      <c r="W73" s="6" t="s">
        <v>761</v>
      </c>
    </row>
    <row r="74" spans="17:23" ht="22" customHeight="1" x14ac:dyDescent="0.2">
      <c r="Q74" s="18"/>
      <c r="R74" s="14">
        <v>29</v>
      </c>
      <c r="S74" s="63" t="s">
        <v>210</v>
      </c>
      <c r="T74" s="64"/>
      <c r="U74" s="64"/>
      <c r="V74" s="64"/>
      <c r="W74" s="6" t="s">
        <v>762</v>
      </c>
    </row>
    <row r="75" spans="17:23" ht="22" customHeight="1" x14ac:dyDescent="0.2">
      <c r="Q75" s="19"/>
      <c r="R75" s="14">
        <v>30</v>
      </c>
      <c r="S75" s="63" t="s">
        <v>126</v>
      </c>
      <c r="T75" s="64"/>
      <c r="U75" s="64"/>
      <c r="V75" s="64"/>
      <c r="W75" s="6" t="s">
        <v>653</v>
      </c>
    </row>
    <row r="76" spans="17:23" ht="22" customHeight="1" x14ac:dyDescent="0.2">
      <c r="Q76" s="20"/>
      <c r="R76" s="14">
        <v>31</v>
      </c>
      <c r="S76" s="63" t="s">
        <v>32</v>
      </c>
      <c r="T76" s="64"/>
      <c r="U76" s="64"/>
      <c r="V76" s="64"/>
      <c r="W76" s="6" t="s">
        <v>763</v>
      </c>
    </row>
    <row r="77" spans="17:23" ht="22" customHeight="1" x14ac:dyDescent="0.2">
      <c r="Q77" s="21"/>
      <c r="R77" s="14">
        <v>32</v>
      </c>
      <c r="S77" s="63" t="s">
        <v>276</v>
      </c>
      <c r="T77" s="64"/>
      <c r="U77" s="64"/>
      <c r="V77" s="64"/>
      <c r="W77" s="6" t="s">
        <v>764</v>
      </c>
    </row>
    <row r="78" spans="17:23" ht="22" customHeight="1" x14ac:dyDescent="0.2">
      <c r="Q78" s="22"/>
      <c r="R78" s="14">
        <v>33</v>
      </c>
      <c r="S78" s="63" t="s">
        <v>214</v>
      </c>
      <c r="T78" s="64"/>
      <c r="U78" s="64"/>
      <c r="V78" s="64"/>
      <c r="W78" s="6" t="s">
        <v>765</v>
      </c>
    </row>
    <row r="79" spans="17:23" ht="22" customHeight="1" x14ac:dyDescent="0.2">
      <c r="Q79" s="23"/>
      <c r="R79" s="14">
        <v>34</v>
      </c>
      <c r="S79" s="63" t="s">
        <v>237</v>
      </c>
      <c r="T79" s="64"/>
      <c r="U79" s="64"/>
      <c r="V79" s="64"/>
      <c r="W79" s="6" t="s">
        <v>766</v>
      </c>
    </row>
    <row r="80" spans="17:23" ht="22" customHeight="1" x14ac:dyDescent="0.2">
      <c r="Q80" s="24"/>
      <c r="R80" s="14">
        <v>35</v>
      </c>
      <c r="S80" s="63" t="s">
        <v>300</v>
      </c>
      <c r="T80" s="64"/>
      <c r="U80" s="64"/>
      <c r="V80" s="64"/>
      <c r="W80" s="6" t="s">
        <v>766</v>
      </c>
    </row>
    <row r="81" spans="17:23" ht="22" customHeight="1" x14ac:dyDescent="0.2">
      <c r="Q81" s="25"/>
      <c r="R81" s="14">
        <v>36</v>
      </c>
      <c r="S81" s="63" t="s">
        <v>302</v>
      </c>
      <c r="T81" s="64"/>
      <c r="U81" s="64"/>
      <c r="V81" s="64"/>
      <c r="W81" s="6" t="s">
        <v>767</v>
      </c>
    </row>
    <row r="82" spans="17:23" ht="22" customHeight="1" x14ac:dyDescent="0.2">
      <c r="Q82" s="13"/>
      <c r="R82" s="14">
        <v>37</v>
      </c>
      <c r="S82" s="63" t="s">
        <v>113</v>
      </c>
      <c r="T82" s="64"/>
      <c r="U82" s="64"/>
      <c r="V82" s="64"/>
      <c r="W82" s="6" t="s">
        <v>768</v>
      </c>
    </row>
    <row r="83" spans="17:23" ht="22" customHeight="1" x14ac:dyDescent="0.2">
      <c r="Q83" s="15"/>
      <c r="R83" s="14">
        <v>38</v>
      </c>
      <c r="S83" s="63" t="s">
        <v>221</v>
      </c>
      <c r="T83" s="64"/>
      <c r="U83" s="64"/>
      <c r="V83" s="64"/>
      <c r="W83" s="6" t="s">
        <v>769</v>
      </c>
    </row>
    <row r="84" spans="17:23" ht="22" customHeight="1" x14ac:dyDescent="0.2">
      <c r="Q84" s="16"/>
      <c r="R84" s="14">
        <v>39</v>
      </c>
      <c r="S84" s="63" t="s">
        <v>119</v>
      </c>
      <c r="T84" s="64"/>
      <c r="U84" s="64"/>
      <c r="V84" s="64"/>
      <c r="W84" s="6" t="s">
        <v>770</v>
      </c>
    </row>
    <row r="85" spans="17:23" ht="22" customHeight="1" x14ac:dyDescent="0.2">
      <c r="Q85" s="17"/>
      <c r="R85" s="14">
        <v>40</v>
      </c>
      <c r="S85" s="63" t="s">
        <v>242</v>
      </c>
      <c r="T85" s="64"/>
      <c r="U85" s="64"/>
      <c r="V85" s="64"/>
      <c r="W85" s="6" t="s">
        <v>771</v>
      </c>
    </row>
    <row r="86" spans="17:23" ht="22" customHeight="1" x14ac:dyDescent="0.2">
      <c r="Q86" s="18"/>
      <c r="R86" s="14">
        <v>41</v>
      </c>
      <c r="S86" s="63" t="s">
        <v>217</v>
      </c>
      <c r="T86" s="64"/>
      <c r="U86" s="64"/>
      <c r="V86" s="64"/>
      <c r="W86" s="6" t="s">
        <v>772</v>
      </c>
    </row>
    <row r="87" spans="17:23" ht="22" customHeight="1" x14ac:dyDescent="0.2">
      <c r="Q87" s="19"/>
      <c r="R87" s="14">
        <v>42</v>
      </c>
      <c r="S87" s="63" t="s">
        <v>199</v>
      </c>
      <c r="T87" s="64"/>
      <c r="U87" s="64"/>
      <c r="V87" s="64"/>
      <c r="W87" s="6" t="s">
        <v>773</v>
      </c>
    </row>
    <row r="88" spans="17:23" ht="22" customHeight="1" x14ac:dyDescent="0.2">
      <c r="Q88" s="20"/>
      <c r="R88" s="14">
        <v>43</v>
      </c>
      <c r="S88" s="63" t="s">
        <v>252</v>
      </c>
      <c r="T88" s="64"/>
      <c r="U88" s="64"/>
      <c r="V88" s="64"/>
      <c r="W88" s="6" t="s">
        <v>774</v>
      </c>
    </row>
    <row r="89" spans="17:23" ht="22" customHeight="1" x14ac:dyDescent="0.2">
      <c r="Q89" s="21"/>
      <c r="R89" s="14">
        <v>44</v>
      </c>
      <c r="S89" s="63" t="s">
        <v>51</v>
      </c>
      <c r="T89" s="64"/>
      <c r="U89" s="64"/>
      <c r="V89" s="64"/>
      <c r="W89" s="6" t="s">
        <v>654</v>
      </c>
    </row>
    <row r="90" spans="17:23" ht="22" customHeight="1" x14ac:dyDescent="0.2">
      <c r="Q90" s="22"/>
      <c r="R90" s="14">
        <v>45</v>
      </c>
      <c r="S90" s="63" t="s">
        <v>95</v>
      </c>
      <c r="T90" s="64"/>
      <c r="U90" s="64"/>
      <c r="V90" s="64"/>
      <c r="W90" s="6" t="s">
        <v>654</v>
      </c>
    </row>
    <row r="91" spans="17:23" ht="22" customHeight="1" x14ac:dyDescent="0.2">
      <c r="Q91" s="23"/>
      <c r="R91" s="14">
        <v>46</v>
      </c>
      <c r="S91" s="63" t="s">
        <v>240</v>
      </c>
      <c r="T91" s="64"/>
      <c r="U91" s="64"/>
      <c r="V91" s="64"/>
      <c r="W91" s="6" t="s">
        <v>775</v>
      </c>
    </row>
    <row r="92" spans="17:23" ht="22" customHeight="1" x14ac:dyDescent="0.2">
      <c r="Q92" s="24"/>
      <c r="R92" s="14">
        <v>47</v>
      </c>
      <c r="S92" s="63" t="s">
        <v>289</v>
      </c>
      <c r="T92" s="64"/>
      <c r="U92" s="64"/>
      <c r="V92" s="64"/>
      <c r="W92" s="6" t="s">
        <v>776</v>
      </c>
    </row>
    <row r="93" spans="17:23" ht="22" customHeight="1" x14ac:dyDescent="0.2">
      <c r="Q93" s="25"/>
      <c r="R93" s="14">
        <v>48</v>
      </c>
      <c r="S93" s="63" t="s">
        <v>116</v>
      </c>
      <c r="T93" s="64"/>
      <c r="U93" s="64"/>
      <c r="V93" s="64"/>
      <c r="W93" s="6" t="s">
        <v>777</v>
      </c>
    </row>
    <row r="94" spans="17:23" ht="22" customHeight="1" x14ac:dyDescent="0.2">
      <c r="Q94" s="13"/>
      <c r="R94" s="14">
        <v>49</v>
      </c>
      <c r="S94" s="63" t="s">
        <v>76</v>
      </c>
      <c r="T94" s="64"/>
      <c r="U94" s="64"/>
      <c r="V94" s="64"/>
      <c r="W94" s="6" t="s">
        <v>778</v>
      </c>
    </row>
    <row r="95" spans="17:23" ht="22" customHeight="1" x14ac:dyDescent="0.2">
      <c r="Q95" s="15"/>
      <c r="R95" s="14">
        <v>50</v>
      </c>
      <c r="S95" s="63" t="s">
        <v>195</v>
      </c>
      <c r="T95" s="64"/>
      <c r="U95" s="64"/>
      <c r="V95" s="64"/>
      <c r="W95" s="6" t="s">
        <v>779</v>
      </c>
    </row>
    <row r="96" spans="17:23" ht="22" customHeight="1" x14ac:dyDescent="0.2">
      <c r="Q96" s="16"/>
      <c r="R96" s="14">
        <v>51</v>
      </c>
      <c r="S96" s="63" t="s">
        <v>305</v>
      </c>
      <c r="T96" s="64"/>
      <c r="U96" s="64"/>
      <c r="V96" s="64"/>
      <c r="W96" s="6" t="s">
        <v>780</v>
      </c>
    </row>
    <row r="97" spans="17:33" ht="22" customHeight="1" x14ac:dyDescent="0.2">
      <c r="Q97" s="17"/>
      <c r="R97" s="14">
        <v>52</v>
      </c>
      <c r="S97" s="63" t="s">
        <v>103</v>
      </c>
      <c r="T97" s="64"/>
      <c r="U97" s="64"/>
      <c r="V97" s="64"/>
      <c r="W97" s="6" t="s">
        <v>781</v>
      </c>
    </row>
    <row r="98" spans="17:33" ht="22" customHeight="1" x14ac:dyDescent="0.2">
      <c r="Q98" s="18"/>
      <c r="R98" s="14">
        <v>53</v>
      </c>
      <c r="S98" s="63" t="s">
        <v>310</v>
      </c>
      <c r="T98" s="64"/>
      <c r="U98" s="64"/>
      <c r="V98" s="64"/>
      <c r="W98" s="6" t="s">
        <v>782</v>
      </c>
    </row>
    <row r="99" spans="17:33" ht="22" customHeight="1" x14ac:dyDescent="0.2">
      <c r="Q99" s="19"/>
      <c r="R99" s="14">
        <v>54</v>
      </c>
      <c r="S99" s="63" t="s">
        <v>212</v>
      </c>
      <c r="T99" s="64"/>
      <c r="U99" s="64"/>
      <c r="V99" s="64"/>
      <c r="W99" s="6" t="s">
        <v>783</v>
      </c>
    </row>
    <row r="100" spans="17:33" ht="22" customHeight="1" x14ac:dyDescent="0.2">
      <c r="Q100" s="20"/>
      <c r="R100" s="14">
        <v>55</v>
      </c>
      <c r="S100" s="63" t="s">
        <v>73</v>
      </c>
      <c r="T100" s="64"/>
      <c r="U100" s="64"/>
      <c r="V100" s="64"/>
      <c r="W100" s="6" t="s">
        <v>784</v>
      </c>
    </row>
    <row r="104" spans="17:33" ht="16" customHeight="1" x14ac:dyDescent="0.2">
      <c r="Q104" s="66" t="s">
        <v>655</v>
      </c>
      <c r="R104" s="64"/>
      <c r="S104" s="64"/>
      <c r="T104" s="64"/>
      <c r="U104" s="64"/>
      <c r="V104" s="64"/>
      <c r="W104" s="64"/>
      <c r="Y104" s="66" t="s">
        <v>617</v>
      </c>
      <c r="Z104" s="64"/>
      <c r="AA104" s="64"/>
      <c r="AB104" s="64"/>
      <c r="AC104" s="64"/>
      <c r="AD104" s="64"/>
      <c r="AE104" s="64"/>
      <c r="AF104" s="64"/>
      <c r="AG104" s="64"/>
    </row>
    <row r="105" spans="17:33" x14ac:dyDescent="0.2">
      <c r="Q105" s="12"/>
      <c r="R105" s="12" t="s">
        <v>618</v>
      </c>
      <c r="S105" s="12" t="s">
        <v>619</v>
      </c>
      <c r="W105" s="12" t="s">
        <v>620</v>
      </c>
    </row>
    <row r="106" spans="17:33" ht="22" customHeight="1" x14ac:dyDescent="0.2">
      <c r="Q106" s="13"/>
      <c r="R106" s="14">
        <v>1</v>
      </c>
      <c r="S106" s="63" t="s">
        <v>455</v>
      </c>
      <c r="T106" s="64"/>
      <c r="U106" s="64"/>
      <c r="V106" s="64"/>
      <c r="W106" s="6" t="s">
        <v>656</v>
      </c>
      <c r="Y106" s="65" t="s">
        <v>623</v>
      </c>
      <c r="Z106" s="64"/>
      <c r="AA106" s="64"/>
      <c r="AB106" s="64"/>
      <c r="AC106" s="64"/>
      <c r="AD106" s="64"/>
      <c r="AE106" s="64"/>
      <c r="AF106" s="64"/>
      <c r="AG106" s="64"/>
    </row>
    <row r="107" spans="17:33" ht="22" customHeight="1" x14ac:dyDescent="0.2">
      <c r="Q107" s="15"/>
      <c r="R107" s="14">
        <v>2</v>
      </c>
      <c r="S107" s="63" t="s">
        <v>352</v>
      </c>
      <c r="T107" s="64"/>
      <c r="U107" s="64"/>
      <c r="V107" s="64"/>
      <c r="W107" s="6" t="s">
        <v>657</v>
      </c>
      <c r="Y107" s="63" t="s">
        <v>658</v>
      </c>
      <c r="Z107" s="64"/>
      <c r="AA107" s="64"/>
      <c r="AB107" s="64"/>
      <c r="AC107" s="64"/>
      <c r="AD107" s="64"/>
      <c r="AE107" s="64"/>
      <c r="AF107" s="64"/>
      <c r="AG107" s="64"/>
    </row>
    <row r="108" spans="17:33" ht="22" customHeight="1" x14ac:dyDescent="0.2">
      <c r="Q108" s="16"/>
      <c r="R108" s="14">
        <v>3</v>
      </c>
      <c r="S108" s="63" t="s">
        <v>450</v>
      </c>
      <c r="T108" s="64"/>
      <c r="U108" s="64"/>
      <c r="V108" s="64"/>
      <c r="W108" s="6" t="s">
        <v>659</v>
      </c>
      <c r="Y108" s="64"/>
      <c r="Z108" s="64"/>
      <c r="AA108" s="64"/>
      <c r="AB108" s="64"/>
      <c r="AC108" s="64"/>
      <c r="AD108" s="64"/>
      <c r="AE108" s="64"/>
      <c r="AF108" s="64"/>
      <c r="AG108" s="64"/>
    </row>
    <row r="109" spans="17:33" ht="22" customHeight="1" x14ac:dyDescent="0.2">
      <c r="Q109" s="17"/>
      <c r="R109" s="14">
        <v>4</v>
      </c>
      <c r="S109" s="63" t="s">
        <v>402</v>
      </c>
      <c r="T109" s="64"/>
      <c r="U109" s="64"/>
      <c r="V109" s="64"/>
      <c r="W109" s="6" t="s">
        <v>660</v>
      </c>
      <c r="Y109" s="64"/>
      <c r="Z109" s="64"/>
      <c r="AA109" s="64"/>
      <c r="AB109" s="64"/>
      <c r="AC109" s="64"/>
      <c r="AD109" s="64"/>
      <c r="AE109" s="64"/>
      <c r="AF109" s="64"/>
      <c r="AG109" s="64"/>
    </row>
    <row r="110" spans="17:33" ht="22" customHeight="1" x14ac:dyDescent="0.2">
      <c r="Q110" s="18"/>
      <c r="R110" s="14">
        <v>5</v>
      </c>
      <c r="S110" s="63" t="s">
        <v>558</v>
      </c>
      <c r="T110" s="64"/>
      <c r="U110" s="64"/>
      <c r="V110" s="64"/>
      <c r="W110" s="6" t="s">
        <v>661</v>
      </c>
      <c r="Y110" s="64"/>
      <c r="Z110" s="64"/>
      <c r="AA110" s="64"/>
      <c r="AB110" s="64"/>
      <c r="AC110" s="64"/>
      <c r="AD110" s="64"/>
      <c r="AE110" s="64"/>
      <c r="AF110" s="64"/>
      <c r="AG110" s="64"/>
    </row>
    <row r="111" spans="17:33" ht="22" customHeight="1" x14ac:dyDescent="0.2">
      <c r="Q111" s="19"/>
      <c r="R111" s="14">
        <v>6</v>
      </c>
      <c r="S111" s="63" t="s">
        <v>607</v>
      </c>
      <c r="T111" s="64"/>
      <c r="U111" s="64"/>
      <c r="V111" s="64"/>
      <c r="W111" s="6" t="s">
        <v>662</v>
      </c>
    </row>
    <row r="112" spans="17:33" ht="22" customHeight="1" x14ac:dyDescent="0.2">
      <c r="Q112" s="20"/>
      <c r="R112" s="14">
        <v>7</v>
      </c>
      <c r="S112" s="63" t="s">
        <v>561</v>
      </c>
      <c r="T112" s="64"/>
      <c r="U112" s="64"/>
      <c r="V112" s="64"/>
      <c r="W112" s="6" t="s">
        <v>663</v>
      </c>
      <c r="Y112" s="65" t="s">
        <v>625</v>
      </c>
      <c r="Z112" s="64"/>
      <c r="AA112" s="64"/>
      <c r="AB112" s="64"/>
      <c r="AC112" s="64"/>
      <c r="AD112" s="64"/>
      <c r="AE112" s="64"/>
      <c r="AF112" s="64"/>
      <c r="AG112" s="64"/>
    </row>
    <row r="113" spans="17:33" ht="22" customHeight="1" x14ac:dyDescent="0.2">
      <c r="Q113" s="21"/>
      <c r="R113" s="14">
        <v>8</v>
      </c>
      <c r="S113" s="63" t="s">
        <v>594</v>
      </c>
      <c r="T113" s="64"/>
      <c r="U113" s="64"/>
      <c r="V113" s="64"/>
      <c r="W113" s="6" t="s">
        <v>664</v>
      </c>
      <c r="Y113" s="63" t="s">
        <v>665</v>
      </c>
      <c r="Z113" s="64"/>
      <c r="AA113" s="64"/>
      <c r="AB113" s="64"/>
      <c r="AC113" s="64"/>
      <c r="AD113" s="64"/>
      <c r="AE113" s="64"/>
      <c r="AF113" s="64"/>
      <c r="AG113" s="64"/>
    </row>
    <row r="114" spans="17:33" x14ac:dyDescent="0.2">
      <c r="Y114" s="64"/>
      <c r="Z114" s="64"/>
      <c r="AA114" s="64"/>
      <c r="AB114" s="64"/>
      <c r="AC114" s="64"/>
      <c r="AD114" s="64"/>
      <c r="AE114" s="64"/>
      <c r="AF114" s="64"/>
      <c r="AG114" s="64"/>
    </row>
    <row r="115" spans="17:33" x14ac:dyDescent="0.2">
      <c r="Y115" s="64"/>
      <c r="Z115" s="64"/>
      <c r="AA115" s="64"/>
      <c r="AB115" s="64"/>
      <c r="AC115" s="64"/>
      <c r="AD115" s="64"/>
      <c r="AE115" s="64"/>
      <c r="AF115" s="64"/>
      <c r="AG115" s="64"/>
    </row>
    <row r="116" spans="17:33" x14ac:dyDescent="0.2">
      <c r="Y116" s="64"/>
      <c r="Z116" s="64"/>
      <c r="AA116" s="64"/>
      <c r="AB116" s="64"/>
      <c r="AC116" s="64"/>
      <c r="AD116" s="64"/>
      <c r="AE116" s="64"/>
      <c r="AF116" s="64"/>
      <c r="AG116" s="64"/>
    </row>
    <row r="118" spans="17:33" x14ac:dyDescent="0.2">
      <c r="Y118" s="65" t="s">
        <v>627</v>
      </c>
      <c r="Z118" s="64"/>
      <c r="AA118" s="64"/>
      <c r="AB118" s="64"/>
      <c r="AC118" s="64"/>
      <c r="AD118" s="64"/>
      <c r="AE118" s="64"/>
      <c r="AF118" s="64"/>
      <c r="AG118" s="64"/>
    </row>
    <row r="119" spans="17:33" x14ac:dyDescent="0.2">
      <c r="Y119" s="63" t="s">
        <v>666</v>
      </c>
      <c r="Z119" s="64"/>
      <c r="AA119" s="64"/>
      <c r="AB119" s="64"/>
      <c r="AC119" s="64"/>
      <c r="AD119" s="64"/>
      <c r="AE119" s="64"/>
      <c r="AF119" s="64"/>
      <c r="AG119" s="64"/>
    </row>
    <row r="120" spans="17:33" x14ac:dyDescent="0.2">
      <c r="Y120" s="64"/>
      <c r="Z120" s="64"/>
      <c r="AA120" s="64"/>
      <c r="AB120" s="64"/>
      <c r="AC120" s="64"/>
      <c r="AD120" s="64"/>
      <c r="AE120" s="64"/>
      <c r="AF120" s="64"/>
      <c r="AG120" s="64"/>
    </row>
    <row r="121" spans="17:33" x14ac:dyDescent="0.2">
      <c r="Y121" s="64"/>
      <c r="Z121" s="64"/>
      <c r="AA121" s="64"/>
      <c r="AB121" s="64"/>
      <c r="AC121" s="64"/>
      <c r="AD121" s="64"/>
      <c r="AE121" s="64"/>
      <c r="AF121" s="64"/>
      <c r="AG121" s="64"/>
    </row>
    <row r="122" spans="17:33" x14ac:dyDescent="0.2">
      <c r="Y122" s="64"/>
      <c r="Z122" s="64"/>
      <c r="AA122" s="64"/>
      <c r="AB122" s="64"/>
      <c r="AC122" s="64"/>
      <c r="AD122" s="64"/>
      <c r="AE122" s="64"/>
      <c r="AF122" s="64"/>
      <c r="AG122" s="64"/>
    </row>
    <row r="124" spans="17:33" x14ac:dyDescent="0.2">
      <c r="Y124" s="65" t="s">
        <v>629</v>
      </c>
      <c r="Z124" s="64"/>
      <c r="AA124" s="64"/>
      <c r="AB124" s="64"/>
      <c r="AC124" s="64"/>
      <c r="AD124" s="64"/>
      <c r="AE124" s="64"/>
      <c r="AF124" s="64"/>
      <c r="AG124" s="64"/>
    </row>
    <row r="125" spans="17:33" x14ac:dyDescent="0.2">
      <c r="Y125" s="63" t="s">
        <v>667</v>
      </c>
      <c r="Z125" s="64"/>
      <c r="AA125" s="64"/>
      <c r="AB125" s="64"/>
      <c r="AC125" s="64"/>
      <c r="AD125" s="64"/>
      <c r="AE125" s="64"/>
      <c r="AF125" s="64"/>
      <c r="AG125" s="64"/>
    </row>
    <row r="126" spans="17:33" x14ac:dyDescent="0.2">
      <c r="Y126" s="64"/>
      <c r="Z126" s="64"/>
      <c r="AA126" s="64"/>
      <c r="AB126" s="64"/>
      <c r="AC126" s="64"/>
      <c r="AD126" s="64"/>
      <c r="AE126" s="64"/>
      <c r="AF126" s="64"/>
      <c r="AG126" s="64"/>
    </row>
    <row r="127" spans="17:33" x14ac:dyDescent="0.2">
      <c r="Y127" s="64"/>
      <c r="Z127" s="64"/>
      <c r="AA127" s="64"/>
      <c r="AB127" s="64"/>
      <c r="AC127" s="64"/>
      <c r="AD127" s="64"/>
      <c r="AE127" s="64"/>
      <c r="AF127" s="64"/>
      <c r="AG127" s="64"/>
    </row>
    <row r="128" spans="17:33" x14ac:dyDescent="0.2">
      <c r="Y128" s="64"/>
      <c r="Z128" s="64"/>
      <c r="AA128" s="64"/>
      <c r="AB128" s="64"/>
      <c r="AC128" s="64"/>
      <c r="AD128" s="64"/>
      <c r="AE128" s="64"/>
      <c r="AF128" s="64"/>
      <c r="AG128" s="64"/>
    </row>
    <row r="140" spans="17:33" ht="16" customHeight="1" x14ac:dyDescent="0.2">
      <c r="Q140" s="66" t="s">
        <v>740</v>
      </c>
      <c r="R140" s="64"/>
      <c r="S140" s="64"/>
      <c r="T140" s="64"/>
      <c r="U140" s="64"/>
      <c r="V140" s="64"/>
      <c r="W140" s="64"/>
      <c r="Y140" s="66" t="s">
        <v>617</v>
      </c>
      <c r="Z140" s="64"/>
      <c r="AA140" s="64"/>
      <c r="AB140" s="64"/>
      <c r="AC140" s="64"/>
      <c r="AD140" s="64"/>
      <c r="AE140" s="64"/>
      <c r="AF140" s="64"/>
      <c r="AG140" s="64"/>
    </row>
    <row r="141" spans="17:33" x14ac:dyDescent="0.2">
      <c r="Q141" s="12"/>
      <c r="R141" s="12" t="s">
        <v>618</v>
      </c>
      <c r="S141" s="12" t="s">
        <v>619</v>
      </c>
      <c r="W141" s="12" t="s">
        <v>620</v>
      </c>
    </row>
    <row r="142" spans="17:33" ht="22" customHeight="1" x14ac:dyDescent="0.2">
      <c r="Q142" s="13"/>
      <c r="R142" s="14">
        <v>1</v>
      </c>
      <c r="S142" s="63" t="s">
        <v>259</v>
      </c>
      <c r="T142" s="64"/>
      <c r="U142" s="64"/>
      <c r="V142" s="64"/>
      <c r="W142" s="6" t="s">
        <v>673</v>
      </c>
      <c r="Y142" s="65" t="s">
        <v>623</v>
      </c>
      <c r="Z142" s="64"/>
      <c r="AA142" s="64"/>
      <c r="AB142" s="64"/>
      <c r="AC142" s="64"/>
      <c r="AD142" s="64"/>
      <c r="AE142" s="64"/>
      <c r="AF142" s="64"/>
      <c r="AG142" s="64"/>
    </row>
    <row r="143" spans="17:33" ht="22" customHeight="1" x14ac:dyDescent="0.2">
      <c r="Q143" s="15"/>
      <c r="R143" s="14">
        <v>2</v>
      </c>
      <c r="S143" s="63" t="s">
        <v>160</v>
      </c>
      <c r="T143" s="64"/>
      <c r="U143" s="64"/>
      <c r="V143" s="64"/>
      <c r="W143" s="6" t="s">
        <v>785</v>
      </c>
      <c r="Y143" s="63" t="s">
        <v>786</v>
      </c>
      <c r="Z143" s="64"/>
      <c r="AA143" s="64"/>
      <c r="AB143" s="64"/>
      <c r="AC143" s="64"/>
      <c r="AD143" s="64"/>
      <c r="AE143" s="64"/>
      <c r="AF143" s="64"/>
      <c r="AG143" s="64"/>
    </row>
    <row r="144" spans="17:33" ht="22" customHeight="1" x14ac:dyDescent="0.2">
      <c r="Q144" s="16"/>
      <c r="R144" s="14">
        <v>3</v>
      </c>
      <c r="S144" s="63" t="s">
        <v>34</v>
      </c>
      <c r="T144" s="64"/>
      <c r="U144" s="64"/>
      <c r="V144" s="64"/>
      <c r="W144" s="6" t="s">
        <v>675</v>
      </c>
      <c r="Y144" s="64"/>
      <c r="Z144" s="64"/>
      <c r="AA144" s="64"/>
      <c r="AB144" s="64"/>
      <c r="AC144" s="64"/>
      <c r="AD144" s="64"/>
      <c r="AE144" s="64"/>
      <c r="AF144" s="64"/>
      <c r="AG144" s="64"/>
    </row>
    <row r="145" spans="17:33" ht="22" customHeight="1" x14ac:dyDescent="0.2">
      <c r="Q145" s="17"/>
      <c r="R145" s="14">
        <v>4</v>
      </c>
      <c r="S145" s="63" t="s">
        <v>165</v>
      </c>
      <c r="T145" s="64"/>
      <c r="U145" s="64"/>
      <c r="V145" s="64"/>
      <c r="W145" s="6" t="s">
        <v>787</v>
      </c>
      <c r="Y145" s="64"/>
      <c r="Z145" s="64"/>
      <c r="AA145" s="64"/>
      <c r="AB145" s="64"/>
      <c r="AC145" s="64"/>
      <c r="AD145" s="64"/>
      <c r="AE145" s="64"/>
      <c r="AF145" s="64"/>
      <c r="AG145" s="64"/>
    </row>
    <row r="146" spans="17:33" ht="22" customHeight="1" x14ac:dyDescent="0.2">
      <c r="Q146" s="18"/>
      <c r="R146" s="14">
        <v>5</v>
      </c>
      <c r="S146" s="63" t="s">
        <v>320</v>
      </c>
      <c r="T146" s="64"/>
      <c r="U146" s="64"/>
      <c r="V146" s="64"/>
      <c r="W146" s="6" t="s">
        <v>788</v>
      </c>
      <c r="Y146" s="64"/>
      <c r="Z146" s="64"/>
      <c r="AA146" s="64"/>
      <c r="AB146" s="64"/>
      <c r="AC146" s="64"/>
      <c r="AD146" s="64"/>
      <c r="AE146" s="64"/>
      <c r="AF146" s="64"/>
      <c r="AG146" s="64"/>
    </row>
    <row r="147" spans="17:33" ht="22" customHeight="1" x14ac:dyDescent="0.2">
      <c r="Q147" s="19"/>
      <c r="R147" s="14">
        <v>6</v>
      </c>
      <c r="S147" s="63" t="s">
        <v>142</v>
      </c>
      <c r="T147" s="64"/>
      <c r="U147" s="64"/>
      <c r="V147" s="64"/>
      <c r="W147" s="6" t="s">
        <v>789</v>
      </c>
    </row>
    <row r="148" spans="17:33" ht="22" customHeight="1" x14ac:dyDescent="0.2">
      <c r="Q148" s="20"/>
      <c r="R148" s="14">
        <v>7</v>
      </c>
      <c r="S148" s="63" t="s">
        <v>169</v>
      </c>
      <c r="T148" s="64"/>
      <c r="U148" s="64"/>
      <c r="V148" s="64"/>
      <c r="W148" s="6" t="s">
        <v>790</v>
      </c>
      <c r="Y148" s="65" t="s">
        <v>625</v>
      </c>
      <c r="Z148" s="64"/>
      <c r="AA148" s="64"/>
      <c r="AB148" s="64"/>
      <c r="AC148" s="64"/>
      <c r="AD148" s="64"/>
      <c r="AE148" s="64"/>
      <c r="AF148" s="64"/>
      <c r="AG148" s="64"/>
    </row>
    <row r="149" spans="17:33" ht="22" customHeight="1" x14ac:dyDescent="0.2">
      <c r="Q149" s="21"/>
      <c r="R149" s="14">
        <v>8</v>
      </c>
      <c r="S149" s="63" t="s">
        <v>140</v>
      </c>
      <c r="T149" s="64"/>
      <c r="U149" s="64"/>
      <c r="V149" s="64"/>
      <c r="W149" s="6" t="s">
        <v>791</v>
      </c>
      <c r="Y149" s="63" t="s">
        <v>792</v>
      </c>
      <c r="Z149" s="64"/>
      <c r="AA149" s="64"/>
      <c r="AB149" s="64"/>
      <c r="AC149" s="64"/>
      <c r="AD149" s="64"/>
      <c r="AE149" s="64"/>
      <c r="AF149" s="64"/>
      <c r="AG149" s="64"/>
    </row>
    <row r="150" spans="17:33" ht="22" customHeight="1" x14ac:dyDescent="0.2">
      <c r="Q150" s="22"/>
      <c r="R150" s="14">
        <v>9</v>
      </c>
      <c r="S150" s="63" t="s">
        <v>130</v>
      </c>
      <c r="T150" s="64"/>
      <c r="U150" s="64"/>
      <c r="V150" s="64"/>
      <c r="W150" s="6" t="s">
        <v>679</v>
      </c>
      <c r="Y150" s="64"/>
      <c r="Z150" s="64"/>
      <c r="AA150" s="64"/>
      <c r="AB150" s="64"/>
      <c r="AC150" s="64"/>
      <c r="AD150" s="64"/>
      <c r="AE150" s="64"/>
      <c r="AF150" s="64"/>
      <c r="AG150" s="64"/>
    </row>
    <row r="151" spans="17:33" ht="22" customHeight="1" x14ac:dyDescent="0.2">
      <c r="Q151" s="23"/>
      <c r="R151" s="14">
        <v>10</v>
      </c>
      <c r="S151" s="63" t="s">
        <v>99</v>
      </c>
      <c r="T151" s="64"/>
      <c r="U151" s="64"/>
      <c r="V151" s="64"/>
      <c r="W151" s="6" t="s">
        <v>793</v>
      </c>
      <c r="Y151" s="64"/>
      <c r="Z151" s="64"/>
      <c r="AA151" s="64"/>
      <c r="AB151" s="64"/>
      <c r="AC151" s="64"/>
      <c r="AD151" s="64"/>
      <c r="AE151" s="64"/>
      <c r="AF151" s="64"/>
      <c r="AG151" s="64"/>
    </row>
    <row r="152" spans="17:33" ht="22" customHeight="1" x14ac:dyDescent="0.2">
      <c r="Q152" s="24"/>
      <c r="R152" s="14">
        <v>11</v>
      </c>
      <c r="S152" s="63" t="s">
        <v>80</v>
      </c>
      <c r="T152" s="64"/>
      <c r="U152" s="64"/>
      <c r="V152" s="64"/>
      <c r="W152" s="6" t="s">
        <v>682</v>
      </c>
      <c r="Y152" s="64"/>
      <c r="Z152" s="64"/>
      <c r="AA152" s="64"/>
      <c r="AB152" s="64"/>
      <c r="AC152" s="64"/>
      <c r="AD152" s="64"/>
      <c r="AE152" s="64"/>
      <c r="AF152" s="64"/>
      <c r="AG152" s="64"/>
    </row>
    <row r="153" spans="17:33" ht="22" customHeight="1" x14ac:dyDescent="0.2">
      <c r="Q153" s="25"/>
      <c r="R153" s="14">
        <v>12</v>
      </c>
      <c r="S153" s="63" t="s">
        <v>60</v>
      </c>
      <c r="T153" s="64"/>
      <c r="U153" s="64"/>
      <c r="V153" s="64"/>
      <c r="W153" s="6" t="s">
        <v>794</v>
      </c>
    </row>
    <row r="154" spans="17:33" ht="22" customHeight="1" x14ac:dyDescent="0.2">
      <c r="Q154" s="13"/>
      <c r="R154" s="14">
        <v>13</v>
      </c>
      <c r="S154" s="63" t="s">
        <v>281</v>
      </c>
      <c r="T154" s="64"/>
      <c r="U154" s="64"/>
      <c r="V154" s="64"/>
      <c r="W154" s="6" t="s">
        <v>795</v>
      </c>
      <c r="Y154" s="65" t="s">
        <v>627</v>
      </c>
      <c r="Z154" s="64"/>
      <c r="AA154" s="64"/>
      <c r="AB154" s="64"/>
      <c r="AC154" s="64"/>
      <c r="AD154" s="64"/>
      <c r="AE154" s="64"/>
      <c r="AF154" s="64"/>
      <c r="AG154" s="64"/>
    </row>
    <row r="155" spans="17:33" ht="22" customHeight="1" x14ac:dyDescent="0.2">
      <c r="Q155" s="15"/>
      <c r="R155" s="14">
        <v>14</v>
      </c>
      <c r="S155" s="63" t="s">
        <v>28</v>
      </c>
      <c r="T155" s="64"/>
      <c r="U155" s="64"/>
      <c r="V155" s="64"/>
      <c r="W155" s="6" t="s">
        <v>796</v>
      </c>
      <c r="Y155" s="63" t="s">
        <v>797</v>
      </c>
      <c r="Z155" s="64"/>
      <c r="AA155" s="64"/>
      <c r="AB155" s="64"/>
      <c r="AC155" s="64"/>
      <c r="AD155" s="64"/>
      <c r="AE155" s="64"/>
      <c r="AF155" s="64"/>
      <c r="AG155" s="64"/>
    </row>
    <row r="156" spans="17:33" ht="22" customHeight="1" x14ac:dyDescent="0.2">
      <c r="Q156" s="16"/>
      <c r="R156" s="14">
        <v>15</v>
      </c>
      <c r="S156" s="63" t="s">
        <v>249</v>
      </c>
      <c r="T156" s="64"/>
      <c r="U156" s="64"/>
      <c r="V156" s="64"/>
      <c r="W156" s="6" t="s">
        <v>798</v>
      </c>
      <c r="Y156" s="64"/>
      <c r="Z156" s="64"/>
      <c r="AA156" s="64"/>
      <c r="AB156" s="64"/>
      <c r="AC156" s="64"/>
      <c r="AD156" s="64"/>
      <c r="AE156" s="64"/>
      <c r="AF156" s="64"/>
      <c r="AG156" s="64"/>
    </row>
    <row r="157" spans="17:33" ht="22" customHeight="1" x14ac:dyDescent="0.2">
      <c r="Q157" s="17"/>
      <c r="R157" s="14">
        <v>16</v>
      </c>
      <c r="S157" s="63" t="s">
        <v>204</v>
      </c>
      <c r="T157" s="64"/>
      <c r="U157" s="64"/>
      <c r="V157" s="64"/>
      <c r="W157" s="6" t="s">
        <v>799</v>
      </c>
      <c r="Y157" s="64"/>
      <c r="Z157" s="64"/>
      <c r="AA157" s="64"/>
      <c r="AB157" s="64"/>
      <c r="AC157" s="64"/>
      <c r="AD157" s="64"/>
      <c r="AE157" s="64"/>
      <c r="AF157" s="64"/>
      <c r="AG157" s="64"/>
    </row>
    <row r="158" spans="17:33" ht="22" customHeight="1" x14ac:dyDescent="0.2">
      <c r="Q158" s="18"/>
      <c r="R158" s="14">
        <v>17</v>
      </c>
      <c r="S158" s="63" t="s">
        <v>70</v>
      </c>
      <c r="T158" s="64"/>
      <c r="U158" s="64"/>
      <c r="V158" s="64"/>
      <c r="W158" s="6" t="s">
        <v>685</v>
      </c>
      <c r="Y158" s="64"/>
      <c r="Z158" s="64"/>
      <c r="AA158" s="64"/>
      <c r="AB158" s="64"/>
      <c r="AC158" s="64"/>
      <c r="AD158" s="64"/>
      <c r="AE158" s="64"/>
      <c r="AF158" s="64"/>
      <c r="AG158" s="64"/>
    </row>
    <row r="159" spans="17:33" ht="22" customHeight="1" x14ac:dyDescent="0.2">
      <c r="Q159" s="19"/>
      <c r="R159" s="14">
        <v>18</v>
      </c>
      <c r="S159" s="63" t="s">
        <v>271</v>
      </c>
      <c r="T159" s="64"/>
      <c r="U159" s="64"/>
      <c r="V159" s="64"/>
      <c r="W159" s="6" t="s">
        <v>800</v>
      </c>
    </row>
    <row r="160" spans="17:33" ht="22" customHeight="1" x14ac:dyDescent="0.2">
      <c r="Q160" s="20"/>
      <c r="R160" s="14">
        <v>19</v>
      </c>
      <c r="S160" s="63" t="s">
        <v>84</v>
      </c>
      <c r="T160" s="64"/>
      <c r="U160" s="64"/>
      <c r="V160" s="64"/>
      <c r="W160" s="6" t="s">
        <v>801</v>
      </c>
      <c r="Y160" s="65" t="s">
        <v>629</v>
      </c>
      <c r="Z160" s="64"/>
      <c r="AA160" s="64"/>
      <c r="AB160" s="64"/>
      <c r="AC160" s="64"/>
      <c r="AD160" s="64"/>
      <c r="AE160" s="64"/>
      <c r="AF160" s="64"/>
      <c r="AG160" s="64"/>
    </row>
    <row r="161" spans="17:33" ht="22" customHeight="1" x14ac:dyDescent="0.2">
      <c r="Q161" s="21"/>
      <c r="R161" s="14">
        <v>20</v>
      </c>
      <c r="S161" s="63" t="s">
        <v>54</v>
      </c>
      <c r="T161" s="64"/>
      <c r="U161" s="64"/>
      <c r="V161" s="64"/>
      <c r="W161" s="6" t="s">
        <v>686</v>
      </c>
      <c r="Y161" s="63" t="s">
        <v>802</v>
      </c>
      <c r="Z161" s="64"/>
      <c r="AA161" s="64"/>
      <c r="AB161" s="64"/>
      <c r="AC161" s="64"/>
      <c r="AD161" s="64"/>
      <c r="AE161" s="64"/>
      <c r="AF161" s="64"/>
      <c r="AG161" s="64"/>
    </row>
    <row r="162" spans="17:33" ht="22" customHeight="1" x14ac:dyDescent="0.2">
      <c r="Q162" s="22"/>
      <c r="R162" s="14">
        <v>21</v>
      </c>
      <c r="S162" s="63" t="s">
        <v>313</v>
      </c>
      <c r="T162" s="64"/>
      <c r="U162" s="64"/>
      <c r="V162" s="64"/>
      <c r="W162" s="6" t="s">
        <v>687</v>
      </c>
      <c r="Y162" s="64"/>
      <c r="Z162" s="64"/>
      <c r="AA162" s="64"/>
      <c r="AB162" s="64"/>
      <c r="AC162" s="64"/>
      <c r="AD162" s="64"/>
      <c r="AE162" s="64"/>
      <c r="AF162" s="64"/>
      <c r="AG162" s="64"/>
    </row>
    <row r="163" spans="17:33" ht="22" customHeight="1" x14ac:dyDescent="0.2">
      <c r="Q163" s="23"/>
      <c r="R163" s="14">
        <v>22</v>
      </c>
      <c r="S163" s="63" t="s">
        <v>91</v>
      </c>
      <c r="T163" s="64"/>
      <c r="U163" s="64"/>
      <c r="V163" s="64"/>
      <c r="W163" s="6" t="s">
        <v>803</v>
      </c>
      <c r="Y163" s="64"/>
      <c r="Z163" s="64"/>
      <c r="AA163" s="64"/>
      <c r="AB163" s="64"/>
      <c r="AC163" s="64"/>
      <c r="AD163" s="64"/>
      <c r="AE163" s="64"/>
      <c r="AF163" s="64"/>
      <c r="AG163" s="64"/>
    </row>
    <row r="164" spans="17:33" ht="22" customHeight="1" x14ac:dyDescent="0.2">
      <c r="Q164" s="24"/>
      <c r="R164" s="14">
        <v>23</v>
      </c>
      <c r="S164" s="63" t="s">
        <v>67</v>
      </c>
      <c r="T164" s="64"/>
      <c r="U164" s="64"/>
      <c r="V164" s="64"/>
      <c r="W164" s="6" t="s">
        <v>804</v>
      </c>
      <c r="Y164" s="64"/>
      <c r="Z164" s="64"/>
      <c r="AA164" s="64"/>
      <c r="AB164" s="64"/>
      <c r="AC164" s="64"/>
      <c r="AD164" s="64"/>
      <c r="AE164" s="64"/>
      <c r="AF164" s="64"/>
      <c r="AG164" s="64"/>
    </row>
    <row r="165" spans="17:33" ht="22" customHeight="1" x14ac:dyDescent="0.2">
      <c r="Q165" s="25"/>
      <c r="R165" s="14">
        <v>24</v>
      </c>
      <c r="S165" s="63" t="s">
        <v>43</v>
      </c>
      <c r="T165" s="64"/>
      <c r="U165" s="64"/>
      <c r="V165" s="64"/>
      <c r="W165" s="6" t="s">
        <v>805</v>
      </c>
    </row>
    <row r="166" spans="17:33" ht="22" customHeight="1" x14ac:dyDescent="0.2">
      <c r="Q166" s="13"/>
      <c r="R166" s="14">
        <v>25</v>
      </c>
      <c r="S166" s="63" t="s">
        <v>292</v>
      </c>
      <c r="T166" s="64"/>
      <c r="U166" s="64"/>
      <c r="V166" s="64"/>
      <c r="W166" s="6" t="s">
        <v>806</v>
      </c>
    </row>
    <row r="167" spans="17:33" ht="22" customHeight="1" x14ac:dyDescent="0.2">
      <c r="Q167" s="15"/>
      <c r="R167" s="14">
        <v>26</v>
      </c>
      <c r="S167" s="63" t="s">
        <v>268</v>
      </c>
      <c r="T167" s="64"/>
      <c r="U167" s="64"/>
      <c r="V167" s="64"/>
      <c r="W167" s="6" t="s">
        <v>807</v>
      </c>
    </row>
    <row r="168" spans="17:33" ht="22" customHeight="1" x14ac:dyDescent="0.2">
      <c r="Q168" s="16"/>
      <c r="R168" s="14">
        <v>27</v>
      </c>
      <c r="S168" s="63" t="s">
        <v>224</v>
      </c>
      <c r="T168" s="64"/>
      <c r="U168" s="64"/>
      <c r="V168" s="64"/>
      <c r="W168" s="6" t="s">
        <v>808</v>
      </c>
    </row>
    <row r="169" spans="17:33" ht="22" customHeight="1" x14ac:dyDescent="0.2">
      <c r="Q169" s="17"/>
      <c r="R169" s="14">
        <v>28</v>
      </c>
      <c r="S169" s="63" t="s">
        <v>123</v>
      </c>
      <c r="T169" s="64"/>
      <c r="U169" s="64"/>
      <c r="V169" s="64"/>
      <c r="W169" s="6" t="s">
        <v>809</v>
      </c>
    </row>
    <row r="170" spans="17:33" ht="22" customHeight="1" x14ac:dyDescent="0.2">
      <c r="Q170" s="18"/>
      <c r="R170" s="14">
        <v>29</v>
      </c>
      <c r="S170" s="63" t="s">
        <v>210</v>
      </c>
      <c r="T170" s="64"/>
      <c r="U170" s="64"/>
      <c r="V170" s="64"/>
      <c r="W170" s="6" t="s">
        <v>810</v>
      </c>
    </row>
    <row r="171" spans="17:33" ht="22" customHeight="1" x14ac:dyDescent="0.2">
      <c r="Q171" s="19"/>
      <c r="R171" s="14">
        <v>30</v>
      </c>
      <c r="S171" s="63" t="s">
        <v>126</v>
      </c>
      <c r="T171" s="64"/>
      <c r="U171" s="64"/>
      <c r="V171" s="64"/>
      <c r="W171" s="6" t="s">
        <v>689</v>
      </c>
    </row>
    <row r="172" spans="17:33" ht="22" customHeight="1" x14ac:dyDescent="0.2">
      <c r="Q172" s="20"/>
      <c r="R172" s="14">
        <v>31</v>
      </c>
      <c r="S172" s="63" t="s">
        <v>32</v>
      </c>
      <c r="T172" s="64"/>
      <c r="U172" s="64"/>
      <c r="V172" s="64"/>
      <c r="W172" s="6" t="s">
        <v>811</v>
      </c>
    </row>
    <row r="173" spans="17:33" ht="22" customHeight="1" x14ac:dyDescent="0.2">
      <c r="Q173" s="21"/>
      <c r="R173" s="14">
        <v>32</v>
      </c>
      <c r="S173" s="63" t="s">
        <v>276</v>
      </c>
      <c r="T173" s="64"/>
      <c r="U173" s="64"/>
      <c r="V173" s="64"/>
      <c r="W173" s="6" t="s">
        <v>812</v>
      </c>
    </row>
    <row r="174" spans="17:33" ht="22" customHeight="1" x14ac:dyDescent="0.2">
      <c r="Q174" s="22"/>
      <c r="R174" s="14">
        <v>33</v>
      </c>
      <c r="S174" s="63" t="s">
        <v>214</v>
      </c>
      <c r="T174" s="64"/>
      <c r="U174" s="64"/>
      <c r="V174" s="64"/>
      <c r="W174" s="6" t="s">
        <v>813</v>
      </c>
    </row>
    <row r="175" spans="17:33" ht="22" customHeight="1" x14ac:dyDescent="0.2">
      <c r="Q175" s="23"/>
      <c r="R175" s="14">
        <v>34</v>
      </c>
      <c r="S175" s="63" t="s">
        <v>237</v>
      </c>
      <c r="T175" s="64"/>
      <c r="U175" s="64"/>
      <c r="V175" s="64"/>
      <c r="W175" s="6" t="s">
        <v>814</v>
      </c>
    </row>
    <row r="176" spans="17:33" ht="22" customHeight="1" x14ac:dyDescent="0.2">
      <c r="Q176" s="24"/>
      <c r="R176" s="14">
        <v>35</v>
      </c>
      <c r="S176" s="63" t="s">
        <v>300</v>
      </c>
      <c r="T176" s="64"/>
      <c r="U176" s="64"/>
      <c r="V176" s="64"/>
      <c r="W176" s="6" t="s">
        <v>814</v>
      </c>
    </row>
    <row r="177" spans="17:23" ht="22" customHeight="1" x14ac:dyDescent="0.2">
      <c r="Q177" s="25"/>
      <c r="R177" s="14">
        <v>36</v>
      </c>
      <c r="S177" s="63" t="s">
        <v>302</v>
      </c>
      <c r="T177" s="64"/>
      <c r="U177" s="64"/>
      <c r="V177" s="64"/>
      <c r="W177" s="6" t="s">
        <v>815</v>
      </c>
    </row>
    <row r="178" spans="17:23" ht="22" customHeight="1" x14ac:dyDescent="0.2">
      <c r="Q178" s="13"/>
      <c r="R178" s="14">
        <v>37</v>
      </c>
      <c r="S178" s="63" t="s">
        <v>113</v>
      </c>
      <c r="T178" s="64"/>
      <c r="U178" s="64"/>
      <c r="V178" s="64"/>
      <c r="W178" s="6" t="s">
        <v>816</v>
      </c>
    </row>
    <row r="179" spans="17:23" ht="22" customHeight="1" x14ac:dyDescent="0.2">
      <c r="Q179" s="15"/>
      <c r="R179" s="14">
        <v>38</v>
      </c>
      <c r="S179" s="63" t="s">
        <v>221</v>
      </c>
      <c r="T179" s="64"/>
      <c r="U179" s="64"/>
      <c r="V179" s="64"/>
      <c r="W179" s="6" t="s">
        <v>817</v>
      </c>
    </row>
    <row r="180" spans="17:23" ht="22" customHeight="1" x14ac:dyDescent="0.2">
      <c r="Q180" s="16"/>
      <c r="R180" s="14">
        <v>39</v>
      </c>
      <c r="S180" s="63" t="s">
        <v>119</v>
      </c>
      <c r="T180" s="64"/>
      <c r="U180" s="64"/>
      <c r="V180" s="64"/>
      <c r="W180" s="6" t="s">
        <v>818</v>
      </c>
    </row>
    <row r="181" spans="17:23" ht="22" customHeight="1" x14ac:dyDescent="0.2">
      <c r="Q181" s="17"/>
      <c r="R181" s="14">
        <v>40</v>
      </c>
      <c r="S181" s="63" t="s">
        <v>242</v>
      </c>
      <c r="T181" s="64"/>
      <c r="U181" s="64"/>
      <c r="V181" s="64"/>
      <c r="W181" s="6" t="s">
        <v>819</v>
      </c>
    </row>
    <row r="182" spans="17:23" ht="22" customHeight="1" x14ac:dyDescent="0.2">
      <c r="Q182" s="18"/>
      <c r="R182" s="14">
        <v>41</v>
      </c>
      <c r="S182" s="63" t="s">
        <v>217</v>
      </c>
      <c r="T182" s="64"/>
      <c r="U182" s="64"/>
      <c r="V182" s="64"/>
      <c r="W182" s="6" t="s">
        <v>820</v>
      </c>
    </row>
    <row r="183" spans="17:23" ht="22" customHeight="1" x14ac:dyDescent="0.2">
      <c r="Q183" s="19"/>
      <c r="R183" s="14">
        <v>42</v>
      </c>
      <c r="S183" s="63" t="s">
        <v>199</v>
      </c>
      <c r="T183" s="64"/>
      <c r="U183" s="64"/>
      <c r="V183" s="64"/>
      <c r="W183" s="6" t="s">
        <v>821</v>
      </c>
    </row>
    <row r="184" spans="17:23" ht="22" customHeight="1" x14ac:dyDescent="0.2">
      <c r="Q184" s="20"/>
      <c r="R184" s="14">
        <v>43</v>
      </c>
      <c r="S184" s="63" t="s">
        <v>252</v>
      </c>
      <c r="T184" s="64"/>
      <c r="U184" s="64"/>
      <c r="V184" s="64"/>
      <c r="W184" s="6" t="s">
        <v>822</v>
      </c>
    </row>
    <row r="185" spans="17:23" ht="22" customHeight="1" x14ac:dyDescent="0.2">
      <c r="Q185" s="21"/>
      <c r="R185" s="14">
        <v>44</v>
      </c>
      <c r="S185" s="63" t="s">
        <v>51</v>
      </c>
      <c r="T185" s="64"/>
      <c r="U185" s="64"/>
      <c r="V185" s="64"/>
      <c r="W185" s="6" t="s">
        <v>690</v>
      </c>
    </row>
    <row r="186" spans="17:23" ht="22" customHeight="1" x14ac:dyDescent="0.2">
      <c r="Q186" s="22"/>
      <c r="R186" s="14">
        <v>45</v>
      </c>
      <c r="S186" s="63" t="s">
        <v>95</v>
      </c>
      <c r="T186" s="64"/>
      <c r="U186" s="64"/>
      <c r="V186" s="64"/>
      <c r="W186" s="6" t="s">
        <v>690</v>
      </c>
    </row>
    <row r="187" spans="17:23" ht="22" customHeight="1" x14ac:dyDescent="0.2">
      <c r="Q187" s="23"/>
      <c r="R187" s="14">
        <v>46</v>
      </c>
      <c r="S187" s="63" t="s">
        <v>240</v>
      </c>
      <c r="T187" s="64"/>
      <c r="U187" s="64"/>
      <c r="V187" s="64"/>
      <c r="W187" s="6" t="s">
        <v>823</v>
      </c>
    </row>
    <row r="188" spans="17:23" ht="22" customHeight="1" x14ac:dyDescent="0.2">
      <c r="Q188" s="24"/>
      <c r="R188" s="14">
        <v>47</v>
      </c>
      <c r="S188" s="63" t="s">
        <v>289</v>
      </c>
      <c r="T188" s="64"/>
      <c r="U188" s="64"/>
      <c r="V188" s="64"/>
      <c r="W188" s="6" t="s">
        <v>824</v>
      </c>
    </row>
    <row r="189" spans="17:23" ht="22" customHeight="1" x14ac:dyDescent="0.2">
      <c r="Q189" s="25"/>
      <c r="R189" s="14">
        <v>48</v>
      </c>
      <c r="S189" s="63" t="s">
        <v>116</v>
      </c>
      <c r="T189" s="64"/>
      <c r="U189" s="64"/>
      <c r="V189" s="64"/>
      <c r="W189" s="6" t="s">
        <v>825</v>
      </c>
    </row>
    <row r="190" spans="17:23" ht="22" customHeight="1" x14ac:dyDescent="0.2">
      <c r="Q190" s="13"/>
      <c r="R190" s="14">
        <v>49</v>
      </c>
      <c r="S190" s="63" t="s">
        <v>76</v>
      </c>
      <c r="T190" s="64"/>
      <c r="U190" s="64"/>
      <c r="V190" s="64"/>
      <c r="W190" s="6" t="s">
        <v>826</v>
      </c>
    </row>
    <row r="191" spans="17:23" ht="22" customHeight="1" x14ac:dyDescent="0.2">
      <c r="Q191" s="15"/>
      <c r="R191" s="14">
        <v>50</v>
      </c>
      <c r="S191" s="63" t="s">
        <v>195</v>
      </c>
      <c r="T191" s="64"/>
      <c r="U191" s="64"/>
      <c r="V191" s="64"/>
      <c r="W191" s="6" t="s">
        <v>827</v>
      </c>
    </row>
    <row r="192" spans="17:23" ht="22" customHeight="1" x14ac:dyDescent="0.2">
      <c r="Q192" s="16"/>
      <c r="R192" s="14">
        <v>51</v>
      </c>
      <c r="S192" s="63" t="s">
        <v>305</v>
      </c>
      <c r="T192" s="64"/>
      <c r="U192" s="64"/>
      <c r="V192" s="64"/>
      <c r="W192" s="6" t="s">
        <v>828</v>
      </c>
    </row>
    <row r="193" spans="17:33" ht="22" customHeight="1" x14ac:dyDescent="0.2">
      <c r="Q193" s="17"/>
      <c r="R193" s="14">
        <v>52</v>
      </c>
      <c r="S193" s="63" t="s">
        <v>103</v>
      </c>
      <c r="T193" s="64"/>
      <c r="U193" s="64"/>
      <c r="V193" s="64"/>
      <c r="W193" s="6" t="s">
        <v>829</v>
      </c>
    </row>
    <row r="194" spans="17:33" ht="22" customHeight="1" x14ac:dyDescent="0.2">
      <c r="Q194" s="18"/>
      <c r="R194" s="14">
        <v>53</v>
      </c>
      <c r="S194" s="63" t="s">
        <v>310</v>
      </c>
      <c r="T194" s="64"/>
      <c r="U194" s="64"/>
      <c r="V194" s="64"/>
      <c r="W194" s="6" t="s">
        <v>830</v>
      </c>
    </row>
    <row r="195" spans="17:33" ht="22" customHeight="1" x14ac:dyDescent="0.2">
      <c r="Q195" s="19"/>
      <c r="R195" s="14">
        <v>54</v>
      </c>
      <c r="S195" s="63" t="s">
        <v>212</v>
      </c>
      <c r="T195" s="64"/>
      <c r="U195" s="64"/>
      <c r="V195" s="64"/>
      <c r="W195" s="6" t="s">
        <v>831</v>
      </c>
    </row>
    <row r="196" spans="17:33" ht="22" customHeight="1" x14ac:dyDescent="0.2">
      <c r="Q196" s="20"/>
      <c r="R196" s="14">
        <v>55</v>
      </c>
      <c r="S196" s="63" t="s">
        <v>73</v>
      </c>
      <c r="T196" s="64"/>
      <c r="U196" s="64"/>
      <c r="V196" s="64"/>
      <c r="W196" s="6" t="s">
        <v>832</v>
      </c>
    </row>
    <row r="200" spans="17:33" ht="16" customHeight="1" x14ac:dyDescent="0.2">
      <c r="Q200" s="66" t="s">
        <v>692</v>
      </c>
      <c r="R200" s="64"/>
      <c r="S200" s="64"/>
      <c r="T200" s="64"/>
      <c r="U200" s="64"/>
      <c r="V200" s="64"/>
      <c r="W200" s="64"/>
      <c r="Y200" s="66" t="s">
        <v>617</v>
      </c>
      <c r="Z200" s="64"/>
      <c r="AA200" s="64"/>
      <c r="AB200" s="64"/>
      <c r="AC200" s="64"/>
      <c r="AD200" s="64"/>
      <c r="AE200" s="64"/>
      <c r="AF200" s="64"/>
      <c r="AG200" s="64"/>
    </row>
    <row r="201" spans="17:33" x14ac:dyDescent="0.2">
      <c r="Q201" s="12"/>
      <c r="R201" s="12" t="s">
        <v>618</v>
      </c>
      <c r="S201" s="12" t="s">
        <v>619</v>
      </c>
      <c r="W201" s="12" t="s">
        <v>620</v>
      </c>
    </row>
    <row r="202" spans="17:33" ht="22" customHeight="1" x14ac:dyDescent="0.2">
      <c r="Q202" s="13"/>
      <c r="R202" s="14">
        <v>1</v>
      </c>
      <c r="S202" s="63" t="s">
        <v>167</v>
      </c>
      <c r="T202" s="64"/>
      <c r="U202" s="64"/>
      <c r="V202" s="64"/>
      <c r="W202" s="6" t="s">
        <v>693</v>
      </c>
      <c r="Y202" s="65" t="s">
        <v>623</v>
      </c>
      <c r="Z202" s="64"/>
      <c r="AA202" s="64"/>
      <c r="AB202" s="64"/>
      <c r="AC202" s="64"/>
      <c r="AD202" s="64"/>
      <c r="AE202" s="64"/>
      <c r="AF202" s="64"/>
      <c r="AG202" s="64"/>
    </row>
    <row r="203" spans="17:33" ht="22" customHeight="1" x14ac:dyDescent="0.2">
      <c r="Q203" s="15"/>
      <c r="R203" s="14">
        <v>2</v>
      </c>
      <c r="S203" s="63" t="s">
        <v>40</v>
      </c>
      <c r="T203" s="64"/>
      <c r="U203" s="64"/>
      <c r="V203" s="64"/>
      <c r="W203" s="6" t="s">
        <v>662</v>
      </c>
      <c r="Y203" s="63" t="s">
        <v>694</v>
      </c>
      <c r="Z203" s="64"/>
      <c r="AA203" s="64"/>
      <c r="AB203" s="64"/>
      <c r="AC203" s="64"/>
      <c r="AD203" s="64"/>
      <c r="AE203" s="64"/>
      <c r="AF203" s="64"/>
      <c r="AG203" s="64"/>
    </row>
    <row r="204" spans="17:33" ht="22" customHeight="1" x14ac:dyDescent="0.2">
      <c r="Q204" s="16"/>
      <c r="R204" s="14">
        <v>3</v>
      </c>
      <c r="S204" s="63" t="s">
        <v>266</v>
      </c>
      <c r="T204" s="64"/>
      <c r="U204" s="64"/>
      <c r="V204" s="64"/>
      <c r="W204" s="6" t="s">
        <v>695</v>
      </c>
      <c r="Y204" s="64"/>
      <c r="Z204" s="64"/>
      <c r="AA204" s="64"/>
      <c r="AB204" s="64"/>
      <c r="AC204" s="64"/>
      <c r="AD204" s="64"/>
      <c r="AE204" s="64"/>
      <c r="AF204" s="64"/>
      <c r="AG204" s="64"/>
    </row>
    <row r="205" spans="17:33" ht="22" customHeight="1" x14ac:dyDescent="0.2">
      <c r="Q205" s="17"/>
      <c r="R205" s="14">
        <v>4</v>
      </c>
      <c r="S205" s="63" t="s">
        <v>141</v>
      </c>
      <c r="T205" s="64"/>
      <c r="U205" s="64"/>
      <c r="V205" s="64"/>
      <c r="W205" s="6" t="s">
        <v>696</v>
      </c>
      <c r="Y205" s="64"/>
      <c r="Z205" s="64"/>
      <c r="AA205" s="64"/>
      <c r="AB205" s="64"/>
      <c r="AC205" s="64"/>
      <c r="AD205" s="64"/>
      <c r="AE205" s="64"/>
      <c r="AF205" s="64"/>
      <c r="AG205" s="64"/>
    </row>
    <row r="206" spans="17:33" ht="22" customHeight="1" x14ac:dyDescent="0.2">
      <c r="Q206" s="18"/>
      <c r="R206" s="14">
        <v>5</v>
      </c>
      <c r="S206" s="63" t="s">
        <v>162</v>
      </c>
      <c r="T206" s="64"/>
      <c r="U206" s="64"/>
      <c r="V206" s="64"/>
      <c r="W206" s="6" t="s">
        <v>697</v>
      </c>
      <c r="Y206" s="64"/>
      <c r="Z206" s="64"/>
      <c r="AA206" s="64"/>
      <c r="AB206" s="64"/>
      <c r="AC206" s="64"/>
      <c r="AD206" s="64"/>
      <c r="AE206" s="64"/>
      <c r="AF206" s="64"/>
      <c r="AG206" s="64"/>
    </row>
    <row r="207" spans="17:33" ht="22" customHeight="1" x14ac:dyDescent="0.2">
      <c r="Q207" s="19"/>
      <c r="R207" s="14">
        <v>6</v>
      </c>
      <c r="S207" s="63" t="s">
        <v>82</v>
      </c>
      <c r="T207" s="64"/>
      <c r="U207" s="64"/>
      <c r="V207" s="64"/>
      <c r="W207" s="6" t="s">
        <v>646</v>
      </c>
    </row>
    <row r="208" spans="17:33" ht="22" customHeight="1" x14ac:dyDescent="0.2">
      <c r="Q208" s="20"/>
      <c r="R208" s="14">
        <v>7</v>
      </c>
      <c r="S208" s="63" t="s">
        <v>131</v>
      </c>
      <c r="T208" s="64"/>
      <c r="U208" s="64"/>
      <c r="V208" s="64"/>
      <c r="W208" s="6" t="s">
        <v>698</v>
      </c>
      <c r="Y208" s="65" t="s">
        <v>625</v>
      </c>
      <c r="Z208" s="64"/>
      <c r="AA208" s="64"/>
      <c r="AB208" s="64"/>
      <c r="AC208" s="64"/>
      <c r="AD208" s="64"/>
      <c r="AE208" s="64"/>
      <c r="AF208" s="64"/>
      <c r="AG208" s="64"/>
    </row>
    <row r="209" spans="17:33" ht="22" customHeight="1" x14ac:dyDescent="0.2">
      <c r="Q209" s="21"/>
      <c r="R209" s="14">
        <v>8</v>
      </c>
      <c r="S209" s="63" t="s">
        <v>328</v>
      </c>
      <c r="T209" s="64"/>
      <c r="U209" s="64"/>
      <c r="V209" s="64"/>
      <c r="W209" s="6" t="s">
        <v>699</v>
      </c>
      <c r="Y209" s="63" t="s">
        <v>700</v>
      </c>
      <c r="Z209" s="64"/>
      <c r="AA209" s="64"/>
      <c r="AB209" s="64"/>
      <c r="AC209" s="64"/>
      <c r="AD209" s="64"/>
      <c r="AE209" s="64"/>
      <c r="AF209" s="64"/>
      <c r="AG209" s="64"/>
    </row>
    <row r="210" spans="17:33" ht="22" customHeight="1" x14ac:dyDescent="0.2">
      <c r="Q210" s="22"/>
      <c r="R210" s="14">
        <v>9</v>
      </c>
      <c r="S210" s="63" t="s">
        <v>161</v>
      </c>
      <c r="T210" s="64"/>
      <c r="U210" s="64"/>
      <c r="V210" s="64"/>
      <c r="W210" s="6" t="s">
        <v>701</v>
      </c>
      <c r="Y210" s="64"/>
      <c r="Z210" s="64"/>
      <c r="AA210" s="64"/>
      <c r="AB210" s="64"/>
      <c r="AC210" s="64"/>
      <c r="AD210" s="64"/>
      <c r="AE210" s="64"/>
      <c r="AF210" s="64"/>
      <c r="AG210" s="64"/>
    </row>
    <row r="211" spans="17:33" ht="22" customHeight="1" x14ac:dyDescent="0.2">
      <c r="Q211" s="23"/>
      <c r="R211" s="14">
        <v>10</v>
      </c>
      <c r="S211" s="63" t="s">
        <v>251</v>
      </c>
      <c r="T211" s="64"/>
      <c r="U211" s="64"/>
      <c r="V211" s="64"/>
      <c r="W211" s="6" t="s">
        <v>702</v>
      </c>
      <c r="Y211" s="64"/>
      <c r="Z211" s="64"/>
      <c r="AA211" s="64"/>
      <c r="AB211" s="64"/>
      <c r="AC211" s="64"/>
      <c r="AD211" s="64"/>
      <c r="AE211" s="64"/>
      <c r="AF211" s="64"/>
      <c r="AG211" s="64"/>
    </row>
    <row r="212" spans="17:33" x14ac:dyDescent="0.2">
      <c r="Y212" s="64"/>
      <c r="Z212" s="64"/>
      <c r="AA212" s="64"/>
      <c r="AB212" s="64"/>
      <c r="AC212" s="64"/>
      <c r="AD212" s="64"/>
      <c r="AE212" s="64"/>
      <c r="AF212" s="64"/>
      <c r="AG212" s="64"/>
    </row>
    <row r="214" spans="17:33" x14ac:dyDescent="0.2">
      <c r="Y214" s="65" t="s">
        <v>627</v>
      </c>
      <c r="Z214" s="64"/>
      <c r="AA214" s="64"/>
      <c r="AB214" s="64"/>
      <c r="AC214" s="64"/>
      <c r="AD214" s="64"/>
      <c r="AE214" s="64"/>
      <c r="AF214" s="64"/>
      <c r="AG214" s="64"/>
    </row>
    <row r="215" spans="17:33" x14ac:dyDescent="0.2">
      <c r="Y215" s="63" t="s">
        <v>703</v>
      </c>
      <c r="Z215" s="64"/>
      <c r="AA215" s="64"/>
      <c r="AB215" s="64"/>
      <c r="AC215" s="64"/>
      <c r="AD215" s="64"/>
      <c r="AE215" s="64"/>
      <c r="AF215" s="64"/>
      <c r="AG215" s="64"/>
    </row>
    <row r="216" spans="17:33" x14ac:dyDescent="0.2">
      <c r="Y216" s="64"/>
      <c r="Z216" s="64"/>
      <c r="AA216" s="64"/>
      <c r="AB216" s="64"/>
      <c r="AC216" s="64"/>
      <c r="AD216" s="64"/>
      <c r="AE216" s="64"/>
      <c r="AF216" s="64"/>
      <c r="AG216" s="64"/>
    </row>
    <row r="217" spans="17:33" x14ac:dyDescent="0.2">
      <c r="Y217" s="64"/>
      <c r="Z217" s="64"/>
      <c r="AA217" s="64"/>
      <c r="AB217" s="64"/>
      <c r="AC217" s="64"/>
      <c r="AD217" s="64"/>
      <c r="AE217" s="64"/>
      <c r="AF217" s="64"/>
      <c r="AG217" s="64"/>
    </row>
    <row r="218" spans="17:33" x14ac:dyDescent="0.2">
      <c r="Y218" s="64"/>
      <c r="Z218" s="64"/>
      <c r="AA218" s="64"/>
      <c r="AB218" s="64"/>
      <c r="AC218" s="64"/>
      <c r="AD218" s="64"/>
      <c r="AE218" s="64"/>
      <c r="AF218" s="64"/>
      <c r="AG218" s="64"/>
    </row>
    <row r="220" spans="17:33" x14ac:dyDescent="0.2">
      <c r="Y220" s="65" t="s">
        <v>629</v>
      </c>
      <c r="Z220" s="64"/>
      <c r="AA220" s="64"/>
      <c r="AB220" s="64"/>
      <c r="AC220" s="64"/>
      <c r="AD220" s="64"/>
      <c r="AE220" s="64"/>
      <c r="AF220" s="64"/>
      <c r="AG220" s="64"/>
    </row>
    <row r="221" spans="17:33" x14ac:dyDescent="0.2">
      <c r="Y221" s="63" t="s">
        <v>704</v>
      </c>
      <c r="Z221" s="64"/>
      <c r="AA221" s="64"/>
      <c r="AB221" s="64"/>
      <c r="AC221" s="64"/>
      <c r="AD221" s="64"/>
      <c r="AE221" s="64"/>
      <c r="AF221" s="64"/>
      <c r="AG221" s="64"/>
    </row>
    <row r="222" spans="17:33" x14ac:dyDescent="0.2">
      <c r="Y222" s="64"/>
      <c r="Z222" s="64"/>
      <c r="AA222" s="64"/>
      <c r="AB222" s="64"/>
      <c r="AC222" s="64"/>
      <c r="AD222" s="64"/>
      <c r="AE222" s="64"/>
      <c r="AF222" s="64"/>
      <c r="AG222" s="64"/>
    </row>
    <row r="223" spans="17:33" x14ac:dyDescent="0.2">
      <c r="Y223" s="64"/>
      <c r="Z223" s="64"/>
      <c r="AA223" s="64"/>
      <c r="AB223" s="64"/>
      <c r="AC223" s="64"/>
      <c r="AD223" s="64"/>
      <c r="AE223" s="64"/>
      <c r="AF223" s="64"/>
      <c r="AG223" s="64"/>
    </row>
    <row r="224" spans="17:33" x14ac:dyDescent="0.2">
      <c r="Y224" s="64"/>
      <c r="Z224" s="64"/>
      <c r="AA224" s="64"/>
      <c r="AB224" s="64"/>
      <c r="AC224" s="64"/>
      <c r="AD224" s="64"/>
      <c r="AE224" s="64"/>
      <c r="AF224" s="64"/>
      <c r="AG224" s="64"/>
    </row>
    <row r="236" spans="17:33" ht="16" customHeight="1" x14ac:dyDescent="0.2">
      <c r="Q236" s="66" t="s">
        <v>705</v>
      </c>
      <c r="R236" s="64"/>
      <c r="S236" s="64"/>
      <c r="T236" s="64"/>
      <c r="U236" s="64"/>
      <c r="V236" s="64"/>
      <c r="W236" s="64"/>
      <c r="Y236" s="66" t="s">
        <v>617</v>
      </c>
      <c r="Z236" s="64"/>
      <c r="AA236" s="64"/>
      <c r="AB236" s="64"/>
      <c r="AC236" s="64"/>
      <c r="AD236" s="64"/>
      <c r="AE236" s="64"/>
      <c r="AF236" s="64"/>
      <c r="AG236" s="64"/>
    </row>
    <row r="237" spans="17:33" x14ac:dyDescent="0.2">
      <c r="Q237" s="12"/>
      <c r="R237" s="12" t="s">
        <v>618</v>
      </c>
      <c r="S237" s="12" t="s">
        <v>619</v>
      </c>
      <c r="W237" s="12" t="s">
        <v>620</v>
      </c>
    </row>
    <row r="238" spans="17:33" ht="22" customHeight="1" x14ac:dyDescent="0.2">
      <c r="Q238" s="13"/>
      <c r="R238" s="14">
        <v>1</v>
      </c>
      <c r="S238" s="63" t="s">
        <v>455</v>
      </c>
      <c r="T238" s="64"/>
      <c r="U238" s="64"/>
      <c r="V238" s="64"/>
      <c r="W238" s="6" t="s">
        <v>656</v>
      </c>
      <c r="Y238" s="65" t="s">
        <v>623</v>
      </c>
      <c r="Z238" s="64"/>
      <c r="AA238" s="64"/>
      <c r="AB238" s="64"/>
      <c r="AC238" s="64"/>
      <c r="AD238" s="64"/>
      <c r="AE238" s="64"/>
      <c r="AF238" s="64"/>
      <c r="AG238" s="64"/>
    </row>
    <row r="239" spans="17:33" ht="22" customHeight="1" x14ac:dyDescent="0.2">
      <c r="Q239" s="15"/>
      <c r="R239" s="14">
        <v>2</v>
      </c>
      <c r="S239" s="63" t="s">
        <v>352</v>
      </c>
      <c r="T239" s="64"/>
      <c r="U239" s="64"/>
      <c r="V239" s="64"/>
      <c r="W239" s="6" t="s">
        <v>657</v>
      </c>
      <c r="Y239" s="63" t="s">
        <v>706</v>
      </c>
      <c r="Z239" s="64"/>
      <c r="AA239" s="64"/>
      <c r="AB239" s="64"/>
      <c r="AC239" s="64"/>
      <c r="AD239" s="64"/>
      <c r="AE239" s="64"/>
      <c r="AF239" s="64"/>
      <c r="AG239" s="64"/>
    </row>
    <row r="240" spans="17:33" ht="22" customHeight="1" x14ac:dyDescent="0.2">
      <c r="Q240" s="16"/>
      <c r="R240" s="14">
        <v>3</v>
      </c>
      <c r="S240" s="63" t="s">
        <v>450</v>
      </c>
      <c r="T240" s="64"/>
      <c r="U240" s="64"/>
      <c r="V240" s="64"/>
      <c r="W240" s="6" t="s">
        <v>659</v>
      </c>
      <c r="Y240" s="64"/>
      <c r="Z240" s="64"/>
      <c r="AA240" s="64"/>
      <c r="AB240" s="64"/>
      <c r="AC240" s="64"/>
      <c r="AD240" s="64"/>
      <c r="AE240" s="64"/>
      <c r="AF240" s="64"/>
      <c r="AG240" s="64"/>
    </row>
    <row r="241" spans="17:33" ht="22" customHeight="1" x14ac:dyDescent="0.2">
      <c r="Q241" s="17"/>
      <c r="R241" s="14">
        <v>4</v>
      </c>
      <c r="S241" s="63" t="s">
        <v>402</v>
      </c>
      <c r="T241" s="64"/>
      <c r="U241" s="64"/>
      <c r="V241" s="64"/>
      <c r="W241" s="6" t="s">
        <v>660</v>
      </c>
      <c r="Y241" s="64"/>
      <c r="Z241" s="64"/>
      <c r="AA241" s="64"/>
      <c r="AB241" s="64"/>
      <c r="AC241" s="64"/>
      <c r="AD241" s="64"/>
      <c r="AE241" s="64"/>
      <c r="AF241" s="64"/>
      <c r="AG241" s="64"/>
    </row>
    <row r="242" spans="17:33" ht="22" customHeight="1" x14ac:dyDescent="0.2">
      <c r="Q242" s="18"/>
      <c r="R242" s="14">
        <v>5</v>
      </c>
      <c r="S242" s="63" t="s">
        <v>558</v>
      </c>
      <c r="T242" s="64"/>
      <c r="U242" s="64"/>
      <c r="V242" s="64"/>
      <c r="W242" s="6" t="s">
        <v>661</v>
      </c>
      <c r="Y242" s="64"/>
      <c r="Z242" s="64"/>
      <c r="AA242" s="64"/>
      <c r="AB242" s="64"/>
      <c r="AC242" s="64"/>
      <c r="AD242" s="64"/>
      <c r="AE242" s="64"/>
      <c r="AF242" s="64"/>
      <c r="AG242" s="64"/>
    </row>
    <row r="243" spans="17:33" ht="22" customHeight="1" x14ac:dyDescent="0.2">
      <c r="Q243" s="19"/>
      <c r="R243" s="14">
        <v>6</v>
      </c>
      <c r="S243" s="63" t="s">
        <v>607</v>
      </c>
      <c r="T243" s="64"/>
      <c r="U243" s="64"/>
      <c r="V243" s="64"/>
      <c r="W243" s="6" t="s">
        <v>662</v>
      </c>
    </row>
    <row r="244" spans="17:33" ht="22" customHeight="1" x14ac:dyDescent="0.2">
      <c r="Q244" s="20"/>
      <c r="R244" s="14">
        <v>7</v>
      </c>
      <c r="S244" s="63" t="s">
        <v>561</v>
      </c>
      <c r="T244" s="64"/>
      <c r="U244" s="64"/>
      <c r="V244" s="64"/>
      <c r="W244" s="6" t="s">
        <v>663</v>
      </c>
      <c r="Y244" s="65" t="s">
        <v>625</v>
      </c>
      <c r="Z244" s="64"/>
      <c r="AA244" s="64"/>
      <c r="AB244" s="64"/>
      <c r="AC244" s="64"/>
      <c r="AD244" s="64"/>
      <c r="AE244" s="64"/>
      <c r="AF244" s="64"/>
      <c r="AG244" s="64"/>
    </row>
    <row r="245" spans="17:33" ht="22" customHeight="1" x14ac:dyDescent="0.2">
      <c r="Q245" s="21"/>
      <c r="R245" s="14">
        <v>8</v>
      </c>
      <c r="S245" s="63" t="s">
        <v>594</v>
      </c>
      <c r="T245" s="64"/>
      <c r="U245" s="64"/>
      <c r="V245" s="64"/>
      <c r="W245" s="6" t="s">
        <v>664</v>
      </c>
      <c r="Y245" s="63" t="s">
        <v>707</v>
      </c>
      <c r="Z245" s="64"/>
      <c r="AA245" s="64"/>
      <c r="AB245" s="64"/>
      <c r="AC245" s="64"/>
      <c r="AD245" s="64"/>
      <c r="AE245" s="64"/>
      <c r="AF245" s="64"/>
      <c r="AG245" s="64"/>
    </row>
    <row r="246" spans="17:33" ht="22" customHeight="1" x14ac:dyDescent="0.2">
      <c r="Q246" s="26"/>
      <c r="R246" s="14">
        <v>1</v>
      </c>
      <c r="S246" s="63" t="s">
        <v>708</v>
      </c>
      <c r="T246" s="64"/>
      <c r="U246" s="64"/>
      <c r="V246" s="64"/>
      <c r="W246" s="6" t="s">
        <v>622</v>
      </c>
      <c r="Y246" s="64"/>
      <c r="Z246" s="64"/>
      <c r="AA246" s="64"/>
      <c r="AB246" s="64"/>
      <c r="AC246" s="64"/>
      <c r="AD246" s="64"/>
      <c r="AE246" s="64"/>
      <c r="AF246" s="64"/>
      <c r="AG246" s="64"/>
    </row>
    <row r="247" spans="17:33" x14ac:dyDescent="0.2">
      <c r="Y247" s="64"/>
      <c r="Z247" s="64"/>
      <c r="AA247" s="64"/>
      <c r="AB247" s="64"/>
      <c r="AC247" s="64"/>
      <c r="AD247" s="64"/>
      <c r="AE247" s="64"/>
      <c r="AF247" s="64"/>
      <c r="AG247" s="64"/>
    </row>
    <row r="248" spans="17:33" x14ac:dyDescent="0.2">
      <c r="Y248" s="64"/>
      <c r="Z248" s="64"/>
      <c r="AA248" s="64"/>
      <c r="AB248" s="64"/>
      <c r="AC248" s="64"/>
      <c r="AD248" s="64"/>
      <c r="AE248" s="64"/>
      <c r="AF248" s="64"/>
      <c r="AG248" s="64"/>
    </row>
    <row r="250" spans="17:33" x14ac:dyDescent="0.2">
      <c r="Y250" s="65" t="s">
        <v>627</v>
      </c>
      <c r="Z250" s="64"/>
      <c r="AA250" s="64"/>
      <c r="AB250" s="64"/>
      <c r="AC250" s="64"/>
      <c r="AD250" s="64"/>
      <c r="AE250" s="64"/>
      <c r="AF250" s="64"/>
      <c r="AG250" s="64"/>
    </row>
    <row r="251" spans="17:33" x14ac:dyDescent="0.2">
      <c r="Y251" s="63" t="s">
        <v>709</v>
      </c>
      <c r="Z251" s="64"/>
      <c r="AA251" s="64"/>
      <c r="AB251" s="64"/>
      <c r="AC251" s="64"/>
      <c r="AD251" s="64"/>
      <c r="AE251" s="64"/>
      <c r="AF251" s="64"/>
      <c r="AG251" s="64"/>
    </row>
    <row r="252" spans="17:33" x14ac:dyDescent="0.2">
      <c r="Y252" s="64"/>
      <c r="Z252" s="64"/>
      <c r="AA252" s="64"/>
      <c r="AB252" s="64"/>
      <c r="AC252" s="64"/>
      <c r="AD252" s="64"/>
      <c r="AE252" s="64"/>
      <c r="AF252" s="64"/>
      <c r="AG252" s="64"/>
    </row>
    <row r="253" spans="17:33" x14ac:dyDescent="0.2">
      <c r="Y253" s="64"/>
      <c r="Z253" s="64"/>
      <c r="AA253" s="64"/>
      <c r="AB253" s="64"/>
      <c r="AC253" s="64"/>
      <c r="AD253" s="64"/>
      <c r="AE253" s="64"/>
      <c r="AF253" s="64"/>
      <c r="AG253" s="64"/>
    </row>
    <row r="254" spans="17:33" x14ac:dyDescent="0.2">
      <c r="Y254" s="64"/>
      <c r="Z254" s="64"/>
      <c r="AA254" s="64"/>
      <c r="AB254" s="64"/>
      <c r="AC254" s="64"/>
      <c r="AD254" s="64"/>
      <c r="AE254" s="64"/>
      <c r="AF254" s="64"/>
      <c r="AG254" s="64"/>
    </row>
    <row r="256" spans="17:33" x14ac:dyDescent="0.2">
      <c r="Y256" s="65" t="s">
        <v>629</v>
      </c>
      <c r="Z256" s="64"/>
      <c r="AA256" s="64"/>
      <c r="AB256" s="64"/>
      <c r="AC256" s="64"/>
      <c r="AD256" s="64"/>
      <c r="AE256" s="64"/>
      <c r="AF256" s="64"/>
      <c r="AG256" s="64"/>
    </row>
    <row r="257" spans="17:33" x14ac:dyDescent="0.2">
      <c r="Y257" s="63" t="s">
        <v>710</v>
      </c>
      <c r="Z257" s="64"/>
      <c r="AA257" s="64"/>
      <c r="AB257" s="64"/>
      <c r="AC257" s="64"/>
      <c r="AD257" s="64"/>
      <c r="AE257" s="64"/>
      <c r="AF257" s="64"/>
      <c r="AG257" s="64"/>
    </row>
    <row r="258" spans="17:33" x14ac:dyDescent="0.2">
      <c r="Y258" s="64"/>
      <c r="Z258" s="64"/>
      <c r="AA258" s="64"/>
      <c r="AB258" s="64"/>
      <c r="AC258" s="64"/>
      <c r="AD258" s="64"/>
      <c r="AE258" s="64"/>
      <c r="AF258" s="64"/>
      <c r="AG258" s="64"/>
    </row>
    <row r="259" spans="17:33" x14ac:dyDescent="0.2">
      <c r="Y259" s="64"/>
      <c r="Z259" s="64"/>
      <c r="AA259" s="64"/>
      <c r="AB259" s="64"/>
      <c r="AC259" s="64"/>
      <c r="AD259" s="64"/>
      <c r="AE259" s="64"/>
      <c r="AF259" s="64"/>
      <c r="AG259" s="64"/>
    </row>
    <row r="260" spans="17:33" x14ac:dyDescent="0.2">
      <c r="Y260" s="64"/>
      <c r="Z260" s="64"/>
      <c r="AA260" s="64"/>
      <c r="AB260" s="64"/>
      <c r="AC260" s="64"/>
      <c r="AD260" s="64"/>
      <c r="AE260" s="64"/>
      <c r="AF260" s="64"/>
      <c r="AG260" s="64"/>
    </row>
    <row r="272" spans="17:33" ht="16" customHeight="1" x14ac:dyDescent="0.2">
      <c r="Q272" s="66" t="s">
        <v>740</v>
      </c>
      <c r="R272" s="64"/>
      <c r="S272" s="64"/>
      <c r="T272" s="64"/>
      <c r="U272" s="64"/>
      <c r="V272" s="64"/>
      <c r="W272" s="64"/>
      <c r="Y272" s="66" t="s">
        <v>617</v>
      </c>
      <c r="Z272" s="64"/>
      <c r="AA272" s="64"/>
      <c r="AB272" s="64"/>
      <c r="AC272" s="64"/>
      <c r="AD272" s="64"/>
      <c r="AE272" s="64"/>
      <c r="AF272" s="64"/>
      <c r="AG272" s="64"/>
    </row>
    <row r="273" spans="17:33" x14ac:dyDescent="0.2">
      <c r="Q273" s="12"/>
      <c r="R273" s="12" t="s">
        <v>618</v>
      </c>
      <c r="S273" s="12" t="s">
        <v>619</v>
      </c>
      <c r="W273" s="12" t="s">
        <v>620</v>
      </c>
    </row>
    <row r="274" spans="17:33" ht="22" customHeight="1" x14ac:dyDescent="0.2">
      <c r="Q274" s="13"/>
      <c r="R274" s="14">
        <v>1</v>
      </c>
      <c r="S274" s="63" t="s">
        <v>169</v>
      </c>
      <c r="T274" s="64"/>
      <c r="U274" s="64"/>
      <c r="V274" s="64"/>
      <c r="W274" s="6" t="s">
        <v>833</v>
      </c>
      <c r="Y274" s="65" t="s">
        <v>623</v>
      </c>
      <c r="Z274" s="64"/>
      <c r="AA274" s="64"/>
      <c r="AB274" s="64"/>
      <c r="AC274" s="64"/>
      <c r="AD274" s="64"/>
      <c r="AE274" s="64"/>
      <c r="AF274" s="64"/>
      <c r="AG274" s="64"/>
    </row>
    <row r="275" spans="17:33" ht="22" customHeight="1" x14ac:dyDescent="0.2">
      <c r="Q275" s="15"/>
      <c r="R275" s="14">
        <v>2</v>
      </c>
      <c r="S275" s="63" t="s">
        <v>142</v>
      </c>
      <c r="T275" s="64"/>
      <c r="U275" s="64"/>
      <c r="V275" s="64"/>
      <c r="W275" s="6" t="s">
        <v>714</v>
      </c>
      <c r="Y275" s="63" t="s">
        <v>834</v>
      </c>
      <c r="Z275" s="64"/>
      <c r="AA275" s="64"/>
      <c r="AB275" s="64"/>
      <c r="AC275" s="64"/>
      <c r="AD275" s="64"/>
      <c r="AE275" s="64"/>
      <c r="AF275" s="64"/>
      <c r="AG275" s="64"/>
    </row>
    <row r="276" spans="17:33" ht="22" customHeight="1" x14ac:dyDescent="0.2">
      <c r="Q276" s="16"/>
      <c r="R276" s="14">
        <v>3</v>
      </c>
      <c r="S276" s="63" t="s">
        <v>320</v>
      </c>
      <c r="T276" s="64"/>
      <c r="U276" s="64"/>
      <c r="V276" s="64"/>
      <c r="W276" s="6" t="s">
        <v>835</v>
      </c>
      <c r="Y276" s="64"/>
      <c r="Z276" s="64"/>
      <c r="AA276" s="64"/>
      <c r="AB276" s="64"/>
      <c r="AC276" s="64"/>
      <c r="AD276" s="64"/>
      <c r="AE276" s="64"/>
      <c r="AF276" s="64"/>
      <c r="AG276" s="64"/>
    </row>
    <row r="277" spans="17:33" ht="22" customHeight="1" x14ac:dyDescent="0.2">
      <c r="Q277" s="17"/>
      <c r="R277" s="14">
        <v>4</v>
      </c>
      <c r="S277" s="63" t="s">
        <v>160</v>
      </c>
      <c r="T277" s="64"/>
      <c r="U277" s="64"/>
      <c r="V277" s="64"/>
      <c r="W277" s="6" t="s">
        <v>716</v>
      </c>
      <c r="Y277" s="64"/>
      <c r="Z277" s="64"/>
      <c r="AA277" s="64"/>
      <c r="AB277" s="64"/>
      <c r="AC277" s="64"/>
      <c r="AD277" s="64"/>
      <c r="AE277" s="64"/>
      <c r="AF277" s="64"/>
      <c r="AG277" s="64"/>
    </row>
    <row r="278" spans="17:33" ht="22" customHeight="1" x14ac:dyDescent="0.2">
      <c r="Q278" s="18"/>
      <c r="R278" s="14">
        <v>5</v>
      </c>
      <c r="S278" s="63" t="s">
        <v>130</v>
      </c>
      <c r="T278" s="64"/>
      <c r="U278" s="64"/>
      <c r="V278" s="64"/>
      <c r="W278" s="6" t="s">
        <v>717</v>
      </c>
      <c r="Y278" s="64"/>
      <c r="Z278" s="64"/>
      <c r="AA278" s="64"/>
      <c r="AB278" s="64"/>
      <c r="AC278" s="64"/>
      <c r="AD278" s="64"/>
      <c r="AE278" s="64"/>
      <c r="AF278" s="64"/>
      <c r="AG278" s="64"/>
    </row>
    <row r="279" spans="17:33" ht="22" customHeight="1" x14ac:dyDescent="0.2">
      <c r="Q279" s="19"/>
      <c r="R279" s="14">
        <v>6</v>
      </c>
      <c r="S279" s="63" t="s">
        <v>259</v>
      </c>
      <c r="T279" s="64"/>
      <c r="U279" s="64"/>
      <c r="V279" s="64"/>
      <c r="W279" s="6" t="s">
        <v>717</v>
      </c>
    </row>
    <row r="280" spans="17:33" ht="22" customHeight="1" x14ac:dyDescent="0.2">
      <c r="Q280" s="20"/>
      <c r="R280" s="14">
        <v>7</v>
      </c>
      <c r="S280" s="63" t="s">
        <v>281</v>
      </c>
      <c r="T280" s="64"/>
      <c r="U280" s="64"/>
      <c r="V280" s="64"/>
      <c r="W280" s="6" t="s">
        <v>717</v>
      </c>
      <c r="Y280" s="65" t="s">
        <v>625</v>
      </c>
      <c r="Z280" s="64"/>
      <c r="AA280" s="64"/>
      <c r="AB280" s="64"/>
      <c r="AC280" s="64"/>
      <c r="AD280" s="64"/>
      <c r="AE280" s="64"/>
      <c r="AF280" s="64"/>
      <c r="AG280" s="64"/>
    </row>
    <row r="281" spans="17:33" ht="22" customHeight="1" x14ac:dyDescent="0.2">
      <c r="Q281" s="21"/>
      <c r="R281" s="14">
        <v>8</v>
      </c>
      <c r="S281" s="63" t="s">
        <v>60</v>
      </c>
      <c r="T281" s="64"/>
      <c r="U281" s="64"/>
      <c r="V281" s="64"/>
      <c r="W281" s="6" t="s">
        <v>736</v>
      </c>
      <c r="Y281" s="63" t="s">
        <v>836</v>
      </c>
      <c r="Z281" s="64"/>
      <c r="AA281" s="64"/>
      <c r="AB281" s="64"/>
      <c r="AC281" s="64"/>
      <c r="AD281" s="64"/>
      <c r="AE281" s="64"/>
      <c r="AF281" s="64"/>
      <c r="AG281" s="64"/>
    </row>
    <row r="282" spans="17:33" ht="22" customHeight="1" x14ac:dyDescent="0.2">
      <c r="Q282" s="22"/>
      <c r="R282" s="14">
        <v>9</v>
      </c>
      <c r="S282" s="63" t="s">
        <v>84</v>
      </c>
      <c r="T282" s="64"/>
      <c r="U282" s="64"/>
      <c r="V282" s="64"/>
      <c r="W282" s="6" t="s">
        <v>736</v>
      </c>
      <c r="Y282" s="64"/>
      <c r="Z282" s="64"/>
      <c r="AA282" s="64"/>
      <c r="AB282" s="64"/>
      <c r="AC282" s="64"/>
      <c r="AD282" s="64"/>
      <c r="AE282" s="64"/>
      <c r="AF282" s="64"/>
      <c r="AG282" s="64"/>
    </row>
    <row r="283" spans="17:33" ht="22" customHeight="1" x14ac:dyDescent="0.2">
      <c r="Q283" s="23"/>
      <c r="R283" s="14">
        <v>10</v>
      </c>
      <c r="S283" s="63" t="s">
        <v>99</v>
      </c>
      <c r="T283" s="64"/>
      <c r="U283" s="64"/>
      <c r="V283" s="64"/>
      <c r="W283" s="6" t="s">
        <v>736</v>
      </c>
      <c r="Y283" s="64"/>
      <c r="Z283" s="64"/>
      <c r="AA283" s="64"/>
      <c r="AB283" s="64"/>
      <c r="AC283" s="64"/>
      <c r="AD283" s="64"/>
      <c r="AE283" s="64"/>
      <c r="AF283" s="64"/>
      <c r="AG283" s="64"/>
    </row>
    <row r="284" spans="17:33" ht="22" customHeight="1" x14ac:dyDescent="0.2">
      <c r="Q284" s="24"/>
      <c r="R284" s="14">
        <v>11</v>
      </c>
      <c r="S284" s="63" t="s">
        <v>292</v>
      </c>
      <c r="T284" s="64"/>
      <c r="U284" s="64"/>
      <c r="V284" s="64"/>
      <c r="W284" s="6" t="s">
        <v>735</v>
      </c>
      <c r="Y284" s="64"/>
      <c r="Z284" s="64"/>
      <c r="AA284" s="64"/>
      <c r="AB284" s="64"/>
      <c r="AC284" s="64"/>
      <c r="AD284" s="64"/>
      <c r="AE284" s="64"/>
      <c r="AF284" s="64"/>
      <c r="AG284" s="64"/>
    </row>
    <row r="285" spans="17:33" ht="22" customHeight="1" x14ac:dyDescent="0.2">
      <c r="Q285" s="25"/>
      <c r="R285" s="14">
        <v>12</v>
      </c>
      <c r="S285" s="63" t="s">
        <v>67</v>
      </c>
      <c r="T285" s="64"/>
      <c r="U285" s="64"/>
      <c r="V285" s="64"/>
      <c r="W285" s="6" t="s">
        <v>719</v>
      </c>
    </row>
    <row r="286" spans="17:33" ht="22" customHeight="1" x14ac:dyDescent="0.2">
      <c r="Q286" s="13"/>
      <c r="R286" s="14">
        <v>13</v>
      </c>
      <c r="S286" s="63" t="s">
        <v>204</v>
      </c>
      <c r="T286" s="64"/>
      <c r="U286" s="64"/>
      <c r="V286" s="64"/>
      <c r="W286" s="6" t="s">
        <v>719</v>
      </c>
      <c r="Y286" s="65" t="s">
        <v>627</v>
      </c>
      <c r="Z286" s="64"/>
      <c r="AA286" s="64"/>
      <c r="AB286" s="64"/>
      <c r="AC286" s="64"/>
      <c r="AD286" s="64"/>
      <c r="AE286" s="64"/>
      <c r="AF286" s="64"/>
      <c r="AG286" s="64"/>
    </row>
    <row r="287" spans="17:33" ht="22" customHeight="1" x14ac:dyDescent="0.2">
      <c r="Q287" s="15"/>
      <c r="R287" s="14">
        <v>14</v>
      </c>
      <c r="S287" s="63" t="s">
        <v>249</v>
      </c>
      <c r="T287" s="64"/>
      <c r="U287" s="64"/>
      <c r="V287" s="64"/>
      <c r="W287" s="6" t="s">
        <v>719</v>
      </c>
      <c r="Y287" s="63" t="s">
        <v>837</v>
      </c>
      <c r="Z287" s="64"/>
      <c r="AA287" s="64"/>
      <c r="AB287" s="64"/>
      <c r="AC287" s="64"/>
      <c r="AD287" s="64"/>
      <c r="AE287" s="64"/>
      <c r="AF287" s="64"/>
      <c r="AG287" s="64"/>
    </row>
    <row r="288" spans="17:33" ht="22" customHeight="1" x14ac:dyDescent="0.2">
      <c r="Q288" s="16"/>
      <c r="R288" s="14">
        <v>15</v>
      </c>
      <c r="S288" s="63" t="s">
        <v>271</v>
      </c>
      <c r="T288" s="64"/>
      <c r="U288" s="64"/>
      <c r="V288" s="64"/>
      <c r="W288" s="6" t="s">
        <v>719</v>
      </c>
      <c r="Y288" s="64"/>
      <c r="Z288" s="64"/>
      <c r="AA288" s="64"/>
      <c r="AB288" s="64"/>
      <c r="AC288" s="64"/>
      <c r="AD288" s="64"/>
      <c r="AE288" s="64"/>
      <c r="AF288" s="64"/>
      <c r="AG288" s="64"/>
    </row>
    <row r="289" spans="17:33" ht="22" customHeight="1" x14ac:dyDescent="0.2">
      <c r="Q289" s="17"/>
      <c r="R289" s="14">
        <v>16</v>
      </c>
      <c r="S289" s="63" t="s">
        <v>28</v>
      </c>
      <c r="T289" s="64"/>
      <c r="U289" s="64"/>
      <c r="V289" s="64"/>
      <c r="W289" s="6" t="s">
        <v>720</v>
      </c>
      <c r="Y289" s="64"/>
      <c r="Z289" s="64"/>
      <c r="AA289" s="64"/>
      <c r="AB289" s="64"/>
      <c r="AC289" s="64"/>
      <c r="AD289" s="64"/>
      <c r="AE289" s="64"/>
      <c r="AF289" s="64"/>
      <c r="AG289" s="64"/>
    </row>
    <row r="290" spans="17:33" ht="22" customHeight="1" x14ac:dyDescent="0.2">
      <c r="Q290" s="18"/>
      <c r="R290" s="14">
        <v>17</v>
      </c>
      <c r="S290" s="63" t="s">
        <v>34</v>
      </c>
      <c r="T290" s="64"/>
      <c r="U290" s="64"/>
      <c r="V290" s="64"/>
      <c r="W290" s="6" t="s">
        <v>720</v>
      </c>
      <c r="Y290" s="64"/>
      <c r="Z290" s="64"/>
      <c r="AA290" s="64"/>
      <c r="AB290" s="64"/>
      <c r="AC290" s="64"/>
      <c r="AD290" s="64"/>
      <c r="AE290" s="64"/>
      <c r="AF290" s="64"/>
      <c r="AG290" s="64"/>
    </row>
    <row r="291" spans="17:33" ht="22" customHeight="1" x14ac:dyDescent="0.2">
      <c r="Q291" s="19"/>
      <c r="R291" s="14">
        <v>18</v>
      </c>
      <c r="S291" s="63" t="s">
        <v>70</v>
      </c>
      <c r="T291" s="64"/>
      <c r="U291" s="64"/>
      <c r="V291" s="64"/>
      <c r="W291" s="6" t="s">
        <v>720</v>
      </c>
    </row>
    <row r="292" spans="17:33" ht="22" customHeight="1" x14ac:dyDescent="0.2">
      <c r="Q292" s="20"/>
      <c r="R292" s="14">
        <v>19</v>
      </c>
      <c r="S292" s="63" t="s">
        <v>76</v>
      </c>
      <c r="T292" s="64"/>
      <c r="U292" s="64"/>
      <c r="V292" s="64"/>
      <c r="W292" s="6" t="s">
        <v>720</v>
      </c>
    </row>
    <row r="293" spans="17:33" ht="22" customHeight="1" x14ac:dyDescent="0.2">
      <c r="Q293" s="21"/>
      <c r="R293" s="14">
        <v>20</v>
      </c>
      <c r="S293" s="63" t="s">
        <v>91</v>
      </c>
      <c r="T293" s="64"/>
      <c r="U293" s="64"/>
      <c r="V293" s="64"/>
      <c r="W293" s="6" t="s">
        <v>720</v>
      </c>
    </row>
    <row r="294" spans="17:33" ht="22" customHeight="1" x14ac:dyDescent="0.2">
      <c r="Q294" s="22"/>
      <c r="R294" s="14">
        <v>21</v>
      </c>
      <c r="S294" s="63" t="s">
        <v>123</v>
      </c>
      <c r="T294" s="64"/>
      <c r="U294" s="64"/>
      <c r="V294" s="64"/>
      <c r="W294" s="6" t="s">
        <v>720</v>
      </c>
    </row>
    <row r="295" spans="17:33" ht="22" customHeight="1" x14ac:dyDescent="0.2">
      <c r="Q295" s="23"/>
      <c r="R295" s="14">
        <v>22</v>
      </c>
      <c r="S295" s="63" t="s">
        <v>126</v>
      </c>
      <c r="T295" s="64"/>
      <c r="U295" s="64"/>
      <c r="V295" s="64"/>
      <c r="W295" s="6" t="s">
        <v>720</v>
      </c>
    </row>
    <row r="296" spans="17:33" ht="22" customHeight="1" x14ac:dyDescent="0.2">
      <c r="Q296" s="24"/>
      <c r="R296" s="14">
        <v>23</v>
      </c>
      <c r="S296" s="63" t="s">
        <v>165</v>
      </c>
      <c r="T296" s="64"/>
      <c r="U296" s="64"/>
      <c r="V296" s="64"/>
      <c r="W296" s="6" t="s">
        <v>720</v>
      </c>
    </row>
    <row r="297" spans="17:33" ht="22" customHeight="1" x14ac:dyDescent="0.2">
      <c r="Q297" s="25"/>
      <c r="R297" s="14">
        <v>24</v>
      </c>
      <c r="S297" s="63" t="s">
        <v>268</v>
      </c>
      <c r="T297" s="64"/>
      <c r="U297" s="64"/>
      <c r="V297" s="64"/>
      <c r="W297" s="6" t="s">
        <v>720</v>
      </c>
    </row>
    <row r="298" spans="17:33" ht="22" customHeight="1" x14ac:dyDescent="0.2">
      <c r="Q298" s="13"/>
      <c r="R298" s="14">
        <v>25</v>
      </c>
      <c r="S298" s="63" t="s">
        <v>276</v>
      </c>
      <c r="T298" s="64"/>
      <c r="U298" s="64"/>
      <c r="V298" s="64"/>
      <c r="W298" s="6" t="s">
        <v>720</v>
      </c>
    </row>
    <row r="299" spans="17:33" ht="22" customHeight="1" x14ac:dyDescent="0.2">
      <c r="Q299" s="15"/>
      <c r="R299" s="14">
        <v>26</v>
      </c>
      <c r="S299" s="63" t="s">
        <v>313</v>
      </c>
      <c r="T299" s="64"/>
      <c r="U299" s="64"/>
      <c r="V299" s="64"/>
      <c r="W299" s="6" t="s">
        <v>720</v>
      </c>
    </row>
    <row r="300" spans="17:33" ht="22" customHeight="1" x14ac:dyDescent="0.2">
      <c r="Q300" s="16"/>
      <c r="R300" s="14">
        <v>27</v>
      </c>
      <c r="S300" s="63" t="s">
        <v>32</v>
      </c>
      <c r="T300" s="64"/>
      <c r="U300" s="64"/>
      <c r="V300" s="64"/>
      <c r="W300" s="6" t="s">
        <v>722</v>
      </c>
    </row>
    <row r="301" spans="17:33" ht="22" customHeight="1" x14ac:dyDescent="0.2">
      <c r="Q301" s="17"/>
      <c r="R301" s="14">
        <v>28</v>
      </c>
      <c r="S301" s="63" t="s">
        <v>43</v>
      </c>
      <c r="T301" s="64"/>
      <c r="U301" s="64"/>
      <c r="V301" s="64"/>
      <c r="W301" s="6" t="s">
        <v>722</v>
      </c>
    </row>
    <row r="302" spans="17:33" ht="22" customHeight="1" x14ac:dyDescent="0.2">
      <c r="Q302" s="18"/>
      <c r="R302" s="14">
        <v>29</v>
      </c>
      <c r="S302" s="63" t="s">
        <v>51</v>
      </c>
      <c r="T302" s="64"/>
      <c r="U302" s="64"/>
      <c r="V302" s="64"/>
      <c r="W302" s="6" t="s">
        <v>722</v>
      </c>
    </row>
    <row r="303" spans="17:33" ht="22" customHeight="1" x14ac:dyDescent="0.2">
      <c r="Q303" s="19"/>
      <c r="R303" s="14">
        <v>30</v>
      </c>
      <c r="S303" s="63" t="s">
        <v>54</v>
      </c>
      <c r="T303" s="64"/>
      <c r="U303" s="64"/>
      <c r="V303" s="64"/>
      <c r="W303" s="6" t="s">
        <v>722</v>
      </c>
    </row>
    <row r="304" spans="17:33" ht="22" customHeight="1" x14ac:dyDescent="0.2">
      <c r="Q304" s="20"/>
      <c r="R304" s="14">
        <v>31</v>
      </c>
      <c r="S304" s="63" t="s">
        <v>73</v>
      </c>
      <c r="T304" s="64"/>
      <c r="U304" s="64"/>
      <c r="V304" s="64"/>
      <c r="W304" s="6" t="s">
        <v>722</v>
      </c>
    </row>
    <row r="305" spans="17:23" ht="22" customHeight="1" x14ac:dyDescent="0.2">
      <c r="Q305" s="21"/>
      <c r="R305" s="14">
        <v>32</v>
      </c>
      <c r="S305" s="63" t="s">
        <v>80</v>
      </c>
      <c r="T305" s="64"/>
      <c r="U305" s="64"/>
      <c r="V305" s="64"/>
      <c r="W305" s="6" t="s">
        <v>722</v>
      </c>
    </row>
    <row r="306" spans="17:23" ht="22" customHeight="1" x14ac:dyDescent="0.2">
      <c r="Q306" s="22"/>
      <c r="R306" s="14">
        <v>33</v>
      </c>
      <c r="S306" s="63" t="s">
        <v>95</v>
      </c>
      <c r="T306" s="64"/>
      <c r="U306" s="64"/>
      <c r="V306" s="64"/>
      <c r="W306" s="6" t="s">
        <v>722</v>
      </c>
    </row>
    <row r="307" spans="17:23" ht="22" customHeight="1" x14ac:dyDescent="0.2">
      <c r="Q307" s="23"/>
      <c r="R307" s="14">
        <v>34</v>
      </c>
      <c r="S307" s="63" t="s">
        <v>103</v>
      </c>
      <c r="T307" s="64"/>
      <c r="U307" s="64"/>
      <c r="V307" s="64"/>
      <c r="W307" s="6" t="s">
        <v>722</v>
      </c>
    </row>
    <row r="308" spans="17:23" ht="22" customHeight="1" x14ac:dyDescent="0.2">
      <c r="Q308" s="24"/>
      <c r="R308" s="14">
        <v>35</v>
      </c>
      <c r="S308" s="63" t="s">
        <v>113</v>
      </c>
      <c r="T308" s="64"/>
      <c r="U308" s="64"/>
      <c r="V308" s="64"/>
      <c r="W308" s="6" t="s">
        <v>722</v>
      </c>
    </row>
    <row r="309" spans="17:23" ht="22" customHeight="1" x14ac:dyDescent="0.2">
      <c r="Q309" s="25"/>
      <c r="R309" s="14">
        <v>36</v>
      </c>
      <c r="S309" s="63" t="s">
        <v>116</v>
      </c>
      <c r="T309" s="64"/>
      <c r="U309" s="64"/>
      <c r="V309" s="64"/>
      <c r="W309" s="6" t="s">
        <v>722</v>
      </c>
    </row>
    <row r="310" spans="17:23" ht="22" customHeight="1" x14ac:dyDescent="0.2">
      <c r="Q310" s="13"/>
      <c r="R310" s="14">
        <v>37</v>
      </c>
      <c r="S310" s="63" t="s">
        <v>119</v>
      </c>
      <c r="T310" s="64"/>
      <c r="U310" s="64"/>
      <c r="V310" s="64"/>
      <c r="W310" s="6" t="s">
        <v>722</v>
      </c>
    </row>
    <row r="311" spans="17:23" ht="22" customHeight="1" x14ac:dyDescent="0.2">
      <c r="Q311" s="15"/>
      <c r="R311" s="14">
        <v>38</v>
      </c>
      <c r="S311" s="63" t="s">
        <v>140</v>
      </c>
      <c r="T311" s="64"/>
      <c r="U311" s="64"/>
      <c r="V311" s="64"/>
      <c r="W311" s="6" t="s">
        <v>722</v>
      </c>
    </row>
    <row r="312" spans="17:23" ht="22" customHeight="1" x14ac:dyDescent="0.2">
      <c r="Q312" s="16"/>
      <c r="R312" s="14">
        <v>39</v>
      </c>
      <c r="S312" s="63" t="s">
        <v>195</v>
      </c>
      <c r="T312" s="64"/>
      <c r="U312" s="64"/>
      <c r="V312" s="64"/>
      <c r="W312" s="6" t="s">
        <v>722</v>
      </c>
    </row>
    <row r="313" spans="17:23" ht="22" customHeight="1" x14ac:dyDescent="0.2">
      <c r="Q313" s="17"/>
      <c r="R313" s="14">
        <v>40</v>
      </c>
      <c r="S313" s="63" t="s">
        <v>199</v>
      </c>
      <c r="T313" s="64"/>
      <c r="U313" s="64"/>
      <c r="V313" s="64"/>
      <c r="W313" s="6" t="s">
        <v>722</v>
      </c>
    </row>
    <row r="314" spans="17:23" ht="22" customHeight="1" x14ac:dyDescent="0.2">
      <c r="Q314" s="18"/>
      <c r="R314" s="14">
        <v>41</v>
      </c>
      <c r="S314" s="63" t="s">
        <v>210</v>
      </c>
      <c r="T314" s="64"/>
      <c r="U314" s="64"/>
      <c r="V314" s="64"/>
      <c r="W314" s="6" t="s">
        <v>722</v>
      </c>
    </row>
    <row r="315" spans="17:23" ht="22" customHeight="1" x14ac:dyDescent="0.2">
      <c r="Q315" s="19"/>
      <c r="R315" s="14">
        <v>42</v>
      </c>
      <c r="S315" s="63" t="s">
        <v>212</v>
      </c>
      <c r="T315" s="64"/>
      <c r="U315" s="64"/>
      <c r="V315" s="64"/>
      <c r="W315" s="6" t="s">
        <v>722</v>
      </c>
    </row>
    <row r="316" spans="17:23" ht="22" customHeight="1" x14ac:dyDescent="0.2">
      <c r="Q316" s="20"/>
      <c r="R316" s="14">
        <v>43</v>
      </c>
      <c r="S316" s="63" t="s">
        <v>214</v>
      </c>
      <c r="T316" s="64"/>
      <c r="U316" s="64"/>
      <c r="V316" s="64"/>
      <c r="W316" s="6" t="s">
        <v>722</v>
      </c>
    </row>
    <row r="317" spans="17:23" ht="22" customHeight="1" x14ac:dyDescent="0.2">
      <c r="Q317" s="21"/>
      <c r="R317" s="14">
        <v>44</v>
      </c>
      <c r="S317" s="63" t="s">
        <v>217</v>
      </c>
      <c r="T317" s="64"/>
      <c r="U317" s="64"/>
      <c r="V317" s="64"/>
      <c r="W317" s="6" t="s">
        <v>722</v>
      </c>
    </row>
    <row r="318" spans="17:23" ht="22" customHeight="1" x14ac:dyDescent="0.2">
      <c r="Q318" s="22"/>
      <c r="R318" s="14">
        <v>45</v>
      </c>
      <c r="S318" s="63" t="s">
        <v>221</v>
      </c>
      <c r="T318" s="64"/>
      <c r="U318" s="64"/>
      <c r="V318" s="64"/>
      <c r="W318" s="6" t="s">
        <v>722</v>
      </c>
    </row>
    <row r="319" spans="17:23" ht="22" customHeight="1" x14ac:dyDescent="0.2">
      <c r="Q319" s="23"/>
      <c r="R319" s="14">
        <v>46</v>
      </c>
      <c r="S319" s="63" t="s">
        <v>224</v>
      </c>
      <c r="T319" s="64"/>
      <c r="U319" s="64"/>
      <c r="V319" s="64"/>
      <c r="W319" s="6" t="s">
        <v>722</v>
      </c>
    </row>
    <row r="320" spans="17:23" ht="22" customHeight="1" x14ac:dyDescent="0.2">
      <c r="Q320" s="24"/>
      <c r="R320" s="14">
        <v>47</v>
      </c>
      <c r="S320" s="63" t="s">
        <v>237</v>
      </c>
      <c r="T320" s="64"/>
      <c r="U320" s="64"/>
      <c r="V320" s="64"/>
      <c r="W320" s="6" t="s">
        <v>722</v>
      </c>
    </row>
    <row r="321" spans="17:23" ht="22" customHeight="1" x14ac:dyDescent="0.2">
      <c r="Q321" s="25"/>
      <c r="R321" s="14">
        <v>48</v>
      </c>
      <c r="S321" s="63" t="s">
        <v>240</v>
      </c>
      <c r="T321" s="64"/>
      <c r="U321" s="64"/>
      <c r="V321" s="64"/>
      <c r="W321" s="6" t="s">
        <v>722</v>
      </c>
    </row>
    <row r="322" spans="17:23" ht="22" customHeight="1" x14ac:dyDescent="0.2">
      <c r="Q322" s="13"/>
      <c r="R322" s="14">
        <v>49</v>
      </c>
      <c r="S322" s="63" t="s">
        <v>242</v>
      </c>
      <c r="T322" s="64"/>
      <c r="U322" s="64"/>
      <c r="V322" s="64"/>
      <c r="W322" s="6" t="s">
        <v>722</v>
      </c>
    </row>
    <row r="323" spans="17:23" ht="22" customHeight="1" x14ac:dyDescent="0.2">
      <c r="Q323" s="15"/>
      <c r="R323" s="14">
        <v>50</v>
      </c>
      <c r="S323" s="63" t="s">
        <v>252</v>
      </c>
      <c r="T323" s="64"/>
      <c r="U323" s="64"/>
      <c r="V323" s="64"/>
      <c r="W323" s="6" t="s">
        <v>722</v>
      </c>
    </row>
    <row r="324" spans="17:23" ht="22" customHeight="1" x14ac:dyDescent="0.2">
      <c r="Q324" s="16"/>
      <c r="R324" s="14">
        <v>51</v>
      </c>
      <c r="S324" s="63" t="s">
        <v>289</v>
      </c>
      <c r="T324" s="64"/>
      <c r="U324" s="64"/>
      <c r="V324" s="64"/>
      <c r="W324" s="6" t="s">
        <v>722</v>
      </c>
    </row>
    <row r="325" spans="17:23" ht="22" customHeight="1" x14ac:dyDescent="0.2">
      <c r="Q325" s="17"/>
      <c r="R325" s="14">
        <v>52</v>
      </c>
      <c r="S325" s="63" t="s">
        <v>300</v>
      </c>
      <c r="T325" s="64"/>
      <c r="U325" s="64"/>
      <c r="V325" s="64"/>
      <c r="W325" s="6" t="s">
        <v>722</v>
      </c>
    </row>
    <row r="326" spans="17:23" ht="22" customHeight="1" x14ac:dyDescent="0.2">
      <c r="Q326" s="18"/>
      <c r="R326" s="14">
        <v>53</v>
      </c>
      <c r="S326" s="63" t="s">
        <v>302</v>
      </c>
      <c r="T326" s="64"/>
      <c r="U326" s="64"/>
      <c r="V326" s="64"/>
      <c r="W326" s="6" t="s">
        <v>722</v>
      </c>
    </row>
    <row r="327" spans="17:23" ht="22" customHeight="1" x14ac:dyDescent="0.2">
      <c r="Q327" s="19"/>
      <c r="R327" s="14">
        <v>54</v>
      </c>
      <c r="S327" s="63" t="s">
        <v>305</v>
      </c>
      <c r="T327" s="64"/>
      <c r="U327" s="64"/>
      <c r="V327" s="64"/>
      <c r="W327" s="6" t="s">
        <v>722</v>
      </c>
    </row>
    <row r="328" spans="17:23" ht="22" customHeight="1" x14ac:dyDescent="0.2">
      <c r="Q328" s="20"/>
      <c r="R328" s="14">
        <v>55</v>
      </c>
      <c r="S328" s="63" t="s">
        <v>310</v>
      </c>
      <c r="T328" s="64"/>
      <c r="U328" s="64"/>
      <c r="V328" s="64"/>
      <c r="W328" s="6" t="s">
        <v>722</v>
      </c>
    </row>
  </sheetData>
  <mergeCells count="260">
    <mergeCell ref="S289:V289"/>
    <mergeCell ref="S304:V304"/>
    <mergeCell ref="Y119:AG122"/>
    <mergeCell ref="Y202:AG202"/>
    <mergeCell ref="Y58:AG58"/>
    <mergeCell ref="S68:V68"/>
    <mergeCell ref="S152:V152"/>
    <mergeCell ref="S196:V196"/>
    <mergeCell ref="S239:V239"/>
    <mergeCell ref="S279:V279"/>
    <mergeCell ref="Y287:AG290"/>
    <mergeCell ref="S288:V288"/>
    <mergeCell ref="S171:V171"/>
    <mergeCell ref="S84:V84"/>
    <mergeCell ref="S324:V324"/>
    <mergeCell ref="Y23:AG26"/>
    <mergeCell ref="S106:V106"/>
    <mergeCell ref="Y107:AG110"/>
    <mergeCell ref="Y124:AG124"/>
    <mergeCell ref="S277:V277"/>
    <mergeCell ref="Y46:AG46"/>
    <mergeCell ref="S187:V187"/>
    <mergeCell ref="Y28:AG28"/>
    <mergeCell ref="S56:V56"/>
    <mergeCell ref="Y221:AG224"/>
    <mergeCell ref="S90:V90"/>
    <mergeCell ref="S174:V174"/>
    <mergeCell ref="S156:V156"/>
    <mergeCell ref="S188:V188"/>
    <mergeCell ref="S301:V301"/>
    <mergeCell ref="Y143:AG146"/>
    <mergeCell ref="S316:V316"/>
    <mergeCell ref="S189:V189"/>
    <mergeCell ref="Y104:AG104"/>
    <mergeCell ref="S238:V238"/>
    <mergeCell ref="Y238:AG238"/>
    <mergeCell ref="Y29:AG32"/>
    <mergeCell ref="S244:V244"/>
    <mergeCell ref="S328:V328"/>
    <mergeCell ref="S166:V166"/>
    <mergeCell ref="S67:V67"/>
    <mergeCell ref="Y161:AG164"/>
    <mergeCell ref="S303:V303"/>
    <mergeCell ref="S185:V185"/>
    <mergeCell ref="S318:V318"/>
    <mergeCell ref="S312:V312"/>
    <mergeCell ref="S290:V290"/>
    <mergeCell ref="S326:V326"/>
    <mergeCell ref="S208:V208"/>
    <mergeCell ref="S186:V186"/>
    <mergeCell ref="S299:V299"/>
    <mergeCell ref="Y106:AG106"/>
    <mergeCell ref="Y281:AG284"/>
    <mergeCell ref="S69:V69"/>
    <mergeCell ref="S78:V78"/>
    <mergeCell ref="Y203:AG206"/>
    <mergeCell ref="Y220:AG220"/>
    <mergeCell ref="S205:V205"/>
    <mergeCell ref="S314:V314"/>
    <mergeCell ref="Y148:AG148"/>
    <mergeCell ref="S298:V298"/>
    <mergeCell ref="S142:V142"/>
    <mergeCell ref="S327:V327"/>
    <mergeCell ref="S143:V143"/>
    <mergeCell ref="S100:V100"/>
    <mergeCell ref="Y53:AG56"/>
    <mergeCell ref="Y47:AG50"/>
    <mergeCell ref="S155:V155"/>
    <mergeCell ref="S93:V93"/>
    <mergeCell ref="Y272:AG272"/>
    <mergeCell ref="S77:V77"/>
    <mergeCell ref="S52:V52"/>
    <mergeCell ref="S170:V170"/>
    <mergeCell ref="S86:V86"/>
    <mergeCell ref="S179:V179"/>
    <mergeCell ref="S53:V53"/>
    <mergeCell ref="S313:V313"/>
    <mergeCell ref="S80:V80"/>
    <mergeCell ref="S285:V285"/>
    <mergeCell ref="S172:V172"/>
    <mergeCell ref="S55:V55"/>
    <mergeCell ref="S64:V64"/>
    <mergeCell ref="S148:V148"/>
    <mergeCell ref="S162:V162"/>
    <mergeCell ref="S275:V275"/>
    <mergeCell ref="S54:V54"/>
    <mergeCell ref="S308:V308"/>
    <mergeCell ref="S195:V195"/>
    <mergeCell ref="Y149:AG152"/>
    <mergeCell ref="S89:V89"/>
    <mergeCell ref="S65:V65"/>
    <mergeCell ref="S74:V74"/>
    <mergeCell ref="S157:V157"/>
    <mergeCell ref="S310:V310"/>
    <mergeCell ref="S284:V284"/>
    <mergeCell ref="Y245:AG248"/>
    <mergeCell ref="S294:V294"/>
    <mergeCell ref="S286:V286"/>
    <mergeCell ref="S168:V168"/>
    <mergeCell ref="S113:V113"/>
    <mergeCell ref="Y125:AG128"/>
    <mergeCell ref="S91:V91"/>
    <mergeCell ref="S184:V184"/>
    <mergeCell ref="S276:V276"/>
    <mergeCell ref="Y208:AG208"/>
    <mergeCell ref="S88:V88"/>
    <mergeCell ref="S300:V300"/>
    <mergeCell ref="S182:V182"/>
    <mergeCell ref="S82:V82"/>
    <mergeCell ref="S287:V287"/>
    <mergeCell ref="Y286:AG286"/>
    <mergeCell ref="S211:V211"/>
    <mergeCell ref="S245:V245"/>
    <mergeCell ref="S49:V49"/>
    <mergeCell ref="Y236:AG236"/>
    <mergeCell ref="S97:V97"/>
    <mergeCell ref="S10:V10"/>
    <mergeCell ref="Y118:AG118"/>
    <mergeCell ref="Y155:AG158"/>
    <mergeCell ref="Y22:AG22"/>
    <mergeCell ref="S50:V50"/>
    <mergeCell ref="S51:V51"/>
    <mergeCell ref="S60:V60"/>
    <mergeCell ref="Q44:W44"/>
    <mergeCell ref="Y44:AG44"/>
    <mergeCell ref="S63:V63"/>
    <mergeCell ref="S240:V240"/>
    <mergeCell ref="Y200:AG200"/>
    <mergeCell ref="Y257:AG260"/>
    <mergeCell ref="S66:V66"/>
    <mergeCell ref="Y280:AG280"/>
    <mergeCell ref="S190:V190"/>
    <mergeCell ref="Y274:AG274"/>
    <mergeCell ref="Y8:AG8"/>
    <mergeCell ref="Y244:AG244"/>
    <mergeCell ref="S111:V111"/>
    <mergeCell ref="S194:V194"/>
    <mergeCell ref="S209:V209"/>
    <mergeCell ref="S203:V203"/>
    <mergeCell ref="S181:V181"/>
    <mergeCell ref="S274:V274"/>
    <mergeCell ref="S283:V283"/>
    <mergeCell ref="Y113:AG116"/>
    <mergeCell ref="S160:V160"/>
    <mergeCell ref="S175:V175"/>
    <mergeCell ref="S87:V87"/>
    <mergeCell ref="Q8:W8"/>
    <mergeCell ref="S325:V325"/>
    <mergeCell ref="S154:V154"/>
    <mergeCell ref="S92:V92"/>
    <mergeCell ref="S206:V206"/>
    <mergeCell ref="S163:V163"/>
    <mergeCell ref="S319:V319"/>
    <mergeCell ref="S309:V309"/>
    <mergeCell ref="S76:V76"/>
    <mergeCell ref="S85:V85"/>
    <mergeCell ref="S94:V94"/>
    <mergeCell ref="S183:V183"/>
    <mergeCell ref="S296:V296"/>
    <mergeCell ref="Q104:W104"/>
    <mergeCell ref="S246:V246"/>
    <mergeCell ref="S311:V311"/>
    <mergeCell ref="S109:V109"/>
    <mergeCell ref="Q140:W140"/>
    <mergeCell ref="S320:V320"/>
    <mergeCell ref="S149:V149"/>
    <mergeCell ref="S167:V167"/>
    <mergeCell ref="S280:V280"/>
    <mergeCell ref="S110:V110"/>
    <mergeCell ref="S295:V295"/>
    <mergeCell ref="S169:V169"/>
    <mergeCell ref="S293:V293"/>
    <mergeCell ref="Y59:AG62"/>
    <mergeCell ref="S112:V112"/>
    <mergeCell ref="Q236:W236"/>
    <mergeCell ref="Y142:AG142"/>
    <mergeCell ref="S317:V317"/>
    <mergeCell ref="S204:V204"/>
    <mergeCell ref="S146:V146"/>
    <mergeCell ref="S99:V99"/>
    <mergeCell ref="S151:V151"/>
    <mergeCell ref="Y239:AG242"/>
    <mergeCell ref="S83:V83"/>
    <mergeCell ref="Y209:AG212"/>
    <mergeCell ref="S75:V75"/>
    <mergeCell ref="Y215:AG218"/>
    <mergeCell ref="S59:V59"/>
    <mergeCell ref="Y154:AG154"/>
    <mergeCell ref="S282:V282"/>
    <mergeCell ref="S297:V297"/>
    <mergeCell ref="S291:V291"/>
    <mergeCell ref="S165:V165"/>
    <mergeCell ref="S180:V180"/>
    <mergeCell ref="S61:V61"/>
    <mergeCell ref="S70:V70"/>
    <mergeCell ref="S323:V323"/>
    <mergeCell ref="S164:V164"/>
    <mergeCell ref="S292:V292"/>
    <mergeCell ref="S161:V161"/>
    <mergeCell ref="S173:V173"/>
    <mergeCell ref="S62:V62"/>
    <mergeCell ref="S96:V96"/>
    <mergeCell ref="A1:AG2"/>
    <mergeCell ref="S71:V71"/>
    <mergeCell ref="S241:V241"/>
    <mergeCell ref="S145:V145"/>
    <mergeCell ref="S58:V58"/>
    <mergeCell ref="S176:V176"/>
    <mergeCell ref="Y160:AG160"/>
    <mergeCell ref="S307:V307"/>
    <mergeCell ref="Q272:W272"/>
    <mergeCell ref="Y251:AG254"/>
    <mergeCell ref="S322:V322"/>
    <mergeCell ref="S98:V98"/>
    <mergeCell ref="S73:V73"/>
    <mergeCell ref="S191:V191"/>
    <mergeCell ref="Q200:W200"/>
    <mergeCell ref="S107:V107"/>
    <mergeCell ref="S243:V243"/>
    <mergeCell ref="S306:V306"/>
    <mergeCell ref="S321:V321"/>
    <mergeCell ref="S193:V193"/>
    <mergeCell ref="S150:V150"/>
    <mergeCell ref="Y52:AG52"/>
    <mergeCell ref="S144:V144"/>
    <mergeCell ref="S159:V159"/>
    <mergeCell ref="S202:V202"/>
    <mergeCell ref="S153:V153"/>
    <mergeCell ref="S242:V242"/>
    <mergeCell ref="S302:V302"/>
    <mergeCell ref="S315:V315"/>
    <mergeCell ref="Y140:AG140"/>
    <mergeCell ref="S72:V72"/>
    <mergeCell ref="S177:V177"/>
    <mergeCell ref="S192:V192"/>
    <mergeCell ref="Y214:AG214"/>
    <mergeCell ref="S81:V81"/>
    <mergeCell ref="S305:V305"/>
    <mergeCell ref="S278:V278"/>
    <mergeCell ref="Y275:AG278"/>
    <mergeCell ref="S57:V57"/>
    <mergeCell ref="Y256:AG256"/>
    <mergeCell ref="Y112:AG112"/>
    <mergeCell ref="S207:V207"/>
    <mergeCell ref="S158:V158"/>
    <mergeCell ref="S210:V210"/>
    <mergeCell ref="S281:V281"/>
    <mergeCell ref="Y10:AG10"/>
    <mergeCell ref="S108:V108"/>
    <mergeCell ref="Y250:AG250"/>
    <mergeCell ref="S95:V95"/>
    <mergeCell ref="S147:V147"/>
    <mergeCell ref="S178:V178"/>
    <mergeCell ref="Y16:AG16"/>
    <mergeCell ref="S79:V79"/>
    <mergeCell ref="Y17:AG20"/>
    <mergeCell ref="Y11:AG14"/>
    <mergeCell ref="S47:V47"/>
    <mergeCell ref="S46:V46"/>
    <mergeCell ref="S48:V4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57"/>
  <sheetViews>
    <sheetView workbookViewId="0"/>
  </sheetViews>
  <sheetFormatPr baseColWidth="10" defaultColWidth="8.83203125" defaultRowHeight="15" x14ac:dyDescent="0.2"/>
  <sheetData>
    <row r="1" spans="1:33" x14ac:dyDescent="0.2">
      <c r="A1" s="8" t="s">
        <v>723</v>
      </c>
      <c r="E1" s="8" t="s">
        <v>838</v>
      </c>
      <c r="I1" s="8" t="s">
        <v>725</v>
      </c>
      <c r="M1" s="8" t="s">
        <v>839</v>
      </c>
      <c r="Q1" s="8" t="s">
        <v>727</v>
      </c>
      <c r="U1" s="8" t="s">
        <v>840</v>
      </c>
      <c r="Y1" s="8" t="s">
        <v>729</v>
      </c>
    </row>
    <row r="2" spans="1:33" x14ac:dyDescent="0.2">
      <c r="A2" s="8" t="s">
        <v>730</v>
      </c>
      <c r="B2" s="8" t="s">
        <v>731</v>
      </c>
      <c r="C2" s="8" t="s">
        <v>732</v>
      </c>
      <c r="E2" s="8" t="s">
        <v>730</v>
      </c>
      <c r="F2" s="8" t="s">
        <v>1</v>
      </c>
      <c r="G2" s="8" t="s">
        <v>732</v>
      </c>
      <c r="I2" s="8" t="s">
        <v>730</v>
      </c>
      <c r="J2" s="8" t="s">
        <v>334</v>
      </c>
      <c r="K2" s="8" t="s">
        <v>732</v>
      </c>
      <c r="M2" s="8" t="s">
        <v>730</v>
      </c>
      <c r="N2" s="8" t="s">
        <v>1</v>
      </c>
      <c r="O2" s="8" t="s">
        <v>732</v>
      </c>
      <c r="Q2" s="8" t="s">
        <v>730</v>
      </c>
      <c r="R2" s="8" t="s">
        <v>336</v>
      </c>
      <c r="S2" s="8" t="s">
        <v>732</v>
      </c>
      <c r="U2" s="8" t="s">
        <v>730</v>
      </c>
      <c r="V2" s="8" t="s">
        <v>1</v>
      </c>
      <c r="W2" s="8" t="s">
        <v>733</v>
      </c>
      <c r="Y2" s="8" t="s">
        <v>734</v>
      </c>
      <c r="Z2" s="8" t="s">
        <v>722</v>
      </c>
      <c r="AA2" s="8" t="s">
        <v>720</v>
      </c>
      <c r="AB2" s="8" t="s">
        <v>719</v>
      </c>
      <c r="AC2" s="8" t="s">
        <v>735</v>
      </c>
      <c r="AD2" s="8" t="s">
        <v>736</v>
      </c>
      <c r="AE2" s="8" t="s">
        <v>717</v>
      </c>
      <c r="AF2" s="8" t="s">
        <v>716</v>
      </c>
      <c r="AG2" s="8" t="s">
        <v>737</v>
      </c>
    </row>
    <row r="3" spans="1:33" x14ac:dyDescent="0.2">
      <c r="A3">
        <v>1</v>
      </c>
      <c r="B3" s="4">
        <v>46266</v>
      </c>
      <c r="C3" s="5">
        <v>929.6200000000008</v>
      </c>
      <c r="E3">
        <v>1</v>
      </c>
      <c r="F3" t="s">
        <v>259</v>
      </c>
      <c r="G3" s="5">
        <v>71.789999999999992</v>
      </c>
      <c r="I3">
        <v>1</v>
      </c>
      <c r="J3" t="s">
        <v>455</v>
      </c>
      <c r="K3" s="5">
        <v>324.61</v>
      </c>
      <c r="M3">
        <v>1</v>
      </c>
      <c r="N3" t="s">
        <v>259</v>
      </c>
      <c r="O3" s="5">
        <v>71.789999999999992</v>
      </c>
      <c r="Q3">
        <v>1</v>
      </c>
      <c r="R3" t="s">
        <v>167</v>
      </c>
      <c r="S3" s="5">
        <v>46.91</v>
      </c>
      <c r="U3">
        <v>1</v>
      </c>
      <c r="V3" t="s">
        <v>169</v>
      </c>
      <c r="W3">
        <v>17</v>
      </c>
      <c r="Y3">
        <v>1</v>
      </c>
      <c r="Z3" s="5">
        <v>324.61</v>
      </c>
      <c r="AA3" s="5">
        <v>262.92000000000007</v>
      </c>
      <c r="AB3" s="5">
        <v>125.58</v>
      </c>
      <c r="AC3" s="5">
        <v>97.13000000000001</v>
      </c>
      <c r="AD3" s="5">
        <v>56.7</v>
      </c>
      <c r="AE3" s="5">
        <v>46.79</v>
      </c>
      <c r="AF3" s="5">
        <v>13.3</v>
      </c>
      <c r="AG3" s="5">
        <v>2.59</v>
      </c>
    </row>
    <row r="4" spans="1:33" x14ac:dyDescent="0.2">
      <c r="E4">
        <v>2</v>
      </c>
      <c r="F4" t="s">
        <v>160</v>
      </c>
      <c r="G4" s="5">
        <v>68.86</v>
      </c>
      <c r="I4">
        <v>2</v>
      </c>
      <c r="J4" t="s">
        <v>352</v>
      </c>
      <c r="K4" s="5">
        <v>262.92000000000007</v>
      </c>
      <c r="M4">
        <v>2</v>
      </c>
      <c r="N4" t="s">
        <v>160</v>
      </c>
      <c r="O4" s="5">
        <v>68.86</v>
      </c>
      <c r="Q4">
        <v>2</v>
      </c>
      <c r="R4" t="s">
        <v>40</v>
      </c>
      <c r="S4" s="5">
        <v>46.79</v>
      </c>
      <c r="U4">
        <v>2</v>
      </c>
      <c r="V4" t="s">
        <v>142</v>
      </c>
      <c r="W4">
        <v>16</v>
      </c>
    </row>
    <row r="5" spans="1:33" x14ac:dyDescent="0.2">
      <c r="E5">
        <v>3</v>
      </c>
      <c r="F5" t="s">
        <v>34</v>
      </c>
      <c r="G5" s="5">
        <v>59.78</v>
      </c>
      <c r="I5">
        <v>3</v>
      </c>
      <c r="J5" t="s">
        <v>450</v>
      </c>
      <c r="K5" s="5">
        <v>125.58</v>
      </c>
      <c r="M5">
        <v>3</v>
      </c>
      <c r="N5" t="s">
        <v>34</v>
      </c>
      <c r="O5" s="5">
        <v>59.78</v>
      </c>
      <c r="Q5">
        <v>3</v>
      </c>
      <c r="R5" t="s">
        <v>266</v>
      </c>
      <c r="S5" s="5">
        <v>39.369999999999997</v>
      </c>
      <c r="U5">
        <v>3</v>
      </c>
      <c r="V5" t="s">
        <v>320</v>
      </c>
      <c r="W5">
        <v>13</v>
      </c>
    </row>
    <row r="6" spans="1:33" x14ac:dyDescent="0.2">
      <c r="E6">
        <v>4</v>
      </c>
      <c r="F6" t="s">
        <v>165</v>
      </c>
      <c r="G6" s="5">
        <v>54.91</v>
      </c>
      <c r="I6">
        <v>4</v>
      </c>
      <c r="J6" t="s">
        <v>402</v>
      </c>
      <c r="K6" s="5">
        <v>97.13000000000001</v>
      </c>
      <c r="M6">
        <v>4</v>
      </c>
      <c r="N6" t="s">
        <v>165</v>
      </c>
      <c r="O6" s="5">
        <v>54.91</v>
      </c>
      <c r="Q6">
        <v>4</v>
      </c>
      <c r="R6" t="s">
        <v>141</v>
      </c>
      <c r="S6" s="5">
        <v>35.97</v>
      </c>
      <c r="U6">
        <v>4</v>
      </c>
      <c r="V6" t="s">
        <v>160</v>
      </c>
      <c r="W6">
        <v>7</v>
      </c>
    </row>
    <row r="7" spans="1:33" x14ac:dyDescent="0.2">
      <c r="E7">
        <v>5</v>
      </c>
      <c r="F7" t="s">
        <v>320</v>
      </c>
      <c r="G7" s="5">
        <v>52.830000000000013</v>
      </c>
      <c r="I7">
        <v>5</v>
      </c>
      <c r="J7" t="s">
        <v>558</v>
      </c>
      <c r="K7" s="5">
        <v>56.7</v>
      </c>
      <c r="M7">
        <v>5</v>
      </c>
      <c r="N7" t="s">
        <v>320</v>
      </c>
      <c r="O7" s="5">
        <v>52.830000000000013</v>
      </c>
      <c r="Q7">
        <v>5</v>
      </c>
      <c r="R7" t="s">
        <v>162</v>
      </c>
      <c r="S7" s="5">
        <v>27.96</v>
      </c>
      <c r="U7">
        <v>5</v>
      </c>
      <c r="V7" t="s">
        <v>130</v>
      </c>
      <c r="W7">
        <v>6</v>
      </c>
    </row>
    <row r="8" spans="1:33" x14ac:dyDescent="0.2">
      <c r="E8">
        <v>6</v>
      </c>
      <c r="F8" t="s">
        <v>142</v>
      </c>
      <c r="G8" s="5">
        <v>48.169999999999987</v>
      </c>
      <c r="I8">
        <v>6</v>
      </c>
      <c r="J8" t="s">
        <v>607</v>
      </c>
      <c r="K8" s="5">
        <v>46.79</v>
      </c>
      <c r="M8">
        <v>6</v>
      </c>
      <c r="N8" t="s">
        <v>142</v>
      </c>
      <c r="O8" s="5">
        <v>48.169999999999987</v>
      </c>
      <c r="Q8">
        <v>6</v>
      </c>
      <c r="R8" t="s">
        <v>82</v>
      </c>
      <c r="S8" s="5">
        <v>25.94</v>
      </c>
      <c r="U8">
        <v>6</v>
      </c>
      <c r="V8" t="s">
        <v>259</v>
      </c>
      <c r="W8">
        <v>6</v>
      </c>
    </row>
    <row r="9" spans="1:33" x14ac:dyDescent="0.2">
      <c r="E9">
        <v>7</v>
      </c>
      <c r="F9" t="s">
        <v>169</v>
      </c>
      <c r="G9" s="5">
        <v>43.72</v>
      </c>
      <c r="I9">
        <v>7</v>
      </c>
      <c r="J9" t="s">
        <v>561</v>
      </c>
      <c r="K9" s="5">
        <v>13.3</v>
      </c>
      <c r="M9">
        <v>7</v>
      </c>
      <c r="N9" t="s">
        <v>169</v>
      </c>
      <c r="O9" s="5">
        <v>43.72</v>
      </c>
      <c r="Q9">
        <v>7</v>
      </c>
      <c r="R9" t="s">
        <v>131</v>
      </c>
      <c r="S9" s="5">
        <v>22.11</v>
      </c>
      <c r="U9">
        <v>7</v>
      </c>
      <c r="V9" t="s">
        <v>281</v>
      </c>
      <c r="W9">
        <v>6</v>
      </c>
    </row>
    <row r="10" spans="1:33" x14ac:dyDescent="0.2">
      <c r="E10">
        <v>8</v>
      </c>
      <c r="F10" t="s">
        <v>140</v>
      </c>
      <c r="G10" s="5">
        <v>35.97</v>
      </c>
      <c r="I10">
        <v>8</v>
      </c>
      <c r="J10" t="s">
        <v>594</v>
      </c>
      <c r="K10" s="5">
        <v>2.59</v>
      </c>
      <c r="M10">
        <v>8</v>
      </c>
      <c r="N10" t="s">
        <v>140</v>
      </c>
      <c r="O10" s="5">
        <v>35.97</v>
      </c>
      <c r="Q10">
        <v>8</v>
      </c>
      <c r="R10" t="s">
        <v>328</v>
      </c>
      <c r="S10" s="5">
        <v>21.98</v>
      </c>
      <c r="U10">
        <v>8</v>
      </c>
      <c r="V10" t="s">
        <v>60</v>
      </c>
      <c r="W10">
        <v>5</v>
      </c>
    </row>
    <row r="11" spans="1:33" x14ac:dyDescent="0.2">
      <c r="E11">
        <v>9</v>
      </c>
      <c r="F11" t="s">
        <v>130</v>
      </c>
      <c r="G11" s="5">
        <v>30.69</v>
      </c>
      <c r="M11">
        <v>9</v>
      </c>
      <c r="N11" t="s">
        <v>130</v>
      </c>
      <c r="O11" s="5">
        <v>30.69</v>
      </c>
      <c r="Q11">
        <v>9</v>
      </c>
      <c r="R11" t="s">
        <v>161</v>
      </c>
      <c r="S11" s="5">
        <v>21.74</v>
      </c>
      <c r="U11">
        <v>9</v>
      </c>
      <c r="V11" t="s">
        <v>84</v>
      </c>
      <c r="W11">
        <v>5</v>
      </c>
    </row>
    <row r="12" spans="1:33" x14ac:dyDescent="0.2">
      <c r="E12">
        <v>10</v>
      </c>
      <c r="F12" t="s">
        <v>99</v>
      </c>
      <c r="G12" s="5">
        <v>30.47</v>
      </c>
      <c r="M12">
        <v>10</v>
      </c>
      <c r="N12" t="s">
        <v>99</v>
      </c>
      <c r="O12" s="5">
        <v>30.47</v>
      </c>
      <c r="Q12">
        <v>10</v>
      </c>
      <c r="R12" t="s">
        <v>251</v>
      </c>
      <c r="S12" s="5">
        <v>20.37</v>
      </c>
      <c r="U12">
        <v>10</v>
      </c>
      <c r="V12" t="s">
        <v>99</v>
      </c>
      <c r="W12">
        <v>5</v>
      </c>
    </row>
    <row r="13" spans="1:33" x14ac:dyDescent="0.2">
      <c r="E13">
        <v>11</v>
      </c>
      <c r="F13" t="s">
        <v>80</v>
      </c>
      <c r="G13" s="5">
        <v>25.94</v>
      </c>
      <c r="M13">
        <v>11</v>
      </c>
      <c r="N13" t="s">
        <v>80</v>
      </c>
      <c r="O13" s="5">
        <v>25.94</v>
      </c>
      <c r="U13">
        <v>11</v>
      </c>
      <c r="V13" t="s">
        <v>292</v>
      </c>
      <c r="W13">
        <v>4</v>
      </c>
    </row>
    <row r="14" spans="1:33" x14ac:dyDescent="0.2">
      <c r="E14">
        <v>12</v>
      </c>
      <c r="F14" t="s">
        <v>60</v>
      </c>
      <c r="G14" s="5">
        <v>25.82</v>
      </c>
      <c r="M14">
        <v>12</v>
      </c>
      <c r="N14" t="s">
        <v>60</v>
      </c>
      <c r="O14" s="5">
        <v>25.82</v>
      </c>
      <c r="U14">
        <v>12</v>
      </c>
      <c r="V14" t="s">
        <v>67</v>
      </c>
      <c r="W14">
        <v>3</v>
      </c>
    </row>
    <row r="15" spans="1:33" x14ac:dyDescent="0.2">
      <c r="E15">
        <v>13</v>
      </c>
      <c r="F15" t="s">
        <v>281</v>
      </c>
      <c r="G15" s="5">
        <v>24.18</v>
      </c>
      <c r="M15">
        <v>13</v>
      </c>
      <c r="N15" t="s">
        <v>281</v>
      </c>
      <c r="O15" s="5">
        <v>24.18</v>
      </c>
      <c r="U15">
        <v>13</v>
      </c>
      <c r="V15" t="s">
        <v>204</v>
      </c>
      <c r="W15">
        <v>3</v>
      </c>
    </row>
    <row r="16" spans="1:33" x14ac:dyDescent="0.2">
      <c r="E16">
        <v>14</v>
      </c>
      <c r="F16" t="s">
        <v>28</v>
      </c>
      <c r="G16" s="5">
        <v>22.25</v>
      </c>
      <c r="M16">
        <v>14</v>
      </c>
      <c r="N16" t="s">
        <v>28</v>
      </c>
      <c r="O16" s="5">
        <v>22.25</v>
      </c>
      <c r="U16">
        <v>14</v>
      </c>
      <c r="V16" t="s">
        <v>249</v>
      </c>
      <c r="W16">
        <v>3</v>
      </c>
    </row>
    <row r="17" spans="5:23" x14ac:dyDescent="0.2">
      <c r="E17">
        <v>15</v>
      </c>
      <c r="F17" t="s">
        <v>249</v>
      </c>
      <c r="G17" s="5">
        <v>20.37</v>
      </c>
      <c r="M17">
        <v>15</v>
      </c>
      <c r="N17" t="s">
        <v>249</v>
      </c>
      <c r="O17" s="5">
        <v>20.37</v>
      </c>
      <c r="U17">
        <v>15</v>
      </c>
      <c r="V17" t="s">
        <v>271</v>
      </c>
      <c r="W17">
        <v>3</v>
      </c>
    </row>
    <row r="18" spans="5:23" x14ac:dyDescent="0.2">
      <c r="E18">
        <v>16</v>
      </c>
      <c r="F18" t="s">
        <v>204</v>
      </c>
      <c r="G18" s="5">
        <v>19.57</v>
      </c>
      <c r="M18">
        <v>16</v>
      </c>
      <c r="N18" t="s">
        <v>204</v>
      </c>
      <c r="O18" s="5">
        <v>19.57</v>
      </c>
      <c r="U18">
        <v>16</v>
      </c>
      <c r="V18" t="s">
        <v>28</v>
      </c>
      <c r="W18">
        <v>2</v>
      </c>
    </row>
    <row r="19" spans="5:23" x14ac:dyDescent="0.2">
      <c r="E19">
        <v>17</v>
      </c>
      <c r="F19" t="s">
        <v>70</v>
      </c>
      <c r="G19" s="5">
        <v>19.48</v>
      </c>
      <c r="M19">
        <v>17</v>
      </c>
      <c r="N19" t="s">
        <v>70</v>
      </c>
      <c r="O19" s="5">
        <v>19.48</v>
      </c>
      <c r="U19">
        <v>17</v>
      </c>
      <c r="V19" t="s">
        <v>34</v>
      </c>
      <c r="W19">
        <v>2</v>
      </c>
    </row>
    <row r="20" spans="5:23" x14ac:dyDescent="0.2">
      <c r="E20">
        <v>18</v>
      </c>
      <c r="F20" t="s">
        <v>271</v>
      </c>
      <c r="G20" s="5">
        <v>18.739999999999998</v>
      </c>
      <c r="M20">
        <v>18</v>
      </c>
      <c r="N20" t="s">
        <v>271</v>
      </c>
      <c r="O20" s="5">
        <v>18.739999999999998</v>
      </c>
      <c r="U20">
        <v>18</v>
      </c>
      <c r="V20" t="s">
        <v>70</v>
      </c>
      <c r="W20">
        <v>2</v>
      </c>
    </row>
    <row r="21" spans="5:23" x14ac:dyDescent="0.2">
      <c r="E21">
        <v>19</v>
      </c>
      <c r="F21" t="s">
        <v>84</v>
      </c>
      <c r="G21" s="5">
        <v>18.04</v>
      </c>
      <c r="M21">
        <v>19</v>
      </c>
      <c r="N21" t="s">
        <v>84</v>
      </c>
      <c r="O21" s="5">
        <v>18.04</v>
      </c>
      <c r="U21">
        <v>19</v>
      </c>
      <c r="V21" t="s">
        <v>76</v>
      </c>
      <c r="W21">
        <v>2</v>
      </c>
    </row>
    <row r="22" spans="5:23" x14ac:dyDescent="0.2">
      <c r="E22">
        <v>20</v>
      </c>
      <c r="F22" t="s">
        <v>54</v>
      </c>
      <c r="G22" s="5">
        <v>17.87</v>
      </c>
      <c r="M22">
        <v>20</v>
      </c>
      <c r="N22" t="s">
        <v>54</v>
      </c>
      <c r="O22" s="5">
        <v>17.87</v>
      </c>
      <c r="U22">
        <v>20</v>
      </c>
      <c r="V22" t="s">
        <v>91</v>
      </c>
      <c r="W22">
        <v>2</v>
      </c>
    </row>
    <row r="23" spans="5:23" x14ac:dyDescent="0.2">
      <c r="E23">
        <v>21</v>
      </c>
      <c r="F23" t="s">
        <v>313</v>
      </c>
      <c r="G23" s="5">
        <v>14.38</v>
      </c>
      <c r="M23">
        <v>21</v>
      </c>
      <c r="N23" t="s">
        <v>313</v>
      </c>
      <c r="O23" s="5">
        <v>14.38</v>
      </c>
      <c r="U23">
        <v>21</v>
      </c>
      <c r="V23" t="s">
        <v>123</v>
      </c>
      <c r="W23">
        <v>2</v>
      </c>
    </row>
    <row r="24" spans="5:23" x14ac:dyDescent="0.2">
      <c r="E24">
        <v>22</v>
      </c>
      <c r="F24" t="s">
        <v>91</v>
      </c>
      <c r="G24" s="5">
        <v>13.38</v>
      </c>
      <c r="M24">
        <v>22</v>
      </c>
      <c r="N24" t="s">
        <v>91</v>
      </c>
      <c r="O24" s="5">
        <v>13.38</v>
      </c>
      <c r="U24">
        <v>22</v>
      </c>
      <c r="V24" t="s">
        <v>126</v>
      </c>
      <c r="W24">
        <v>2</v>
      </c>
    </row>
    <row r="25" spans="5:23" x14ac:dyDescent="0.2">
      <c r="E25">
        <v>23</v>
      </c>
      <c r="F25" t="s">
        <v>67</v>
      </c>
      <c r="G25" s="5">
        <v>11.72</v>
      </c>
      <c r="M25">
        <v>23</v>
      </c>
      <c r="N25" t="s">
        <v>67</v>
      </c>
      <c r="O25" s="5">
        <v>11.72</v>
      </c>
      <c r="U25">
        <v>23</v>
      </c>
      <c r="V25" t="s">
        <v>165</v>
      </c>
      <c r="W25">
        <v>2</v>
      </c>
    </row>
    <row r="26" spans="5:23" x14ac:dyDescent="0.2">
      <c r="E26">
        <v>24</v>
      </c>
      <c r="F26" t="s">
        <v>43</v>
      </c>
      <c r="G26" s="5">
        <v>11.59</v>
      </c>
      <c r="M26">
        <v>24</v>
      </c>
      <c r="N26" t="s">
        <v>43</v>
      </c>
      <c r="O26" s="5">
        <v>11.59</v>
      </c>
      <c r="U26">
        <v>24</v>
      </c>
      <c r="V26" t="s">
        <v>268</v>
      </c>
      <c r="W26">
        <v>2</v>
      </c>
    </row>
    <row r="27" spans="5:23" x14ac:dyDescent="0.2">
      <c r="E27">
        <v>25</v>
      </c>
      <c r="F27" t="s">
        <v>292</v>
      </c>
      <c r="G27" s="5">
        <v>11.53</v>
      </c>
      <c r="M27">
        <v>25</v>
      </c>
      <c r="N27" t="s">
        <v>292</v>
      </c>
      <c r="O27" s="5">
        <v>11.53</v>
      </c>
      <c r="U27">
        <v>25</v>
      </c>
      <c r="V27" t="s">
        <v>276</v>
      </c>
      <c r="W27">
        <v>2</v>
      </c>
    </row>
    <row r="28" spans="5:23" x14ac:dyDescent="0.2">
      <c r="E28">
        <v>26</v>
      </c>
      <c r="F28" t="s">
        <v>268</v>
      </c>
      <c r="G28" s="5">
        <v>9.9600000000000009</v>
      </c>
      <c r="M28">
        <v>26</v>
      </c>
      <c r="N28" t="s">
        <v>268</v>
      </c>
      <c r="O28" s="5">
        <v>9.9600000000000009</v>
      </c>
      <c r="U28">
        <v>26</v>
      </c>
      <c r="V28" t="s">
        <v>313</v>
      </c>
      <c r="W28">
        <v>2</v>
      </c>
    </row>
    <row r="29" spans="5:23" x14ac:dyDescent="0.2">
      <c r="E29">
        <v>27</v>
      </c>
      <c r="F29" t="s">
        <v>224</v>
      </c>
      <c r="G29" s="5">
        <v>9.94</v>
      </c>
      <c r="M29">
        <v>27</v>
      </c>
      <c r="N29" t="s">
        <v>224</v>
      </c>
      <c r="O29" s="5">
        <v>9.94</v>
      </c>
      <c r="U29">
        <v>27</v>
      </c>
      <c r="V29" t="s">
        <v>32</v>
      </c>
      <c r="W29">
        <v>1</v>
      </c>
    </row>
    <row r="30" spans="5:23" x14ac:dyDescent="0.2">
      <c r="E30">
        <v>28</v>
      </c>
      <c r="F30" t="s">
        <v>123</v>
      </c>
      <c r="G30" s="5">
        <v>8.42</v>
      </c>
      <c r="M30">
        <v>28</v>
      </c>
      <c r="N30" t="s">
        <v>123</v>
      </c>
      <c r="O30" s="5">
        <v>8.42</v>
      </c>
      <c r="U30">
        <v>28</v>
      </c>
      <c r="V30" t="s">
        <v>43</v>
      </c>
      <c r="W30">
        <v>1</v>
      </c>
    </row>
    <row r="31" spans="5:23" x14ac:dyDescent="0.2">
      <c r="E31">
        <v>29</v>
      </c>
      <c r="F31" t="s">
        <v>210</v>
      </c>
      <c r="G31" s="5">
        <v>8.2899999999999991</v>
      </c>
      <c r="M31">
        <v>29</v>
      </c>
      <c r="N31" t="s">
        <v>210</v>
      </c>
      <c r="O31" s="5">
        <v>8.2899999999999991</v>
      </c>
      <c r="U31">
        <v>29</v>
      </c>
      <c r="V31" t="s">
        <v>51</v>
      </c>
      <c r="W31">
        <v>1</v>
      </c>
    </row>
    <row r="32" spans="5:23" x14ac:dyDescent="0.2">
      <c r="E32">
        <v>30</v>
      </c>
      <c r="F32" t="s">
        <v>126</v>
      </c>
      <c r="G32" s="5">
        <v>8.1999999999999993</v>
      </c>
      <c r="M32">
        <v>30</v>
      </c>
      <c r="N32" t="s">
        <v>126</v>
      </c>
      <c r="O32" s="5">
        <v>8.1999999999999993</v>
      </c>
      <c r="U32">
        <v>30</v>
      </c>
      <c r="V32" t="s">
        <v>54</v>
      </c>
      <c r="W32">
        <v>1</v>
      </c>
    </row>
    <row r="33" spans="5:23" x14ac:dyDescent="0.2">
      <c r="E33">
        <v>31</v>
      </c>
      <c r="F33" t="s">
        <v>32</v>
      </c>
      <c r="G33" s="5">
        <v>7.97</v>
      </c>
      <c r="M33">
        <v>31</v>
      </c>
      <c r="N33" t="s">
        <v>32</v>
      </c>
      <c r="O33" s="5">
        <v>7.97</v>
      </c>
      <c r="U33">
        <v>31</v>
      </c>
      <c r="V33" t="s">
        <v>73</v>
      </c>
      <c r="W33">
        <v>1</v>
      </c>
    </row>
    <row r="34" spans="5:23" x14ac:dyDescent="0.2">
      <c r="E34">
        <v>32</v>
      </c>
      <c r="F34" t="s">
        <v>276</v>
      </c>
      <c r="G34" s="5">
        <v>6.98</v>
      </c>
      <c r="M34">
        <v>32</v>
      </c>
      <c r="N34" t="s">
        <v>276</v>
      </c>
      <c r="O34" s="5">
        <v>6.98</v>
      </c>
      <c r="U34">
        <v>32</v>
      </c>
      <c r="V34" t="s">
        <v>80</v>
      </c>
      <c r="W34">
        <v>1</v>
      </c>
    </row>
    <row r="35" spans="5:23" x14ac:dyDescent="0.2">
      <c r="E35">
        <v>33</v>
      </c>
      <c r="F35" t="s">
        <v>214</v>
      </c>
      <c r="G35" s="5">
        <v>6.97</v>
      </c>
      <c r="M35">
        <v>33</v>
      </c>
      <c r="N35" t="s">
        <v>214</v>
      </c>
      <c r="O35" s="5">
        <v>6.97</v>
      </c>
      <c r="U35">
        <v>33</v>
      </c>
      <c r="V35" t="s">
        <v>95</v>
      </c>
      <c r="W35">
        <v>1</v>
      </c>
    </row>
    <row r="36" spans="5:23" x14ac:dyDescent="0.2">
      <c r="E36">
        <v>34</v>
      </c>
      <c r="F36" t="s">
        <v>237</v>
      </c>
      <c r="G36" s="5">
        <v>5.99</v>
      </c>
      <c r="M36">
        <v>34</v>
      </c>
      <c r="N36" t="s">
        <v>237</v>
      </c>
      <c r="O36" s="5">
        <v>5.99</v>
      </c>
      <c r="U36">
        <v>34</v>
      </c>
      <c r="V36" t="s">
        <v>103</v>
      </c>
      <c r="W36">
        <v>1</v>
      </c>
    </row>
    <row r="37" spans="5:23" x14ac:dyDescent="0.2">
      <c r="E37">
        <v>35</v>
      </c>
      <c r="F37" t="s">
        <v>300</v>
      </c>
      <c r="G37" s="5">
        <v>5.99</v>
      </c>
      <c r="M37">
        <v>35</v>
      </c>
      <c r="N37" t="s">
        <v>300</v>
      </c>
      <c r="O37" s="5">
        <v>5.99</v>
      </c>
      <c r="U37">
        <v>35</v>
      </c>
      <c r="V37" t="s">
        <v>113</v>
      </c>
      <c r="W37">
        <v>1</v>
      </c>
    </row>
    <row r="38" spans="5:23" x14ac:dyDescent="0.2">
      <c r="E38">
        <v>36</v>
      </c>
      <c r="F38" t="s">
        <v>302</v>
      </c>
      <c r="G38" s="5">
        <v>5.97</v>
      </c>
      <c r="M38">
        <v>36</v>
      </c>
      <c r="N38" t="s">
        <v>302</v>
      </c>
      <c r="O38" s="5">
        <v>5.97</v>
      </c>
      <c r="U38">
        <v>36</v>
      </c>
      <c r="V38" t="s">
        <v>116</v>
      </c>
      <c r="W38">
        <v>1</v>
      </c>
    </row>
    <row r="39" spans="5:23" x14ac:dyDescent="0.2">
      <c r="E39">
        <v>37</v>
      </c>
      <c r="F39" t="s">
        <v>113</v>
      </c>
      <c r="G39" s="5">
        <v>5.78</v>
      </c>
      <c r="M39">
        <v>37</v>
      </c>
      <c r="N39" t="s">
        <v>113</v>
      </c>
      <c r="O39" s="5">
        <v>5.78</v>
      </c>
      <c r="U39">
        <v>37</v>
      </c>
      <c r="V39" t="s">
        <v>119</v>
      </c>
      <c r="W39">
        <v>1</v>
      </c>
    </row>
    <row r="40" spans="5:23" x14ac:dyDescent="0.2">
      <c r="E40">
        <v>38</v>
      </c>
      <c r="F40" t="s">
        <v>221</v>
      </c>
      <c r="G40" s="5">
        <v>5.74</v>
      </c>
      <c r="M40">
        <v>38</v>
      </c>
      <c r="N40" t="s">
        <v>221</v>
      </c>
      <c r="O40" s="5">
        <v>5.74</v>
      </c>
      <c r="U40">
        <v>38</v>
      </c>
      <c r="V40" t="s">
        <v>140</v>
      </c>
      <c r="W40">
        <v>1</v>
      </c>
    </row>
    <row r="41" spans="5:23" x14ac:dyDescent="0.2">
      <c r="E41">
        <v>39</v>
      </c>
      <c r="F41" t="s">
        <v>119</v>
      </c>
      <c r="G41" s="5">
        <v>5.58</v>
      </c>
      <c r="M41">
        <v>39</v>
      </c>
      <c r="N41" t="s">
        <v>119</v>
      </c>
      <c r="O41" s="5">
        <v>5.58</v>
      </c>
      <c r="U41">
        <v>39</v>
      </c>
      <c r="V41" t="s">
        <v>195</v>
      </c>
      <c r="W41">
        <v>1</v>
      </c>
    </row>
    <row r="42" spans="5:23" x14ac:dyDescent="0.2">
      <c r="E42">
        <v>40</v>
      </c>
      <c r="F42" t="s">
        <v>242</v>
      </c>
      <c r="G42" s="5">
        <v>5.34</v>
      </c>
      <c r="M42">
        <v>40</v>
      </c>
      <c r="N42" t="s">
        <v>242</v>
      </c>
      <c r="O42" s="5">
        <v>5.34</v>
      </c>
      <c r="U42">
        <v>40</v>
      </c>
      <c r="V42" t="s">
        <v>199</v>
      </c>
      <c r="W42">
        <v>1</v>
      </c>
    </row>
    <row r="43" spans="5:23" x14ac:dyDescent="0.2">
      <c r="E43">
        <v>41</v>
      </c>
      <c r="F43" t="s">
        <v>217</v>
      </c>
      <c r="G43" s="5">
        <v>4.99</v>
      </c>
      <c r="M43">
        <v>41</v>
      </c>
      <c r="N43" t="s">
        <v>217</v>
      </c>
      <c r="O43" s="5">
        <v>4.99</v>
      </c>
      <c r="U43">
        <v>41</v>
      </c>
      <c r="V43" t="s">
        <v>210</v>
      </c>
      <c r="W43">
        <v>1</v>
      </c>
    </row>
    <row r="44" spans="5:23" x14ac:dyDescent="0.2">
      <c r="E44">
        <v>42</v>
      </c>
      <c r="F44" t="s">
        <v>199</v>
      </c>
      <c r="G44" s="5">
        <v>4.49</v>
      </c>
      <c r="M44">
        <v>42</v>
      </c>
      <c r="N44" t="s">
        <v>199</v>
      </c>
      <c r="O44" s="5">
        <v>4.49</v>
      </c>
      <c r="U44">
        <v>42</v>
      </c>
      <c r="V44" t="s">
        <v>212</v>
      </c>
      <c r="W44">
        <v>1</v>
      </c>
    </row>
    <row r="45" spans="5:23" x14ac:dyDescent="0.2">
      <c r="E45">
        <v>43</v>
      </c>
      <c r="F45" t="s">
        <v>252</v>
      </c>
      <c r="G45" s="5">
        <v>4.25</v>
      </c>
      <c r="M45">
        <v>43</v>
      </c>
      <c r="N45" t="s">
        <v>252</v>
      </c>
      <c r="O45" s="5">
        <v>4.25</v>
      </c>
      <c r="U45">
        <v>43</v>
      </c>
      <c r="V45" t="s">
        <v>214</v>
      </c>
      <c r="W45">
        <v>1</v>
      </c>
    </row>
    <row r="46" spans="5:23" x14ac:dyDescent="0.2">
      <c r="E46">
        <v>44</v>
      </c>
      <c r="F46" t="s">
        <v>51</v>
      </c>
      <c r="G46" s="5">
        <v>3.99</v>
      </c>
      <c r="M46">
        <v>44</v>
      </c>
      <c r="N46" t="s">
        <v>51</v>
      </c>
      <c r="O46" s="5">
        <v>3.99</v>
      </c>
      <c r="U46">
        <v>44</v>
      </c>
      <c r="V46" t="s">
        <v>217</v>
      </c>
      <c r="W46">
        <v>1</v>
      </c>
    </row>
    <row r="47" spans="5:23" x14ac:dyDescent="0.2">
      <c r="E47">
        <v>45</v>
      </c>
      <c r="F47" t="s">
        <v>95</v>
      </c>
      <c r="G47" s="5">
        <v>3.99</v>
      </c>
      <c r="M47">
        <v>45</v>
      </c>
      <c r="N47" t="s">
        <v>95</v>
      </c>
      <c r="O47" s="5">
        <v>3.99</v>
      </c>
      <c r="U47">
        <v>45</v>
      </c>
      <c r="V47" t="s">
        <v>221</v>
      </c>
      <c r="W47">
        <v>1</v>
      </c>
    </row>
    <row r="48" spans="5:23" x14ac:dyDescent="0.2">
      <c r="E48">
        <v>46</v>
      </c>
      <c r="F48" t="s">
        <v>240</v>
      </c>
      <c r="G48" s="5">
        <v>3.89</v>
      </c>
      <c r="M48">
        <v>46</v>
      </c>
      <c r="N48" t="s">
        <v>240</v>
      </c>
      <c r="O48" s="5">
        <v>3.89</v>
      </c>
      <c r="U48">
        <v>46</v>
      </c>
      <c r="V48" t="s">
        <v>224</v>
      </c>
      <c r="W48">
        <v>1</v>
      </c>
    </row>
    <row r="49" spans="5:23" x14ac:dyDescent="0.2">
      <c r="E49">
        <v>47</v>
      </c>
      <c r="F49" t="s">
        <v>289</v>
      </c>
      <c r="G49" s="5">
        <v>3.77</v>
      </c>
      <c r="M49">
        <v>47</v>
      </c>
      <c r="N49" t="s">
        <v>289</v>
      </c>
      <c r="O49" s="5">
        <v>3.77</v>
      </c>
      <c r="U49">
        <v>47</v>
      </c>
      <c r="V49" t="s">
        <v>237</v>
      </c>
      <c r="W49">
        <v>1</v>
      </c>
    </row>
    <row r="50" spans="5:23" x14ac:dyDescent="0.2">
      <c r="E50">
        <v>48</v>
      </c>
      <c r="F50" t="s">
        <v>116</v>
      </c>
      <c r="G50" s="5">
        <v>3.58</v>
      </c>
      <c r="M50">
        <v>48</v>
      </c>
      <c r="N50" t="s">
        <v>116</v>
      </c>
      <c r="O50" s="5">
        <v>3.58</v>
      </c>
      <c r="U50">
        <v>48</v>
      </c>
      <c r="V50" t="s">
        <v>240</v>
      </c>
      <c r="W50">
        <v>1</v>
      </c>
    </row>
    <row r="51" spans="5:23" x14ac:dyDescent="0.2">
      <c r="E51">
        <v>49</v>
      </c>
      <c r="F51" t="s">
        <v>76</v>
      </c>
      <c r="G51" s="5">
        <v>3.38</v>
      </c>
      <c r="M51">
        <v>49</v>
      </c>
      <c r="N51" t="s">
        <v>76</v>
      </c>
      <c r="O51" s="5">
        <v>3.38</v>
      </c>
      <c r="U51">
        <v>49</v>
      </c>
      <c r="V51" t="s">
        <v>242</v>
      </c>
      <c r="W51">
        <v>1</v>
      </c>
    </row>
    <row r="52" spans="5:23" x14ac:dyDescent="0.2">
      <c r="E52">
        <v>50</v>
      </c>
      <c r="F52" t="s">
        <v>195</v>
      </c>
      <c r="G52" s="5">
        <v>3.32</v>
      </c>
      <c r="M52">
        <v>50</v>
      </c>
      <c r="N52" t="s">
        <v>195</v>
      </c>
      <c r="O52" s="5">
        <v>3.32</v>
      </c>
      <c r="U52">
        <v>50</v>
      </c>
      <c r="V52" t="s">
        <v>252</v>
      </c>
      <c r="W52">
        <v>1</v>
      </c>
    </row>
    <row r="53" spans="5:23" x14ac:dyDescent="0.2">
      <c r="E53">
        <v>51</v>
      </c>
      <c r="F53" t="s">
        <v>305</v>
      </c>
      <c r="G53" s="5">
        <v>3.19</v>
      </c>
      <c r="M53">
        <v>51</v>
      </c>
      <c r="N53" t="s">
        <v>305</v>
      </c>
      <c r="O53" s="5">
        <v>3.19</v>
      </c>
      <c r="U53">
        <v>51</v>
      </c>
      <c r="V53" t="s">
        <v>289</v>
      </c>
      <c r="W53">
        <v>1</v>
      </c>
    </row>
    <row r="54" spans="5:23" x14ac:dyDescent="0.2">
      <c r="E54">
        <v>52</v>
      </c>
      <c r="F54" t="s">
        <v>103</v>
      </c>
      <c r="G54" s="5">
        <v>2.79</v>
      </c>
      <c r="M54">
        <v>52</v>
      </c>
      <c r="N54" t="s">
        <v>103</v>
      </c>
      <c r="O54" s="5">
        <v>2.79</v>
      </c>
      <c r="U54">
        <v>52</v>
      </c>
      <c r="V54" t="s">
        <v>300</v>
      </c>
      <c r="W54">
        <v>1</v>
      </c>
    </row>
    <row r="55" spans="5:23" x14ac:dyDescent="0.2">
      <c r="E55">
        <v>53</v>
      </c>
      <c r="F55" t="s">
        <v>310</v>
      </c>
      <c r="G55" s="5">
        <v>2.56</v>
      </c>
      <c r="M55">
        <v>53</v>
      </c>
      <c r="N55" t="s">
        <v>310</v>
      </c>
      <c r="O55" s="5">
        <v>2.56</v>
      </c>
      <c r="U55">
        <v>53</v>
      </c>
      <c r="V55" t="s">
        <v>302</v>
      </c>
      <c r="W55">
        <v>1</v>
      </c>
    </row>
    <row r="56" spans="5:23" x14ac:dyDescent="0.2">
      <c r="E56">
        <v>54</v>
      </c>
      <c r="F56" t="s">
        <v>212</v>
      </c>
      <c r="G56" s="5">
        <v>1.27</v>
      </c>
      <c r="M56">
        <v>54</v>
      </c>
      <c r="N56" t="s">
        <v>212</v>
      </c>
      <c r="O56" s="5">
        <v>1.27</v>
      </c>
      <c r="U56">
        <v>54</v>
      </c>
      <c r="V56" t="s">
        <v>305</v>
      </c>
      <c r="W56">
        <v>1</v>
      </c>
    </row>
    <row r="57" spans="5:23" x14ac:dyDescent="0.2">
      <c r="E57">
        <v>55</v>
      </c>
      <c r="F57" t="s">
        <v>73</v>
      </c>
      <c r="G57" s="5">
        <v>0.99</v>
      </c>
      <c r="M57">
        <v>55</v>
      </c>
      <c r="N57" t="s">
        <v>73</v>
      </c>
      <c r="O57" s="5">
        <v>0.99</v>
      </c>
      <c r="U57">
        <v>55</v>
      </c>
      <c r="V57" t="s">
        <v>310</v>
      </c>
      <c r="W5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3" width="16" customWidth="1"/>
    <col min="4" max="4" width="22" customWidth="1"/>
  </cols>
  <sheetData>
    <row r="1" spans="1:4" x14ac:dyDescent="0.2">
      <c r="A1" s="8" t="s">
        <v>841</v>
      </c>
      <c r="B1" s="8" t="s">
        <v>338</v>
      </c>
      <c r="C1" s="8" t="s">
        <v>842</v>
      </c>
      <c r="D1" s="8" t="s">
        <v>843</v>
      </c>
    </row>
    <row r="2" spans="1:4" x14ac:dyDescent="0.2">
      <c r="A2" t="s">
        <v>844</v>
      </c>
      <c r="B2" t="s">
        <v>458</v>
      </c>
      <c r="C2" s="2">
        <v>46259</v>
      </c>
      <c r="D2" s="3">
        <v>46260.753207858797</v>
      </c>
    </row>
    <row r="3" spans="1:4" x14ac:dyDescent="0.2">
      <c r="A3" t="s">
        <v>845</v>
      </c>
      <c r="B3" t="s">
        <v>405</v>
      </c>
      <c r="C3" s="2">
        <v>46257</v>
      </c>
      <c r="D3" s="3">
        <v>46260.873204756943</v>
      </c>
    </row>
    <row r="4" spans="1:4" x14ac:dyDescent="0.2">
      <c r="A4" t="s">
        <v>846</v>
      </c>
      <c r="B4" t="s">
        <v>452</v>
      </c>
      <c r="C4" s="2">
        <v>46258</v>
      </c>
      <c r="D4" s="3">
        <v>46261.509354467591</v>
      </c>
    </row>
    <row r="5" spans="1:4" x14ac:dyDescent="0.2">
      <c r="A5" t="s">
        <v>847</v>
      </c>
      <c r="B5" t="s">
        <v>353</v>
      </c>
      <c r="C5" s="2">
        <v>46261</v>
      </c>
      <c r="D5" s="3">
        <v>46261.69623483796</v>
      </c>
    </row>
    <row r="6" spans="1:4" x14ac:dyDescent="0.2">
      <c r="A6" t="s">
        <v>848</v>
      </c>
      <c r="B6" t="s">
        <v>355</v>
      </c>
      <c r="C6" s="2">
        <v>46240</v>
      </c>
      <c r="D6" s="3">
        <v>46261.874585370373</v>
      </c>
    </row>
    <row r="7" spans="1:4" x14ac:dyDescent="0.2">
      <c r="A7" t="s">
        <v>849</v>
      </c>
      <c r="B7" t="s">
        <v>355</v>
      </c>
      <c r="C7" s="2">
        <v>46241</v>
      </c>
      <c r="D7" s="3">
        <v>46262.598739479166</v>
      </c>
    </row>
    <row r="8" spans="1:4" x14ac:dyDescent="0.2">
      <c r="A8" t="s">
        <v>850</v>
      </c>
      <c r="B8" t="s">
        <v>355</v>
      </c>
      <c r="C8" s="2">
        <v>46247</v>
      </c>
      <c r="D8" s="3">
        <v>46262.65887388889</v>
      </c>
    </row>
    <row r="9" spans="1:4" x14ac:dyDescent="0.2">
      <c r="A9" t="s">
        <v>851</v>
      </c>
      <c r="B9" t="s">
        <v>355</v>
      </c>
      <c r="C9" s="2">
        <v>46247</v>
      </c>
      <c r="D9" s="3">
        <v>46262.660042743053</v>
      </c>
    </row>
    <row r="10" spans="1:4" x14ac:dyDescent="0.2">
      <c r="A10" t="s">
        <v>852</v>
      </c>
      <c r="B10" t="s">
        <v>355</v>
      </c>
      <c r="C10" s="2">
        <v>46260</v>
      </c>
      <c r="D10" s="3">
        <v>46262.676458125003</v>
      </c>
    </row>
    <row r="11" spans="1:4" x14ac:dyDescent="0.2">
      <c r="A11" t="s">
        <v>853</v>
      </c>
      <c r="B11" t="s">
        <v>474</v>
      </c>
      <c r="C11" s="2">
        <v>46262</v>
      </c>
      <c r="D11" s="3">
        <v>46262.700758634259</v>
      </c>
    </row>
    <row r="12" spans="1:4" x14ac:dyDescent="0.2">
      <c r="A12" t="s">
        <v>854</v>
      </c>
      <c r="B12" t="s">
        <v>511</v>
      </c>
      <c r="C12" s="2">
        <v>46264</v>
      </c>
      <c r="D12" s="3">
        <v>46264.691584328713</v>
      </c>
    </row>
    <row r="13" spans="1:4" x14ac:dyDescent="0.2">
      <c r="A13" t="s">
        <v>854</v>
      </c>
      <c r="B13" t="s">
        <v>511</v>
      </c>
      <c r="C13" s="2">
        <v>46264</v>
      </c>
      <c r="D13" s="3">
        <v>46265.912048993057</v>
      </c>
    </row>
    <row r="14" spans="1:4" x14ac:dyDescent="0.2">
      <c r="A14" t="s">
        <v>855</v>
      </c>
      <c r="B14" t="s">
        <v>474</v>
      </c>
      <c r="C14" s="2">
        <v>46268</v>
      </c>
      <c r="D14" s="3">
        <v>46268.787326979167</v>
      </c>
    </row>
    <row r="15" spans="1:4" x14ac:dyDescent="0.2">
      <c r="A15" t="s">
        <v>856</v>
      </c>
      <c r="B15" t="s">
        <v>511</v>
      </c>
      <c r="C15" s="2">
        <v>46271</v>
      </c>
      <c r="D15" s="3">
        <v>46271.652219062496</v>
      </c>
    </row>
    <row r="16" spans="1:4" x14ac:dyDescent="0.2">
      <c r="A16" t="s">
        <v>857</v>
      </c>
      <c r="B16" t="s">
        <v>511</v>
      </c>
      <c r="C16" s="2">
        <v>46271</v>
      </c>
      <c r="D16" s="3">
        <v>46271.658452025462</v>
      </c>
    </row>
    <row r="17" spans="1:4" x14ac:dyDescent="0.2">
      <c r="A17" t="s">
        <v>858</v>
      </c>
      <c r="B17" t="s">
        <v>511</v>
      </c>
      <c r="C17" s="2">
        <v>46271</v>
      </c>
      <c r="D17" s="3">
        <v>46271.663065590277</v>
      </c>
    </row>
    <row r="18" spans="1:4" x14ac:dyDescent="0.2">
      <c r="A18" t="s">
        <v>859</v>
      </c>
      <c r="B18" t="s">
        <v>452</v>
      </c>
      <c r="C18" s="2">
        <v>46272</v>
      </c>
      <c r="D18" s="3">
        <v>46272.803187118057</v>
      </c>
    </row>
    <row r="19" spans="1:4" x14ac:dyDescent="0.2">
      <c r="A19" t="s">
        <v>859</v>
      </c>
      <c r="B19" t="s">
        <v>452</v>
      </c>
      <c r="C19" s="2">
        <v>46272</v>
      </c>
      <c r="D19" s="3">
        <v>46272.810577152777</v>
      </c>
    </row>
    <row r="20" spans="1:4" x14ac:dyDescent="0.2">
      <c r="A20" t="s">
        <v>860</v>
      </c>
      <c r="B20" t="s">
        <v>474</v>
      </c>
      <c r="C20" s="2">
        <v>46272</v>
      </c>
      <c r="D20" s="3">
        <v>46272.833775833336</v>
      </c>
    </row>
    <row r="21" spans="1:4" x14ac:dyDescent="0.2">
      <c r="A21" t="s">
        <v>861</v>
      </c>
      <c r="B21" t="s">
        <v>458</v>
      </c>
      <c r="C21" s="2">
        <v>46278</v>
      </c>
      <c r="D21" s="3">
        <v>46278.91137050926</v>
      </c>
    </row>
    <row r="22" spans="1:4" x14ac:dyDescent="0.2">
      <c r="A22" t="s">
        <v>862</v>
      </c>
      <c r="B22" t="s">
        <v>355</v>
      </c>
      <c r="C22" s="2">
        <v>46278</v>
      </c>
      <c r="D22" s="3">
        <v>46279.735458159717</v>
      </c>
    </row>
    <row r="23" spans="1:4" x14ac:dyDescent="0.2">
      <c r="A23" t="s">
        <v>863</v>
      </c>
      <c r="B23" t="s">
        <v>355</v>
      </c>
      <c r="C23" s="2">
        <v>46278</v>
      </c>
      <c r="D23" s="3">
        <v>46279.738753634258</v>
      </c>
    </row>
    <row r="24" spans="1:4" x14ac:dyDescent="0.2">
      <c r="A24" t="s">
        <v>864</v>
      </c>
      <c r="B24" t="s">
        <v>355</v>
      </c>
      <c r="C24" s="2">
        <v>46274</v>
      </c>
      <c r="D24" s="3">
        <v>46285.46345628472</v>
      </c>
    </row>
    <row r="25" spans="1:4" x14ac:dyDescent="0.2">
      <c r="A25" t="s">
        <v>865</v>
      </c>
      <c r="B25" t="s">
        <v>355</v>
      </c>
      <c r="C25" s="2">
        <v>46282</v>
      </c>
      <c r="D25" s="3">
        <v>46285.466329340277</v>
      </c>
    </row>
    <row r="26" spans="1:4" x14ac:dyDescent="0.2">
      <c r="A26" t="s">
        <v>866</v>
      </c>
      <c r="B26" t="s">
        <v>458</v>
      </c>
      <c r="C26" s="2">
        <v>46283</v>
      </c>
      <c r="D26" s="3">
        <v>46285.474963148154</v>
      </c>
    </row>
    <row r="27" spans="1:4" x14ac:dyDescent="0.2">
      <c r="A27" t="s">
        <v>867</v>
      </c>
      <c r="B27" t="s">
        <v>603</v>
      </c>
      <c r="C27" s="2">
        <v>46284</v>
      </c>
      <c r="D27" s="3">
        <v>46285.485286759264</v>
      </c>
    </row>
    <row r="28" spans="1:4" x14ac:dyDescent="0.2">
      <c r="A28" t="s">
        <v>868</v>
      </c>
      <c r="B28" t="s">
        <v>355</v>
      </c>
      <c r="C28" s="2">
        <v>46285</v>
      </c>
      <c r="D28" s="3">
        <v>46285.503624814817</v>
      </c>
    </row>
    <row r="29" spans="1:4" x14ac:dyDescent="0.2">
      <c r="A29" t="s">
        <v>869</v>
      </c>
      <c r="B29" t="s">
        <v>355</v>
      </c>
      <c r="C29" s="2">
        <v>46278</v>
      </c>
      <c r="D29" s="3">
        <v>46285.593614479163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F28"/>
  <sheetViews>
    <sheetView workbookViewId="0">
      <selection activeCell="D5" sqref="D5:E16"/>
    </sheetView>
  </sheetViews>
  <sheetFormatPr baseColWidth="10" defaultRowHeight="15" x14ac:dyDescent="0.2"/>
  <cols>
    <col min="2" max="2" width="15.33203125" bestFit="1" customWidth="1"/>
    <col min="3" max="3" width="19.33203125" bestFit="1" customWidth="1"/>
    <col min="4" max="4" width="45.33203125" customWidth="1"/>
    <col min="5" max="5" width="38.5" customWidth="1"/>
    <col min="6" max="6" width="94.1640625" bestFit="1" customWidth="1"/>
    <col min="7" max="7" width="54.1640625" customWidth="1"/>
  </cols>
  <sheetData>
    <row r="4" spans="1:6" x14ac:dyDescent="0.2">
      <c r="A4" s="7" t="s">
        <v>870</v>
      </c>
      <c r="B4" s="7" t="s">
        <v>334</v>
      </c>
      <c r="C4" s="7" t="s">
        <v>336</v>
      </c>
      <c r="D4" s="7" t="s">
        <v>871</v>
      </c>
      <c r="E4" s="7" t="s">
        <v>872</v>
      </c>
      <c r="F4" s="7" t="s">
        <v>873</v>
      </c>
    </row>
    <row r="5" spans="1:6" x14ac:dyDescent="0.2">
      <c r="A5">
        <v>253</v>
      </c>
      <c r="B5" t="s">
        <v>455</v>
      </c>
      <c r="C5" t="s">
        <v>596</v>
      </c>
      <c r="D5" t="s">
        <v>316</v>
      </c>
      <c r="E5" t="s">
        <v>313</v>
      </c>
      <c r="F5" t="s">
        <v>874</v>
      </c>
    </row>
    <row r="6" spans="1:6" ht="16" customHeight="1" x14ac:dyDescent="0.2">
      <c r="A6">
        <v>254</v>
      </c>
      <c r="B6" t="s">
        <v>455</v>
      </c>
      <c r="C6" t="s">
        <v>143</v>
      </c>
      <c r="D6" t="s">
        <v>143</v>
      </c>
      <c r="E6" t="s">
        <v>142</v>
      </c>
      <c r="F6" t="s">
        <v>875</v>
      </c>
    </row>
    <row r="7" spans="1:6" x14ac:dyDescent="0.2">
      <c r="A7">
        <v>255</v>
      </c>
      <c r="B7" t="s">
        <v>455</v>
      </c>
      <c r="C7" t="s">
        <v>597</v>
      </c>
      <c r="D7" t="s">
        <v>71</v>
      </c>
      <c r="E7" t="s">
        <v>70</v>
      </c>
      <c r="F7" t="s">
        <v>876</v>
      </c>
    </row>
    <row r="8" spans="1:6" x14ac:dyDescent="0.2">
      <c r="A8">
        <v>256</v>
      </c>
      <c r="B8" t="s">
        <v>455</v>
      </c>
      <c r="C8" t="s">
        <v>598</v>
      </c>
      <c r="D8" t="s">
        <v>41</v>
      </c>
      <c r="E8" t="s">
        <v>34</v>
      </c>
      <c r="F8" t="s">
        <v>877</v>
      </c>
    </row>
    <row r="9" spans="1:6" x14ac:dyDescent="0.2">
      <c r="A9">
        <v>257</v>
      </c>
      <c r="B9" t="s">
        <v>455</v>
      </c>
      <c r="C9" t="s">
        <v>599</v>
      </c>
      <c r="D9" t="s">
        <v>327</v>
      </c>
      <c r="E9" t="s">
        <v>320</v>
      </c>
      <c r="F9" t="s">
        <v>878</v>
      </c>
    </row>
    <row r="10" spans="1:6" x14ac:dyDescent="0.2">
      <c r="A10">
        <v>258</v>
      </c>
      <c r="B10" t="s">
        <v>455</v>
      </c>
      <c r="C10" t="s">
        <v>600</v>
      </c>
      <c r="D10" t="s">
        <v>72</v>
      </c>
      <c r="E10" t="s">
        <v>70</v>
      </c>
      <c r="F10" t="s">
        <v>879</v>
      </c>
    </row>
    <row r="11" spans="1:6" x14ac:dyDescent="0.2">
      <c r="A11">
        <v>259</v>
      </c>
      <c r="B11" t="s">
        <v>455</v>
      </c>
      <c r="C11" t="s">
        <v>601</v>
      </c>
      <c r="D11" t="s">
        <v>52</v>
      </c>
      <c r="E11" t="s">
        <v>51</v>
      </c>
      <c r="F11" t="s">
        <v>880</v>
      </c>
    </row>
    <row r="12" spans="1:6" x14ac:dyDescent="0.2">
      <c r="A12">
        <v>260</v>
      </c>
      <c r="B12" t="s">
        <v>455</v>
      </c>
      <c r="C12" t="s">
        <v>135</v>
      </c>
      <c r="D12" t="s">
        <v>135</v>
      </c>
      <c r="E12" t="s">
        <v>130</v>
      </c>
      <c r="F12" t="s">
        <v>881</v>
      </c>
    </row>
    <row r="13" spans="1:6" ht="16" customHeight="1" x14ac:dyDescent="0.2">
      <c r="A13">
        <v>261</v>
      </c>
      <c r="B13" t="s">
        <v>455</v>
      </c>
      <c r="C13" t="s">
        <v>602</v>
      </c>
      <c r="D13" t="s">
        <v>92</v>
      </c>
      <c r="E13" t="s">
        <v>91</v>
      </c>
      <c r="F13" t="s">
        <v>882</v>
      </c>
    </row>
    <row r="14" spans="1:6" x14ac:dyDescent="0.2">
      <c r="A14">
        <v>262</v>
      </c>
      <c r="B14" t="s">
        <v>455</v>
      </c>
      <c r="C14" t="s">
        <v>604</v>
      </c>
      <c r="D14" t="s">
        <v>272</v>
      </c>
      <c r="E14" t="s">
        <v>271</v>
      </c>
      <c r="F14" t="s">
        <v>883</v>
      </c>
    </row>
    <row r="15" spans="1:6" x14ac:dyDescent="0.2">
      <c r="A15">
        <v>263</v>
      </c>
      <c r="B15" t="s">
        <v>455</v>
      </c>
      <c r="C15" t="s">
        <v>605</v>
      </c>
      <c r="D15" t="s">
        <v>68</v>
      </c>
      <c r="E15" t="s">
        <v>67</v>
      </c>
      <c r="F15" t="s">
        <v>884</v>
      </c>
    </row>
    <row r="16" spans="1:6" x14ac:dyDescent="0.2">
      <c r="A16">
        <v>264</v>
      </c>
      <c r="B16" t="s">
        <v>455</v>
      </c>
      <c r="C16" t="s">
        <v>885</v>
      </c>
      <c r="D16" t="s">
        <v>254</v>
      </c>
      <c r="E16" t="s">
        <v>252</v>
      </c>
      <c r="F16" t="s">
        <v>886</v>
      </c>
    </row>
    <row r="17" ht="16" customHeight="1" x14ac:dyDescent="0.2"/>
    <row r="18" ht="16" customHeight="1" x14ac:dyDescent="0.2"/>
    <row r="19" ht="16" customHeight="1" x14ac:dyDescent="0.2"/>
    <row r="26" ht="16" customHeight="1" x14ac:dyDescent="0.2"/>
    <row r="28" ht="16" customHeigh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49"/>
  <sheetViews>
    <sheetView showGridLines="0" tabSelected="1" workbookViewId="0">
      <selection activeCell="F8" sqref="F8"/>
    </sheetView>
  </sheetViews>
  <sheetFormatPr baseColWidth="10" defaultColWidth="8.83203125" defaultRowHeight="15" x14ac:dyDescent="0.2"/>
  <cols>
    <col min="1" max="1" width="38" customWidth="1"/>
    <col min="2" max="2" width="48" customWidth="1"/>
    <col min="10" max="10" width="6" customWidth="1"/>
    <col min="11" max="11" width="28" customWidth="1"/>
    <col min="12" max="12" width="14" customWidth="1"/>
    <col min="28" max="59" width="16" customWidth="1"/>
  </cols>
  <sheetData>
    <row r="1" spans="1:59" ht="24" x14ac:dyDescent="0.3">
      <c r="A1" s="69" t="s">
        <v>887</v>
      </c>
      <c r="B1" s="64"/>
      <c r="C1" s="64"/>
      <c r="D1" s="64"/>
      <c r="E1" s="64"/>
      <c r="F1" s="64"/>
      <c r="G1" s="64"/>
      <c r="H1" s="64"/>
      <c r="AB1" s="40" t="s">
        <v>888</v>
      </c>
      <c r="AC1" s="40" t="s">
        <v>889</v>
      </c>
      <c r="AD1" s="40" t="s">
        <v>890</v>
      </c>
      <c r="AE1" s="40" t="s">
        <v>891</v>
      </c>
      <c r="AG1" s="40" t="s">
        <v>892</v>
      </c>
      <c r="AH1" s="40" t="s">
        <v>893</v>
      </c>
      <c r="AI1" s="40" t="s">
        <v>722</v>
      </c>
      <c r="AJ1" s="40" t="s">
        <v>720</v>
      </c>
      <c r="AK1" s="40" t="s">
        <v>719</v>
      </c>
      <c r="AL1" s="40" t="s">
        <v>735</v>
      </c>
      <c r="AM1" s="40" t="s">
        <v>736</v>
      </c>
      <c r="AN1" s="40" t="s">
        <v>717</v>
      </c>
      <c r="AO1" s="40" t="s">
        <v>716</v>
      </c>
      <c r="AP1" s="40" t="s">
        <v>737</v>
      </c>
      <c r="AQ1" s="40" t="s">
        <v>715</v>
      </c>
      <c r="AR1" s="40" t="s">
        <v>894</v>
      </c>
      <c r="AS1" s="40" t="s">
        <v>895</v>
      </c>
      <c r="AT1" s="40" t="s">
        <v>896</v>
      </c>
      <c r="AU1" s="40" t="s">
        <v>835</v>
      </c>
      <c r="AV1" s="40" t="s">
        <v>897</v>
      </c>
      <c r="AW1" s="40" t="s">
        <v>898</v>
      </c>
      <c r="AX1" s="40" t="s">
        <v>714</v>
      </c>
      <c r="AY1" s="40" t="s">
        <v>833</v>
      </c>
      <c r="AZ1" s="40" t="s">
        <v>899</v>
      </c>
      <c r="BA1" s="40" t="s">
        <v>900</v>
      </c>
      <c r="BB1" s="40" t="s">
        <v>901</v>
      </c>
      <c r="BC1" s="40" t="s">
        <v>902</v>
      </c>
      <c r="BD1" s="40" t="s">
        <v>903</v>
      </c>
      <c r="BE1" s="40" t="s">
        <v>904</v>
      </c>
      <c r="BF1" s="40" t="s">
        <v>905</v>
      </c>
      <c r="BG1" s="40" t="s">
        <v>906</v>
      </c>
    </row>
    <row r="2" spans="1:59" x14ac:dyDescent="0.2">
      <c r="AB2" s="2">
        <v>46266</v>
      </c>
      <c r="AC2" s="5">
        <v>1400</v>
      </c>
      <c r="AD2" s="5">
        <v>1400</v>
      </c>
      <c r="AE2" s="5">
        <v>0</v>
      </c>
      <c r="AG2" t="s">
        <v>893</v>
      </c>
      <c r="AH2" s="5">
        <v>1400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</row>
    <row r="3" spans="1:59" x14ac:dyDescent="0.2">
      <c r="A3" s="41" t="s">
        <v>907</v>
      </c>
      <c r="B3" t="s">
        <v>887</v>
      </c>
      <c r="AB3" s="2">
        <v>46267</v>
      </c>
      <c r="AC3" s="5">
        <v>1351.7241379310351</v>
      </c>
      <c r="AD3" s="5">
        <v>1400</v>
      </c>
      <c r="AE3" s="5">
        <v>0</v>
      </c>
      <c r="AG3" t="s">
        <v>908</v>
      </c>
      <c r="AH3" s="5">
        <v>0</v>
      </c>
      <c r="AI3" s="5">
        <v>17.87</v>
      </c>
      <c r="AJ3" s="5">
        <v>59.78</v>
      </c>
      <c r="AK3" s="5">
        <v>31.81</v>
      </c>
      <c r="AL3" s="5">
        <v>3.99</v>
      </c>
      <c r="AM3" s="5">
        <v>19.48</v>
      </c>
      <c r="AN3" s="5">
        <v>21.08</v>
      </c>
      <c r="AO3" s="5">
        <v>-144.13999999999999</v>
      </c>
      <c r="AP3" s="5">
        <v>137.88</v>
      </c>
      <c r="AQ3" s="5">
        <v>36.71</v>
      </c>
      <c r="AR3" s="5">
        <v>8.1999999999999993</v>
      </c>
      <c r="AS3" s="5">
        <v>30.69</v>
      </c>
      <c r="AT3" s="5">
        <v>60.9</v>
      </c>
      <c r="AU3" s="5">
        <v>0</v>
      </c>
      <c r="AV3" s="5">
        <v>14.05</v>
      </c>
      <c r="AW3" s="5">
        <v>0</v>
      </c>
      <c r="AX3" s="5">
        <v>110.57</v>
      </c>
      <c r="AY3" s="5">
        <v>0</v>
      </c>
      <c r="AZ3" s="5">
        <v>76.929999999999993</v>
      </c>
      <c r="BA3" s="5">
        <v>25.94</v>
      </c>
      <c r="BB3" s="5">
        <v>71.789999999999992</v>
      </c>
      <c r="BC3" s="5">
        <v>127.81</v>
      </c>
      <c r="BD3" s="5">
        <v>29.22</v>
      </c>
      <c r="BE3" s="5">
        <v>30.54</v>
      </c>
      <c r="BF3" s="5">
        <v>0</v>
      </c>
      <c r="BG3" s="5">
        <v>14.38</v>
      </c>
    </row>
    <row r="4" spans="1:59" x14ac:dyDescent="0.2">
      <c r="A4" s="41" t="s">
        <v>909</v>
      </c>
      <c r="B4" s="2">
        <v>46266</v>
      </c>
      <c r="AB4" s="2">
        <v>46268</v>
      </c>
      <c r="AC4" s="5">
        <v>1303.4482758620691</v>
      </c>
      <c r="AD4" s="5">
        <v>1238.01</v>
      </c>
      <c r="AE4" s="5">
        <v>161.99</v>
      </c>
    </row>
    <row r="5" spans="1:59" x14ac:dyDescent="0.2">
      <c r="A5" s="41" t="s">
        <v>910</v>
      </c>
      <c r="B5" s="2">
        <v>46295</v>
      </c>
      <c r="AB5" s="2">
        <v>46269</v>
      </c>
      <c r="AC5" s="5">
        <v>1255.172413793103</v>
      </c>
      <c r="AD5" s="5">
        <v>1238.01</v>
      </c>
      <c r="AE5" s="5">
        <v>161.99</v>
      </c>
    </row>
    <row r="6" spans="1:59" x14ac:dyDescent="0.2">
      <c r="A6" s="41" t="s">
        <v>911</v>
      </c>
      <c r="B6" t="s">
        <v>912</v>
      </c>
      <c r="AB6" s="2">
        <v>46270</v>
      </c>
      <c r="AC6" s="5">
        <v>1206.8965517241379</v>
      </c>
      <c r="AD6" s="5">
        <v>1238.01</v>
      </c>
      <c r="AE6" s="5">
        <v>161.99</v>
      </c>
    </row>
    <row r="7" spans="1:59" x14ac:dyDescent="0.2">
      <c r="A7" s="41" t="s">
        <v>614</v>
      </c>
      <c r="B7" t="s">
        <v>912</v>
      </c>
      <c r="AB7" s="2">
        <v>46271</v>
      </c>
      <c r="AC7" s="5">
        <v>1158.6206896551721</v>
      </c>
      <c r="AD7" s="5">
        <v>1140.8800000000001</v>
      </c>
      <c r="AE7" s="5">
        <v>259.12</v>
      </c>
    </row>
    <row r="8" spans="1:59" x14ac:dyDescent="0.2">
      <c r="A8" s="41" t="s">
        <v>893</v>
      </c>
      <c r="B8" s="5">
        <v>1400</v>
      </c>
      <c r="AB8" s="2">
        <v>46272</v>
      </c>
      <c r="AC8" s="5">
        <v>1110.344827586207</v>
      </c>
      <c r="AD8" s="5">
        <v>924.68000000000006</v>
      </c>
      <c r="AE8" s="5">
        <v>475.32</v>
      </c>
    </row>
    <row r="9" spans="1:59" x14ac:dyDescent="0.2">
      <c r="A9" s="41" t="s">
        <v>913</v>
      </c>
      <c r="B9" s="5">
        <v>785.48000000000013</v>
      </c>
      <c r="AB9" s="2">
        <v>46273</v>
      </c>
      <c r="AC9" s="5">
        <v>1062.0689655172409</v>
      </c>
      <c r="AD9" s="5">
        <v>924.68000000000006</v>
      </c>
      <c r="AE9" s="5">
        <v>475.32</v>
      </c>
    </row>
    <row r="10" spans="1:59" x14ac:dyDescent="0.2">
      <c r="A10" s="41" t="s">
        <v>914</v>
      </c>
      <c r="B10">
        <v>614.51999999999987</v>
      </c>
      <c r="AB10" s="2">
        <v>46274</v>
      </c>
      <c r="AC10" s="5">
        <v>1013.793103448276</v>
      </c>
      <c r="AD10" s="5">
        <v>911.38</v>
      </c>
      <c r="AE10" s="5">
        <v>488.62</v>
      </c>
    </row>
    <row r="11" spans="1:59" x14ac:dyDescent="0.2">
      <c r="A11" s="41" t="s">
        <v>915</v>
      </c>
      <c r="B11" s="2">
        <v>46285</v>
      </c>
      <c r="AB11" s="2">
        <v>46275</v>
      </c>
      <c r="AC11" s="5">
        <v>965.51724137931046</v>
      </c>
      <c r="AD11" s="5">
        <v>911.38</v>
      </c>
      <c r="AE11" s="5">
        <v>488.62</v>
      </c>
    </row>
    <row r="12" spans="1:59" x14ac:dyDescent="0.2">
      <c r="A12" s="41" t="s">
        <v>916</v>
      </c>
      <c r="B12" s="5">
        <v>917.24137931034477</v>
      </c>
      <c r="AB12" s="2">
        <v>46276</v>
      </c>
      <c r="AC12" s="5">
        <v>917.24137931034477</v>
      </c>
      <c r="AD12" s="5">
        <v>911.38</v>
      </c>
      <c r="AE12" s="5">
        <v>488.62</v>
      </c>
    </row>
    <row r="13" spans="1:59" x14ac:dyDescent="0.2">
      <c r="A13" s="41" t="s">
        <v>917</v>
      </c>
      <c r="B13" s="5">
        <v>785.48000000000013</v>
      </c>
      <c r="AB13" s="2">
        <v>46277</v>
      </c>
      <c r="AC13" s="5">
        <v>868.9655172413793</v>
      </c>
      <c r="AD13" s="5">
        <v>911.38</v>
      </c>
      <c r="AE13" s="5">
        <v>488.62</v>
      </c>
    </row>
    <row r="14" spans="1:59" x14ac:dyDescent="0.2">
      <c r="A14" s="41" t="s">
        <v>918</v>
      </c>
      <c r="B14" t="s">
        <v>919</v>
      </c>
      <c r="AB14" s="2">
        <v>46278</v>
      </c>
      <c r="AC14" s="5">
        <v>820.68965517241384</v>
      </c>
      <c r="AD14" s="5">
        <v>753.64999999999986</v>
      </c>
      <c r="AE14" s="5">
        <v>646.35000000000014</v>
      </c>
    </row>
    <row r="15" spans="1:59" x14ac:dyDescent="0.2">
      <c r="AB15" s="2">
        <v>46279</v>
      </c>
      <c r="AC15" s="5">
        <v>772.41379310344826</v>
      </c>
      <c r="AD15" s="5">
        <v>753.64999999999986</v>
      </c>
      <c r="AE15" s="5">
        <v>646.35000000000014</v>
      </c>
    </row>
    <row r="16" spans="1:59" ht="19" x14ac:dyDescent="0.25">
      <c r="A16" s="42" t="s">
        <v>920</v>
      </c>
      <c r="AB16" s="2">
        <v>46280</v>
      </c>
      <c r="AC16" s="5">
        <v>724.13793103448268</v>
      </c>
      <c r="AD16" s="5">
        <v>753.64999999999986</v>
      </c>
      <c r="AE16" s="5">
        <v>646.35000000000014</v>
      </c>
    </row>
    <row r="17" spans="10:31" x14ac:dyDescent="0.2">
      <c r="AB17" s="2">
        <v>46281</v>
      </c>
      <c r="AC17" s="5">
        <v>675.86206896551721</v>
      </c>
      <c r="AD17" s="5">
        <v>753.64999999999986</v>
      </c>
      <c r="AE17" s="5">
        <v>646.35000000000014</v>
      </c>
    </row>
    <row r="18" spans="10:31" ht="16" x14ac:dyDescent="0.2">
      <c r="J18" s="68" t="s">
        <v>921</v>
      </c>
      <c r="K18" s="64"/>
      <c r="L18" s="64"/>
      <c r="AB18" s="2">
        <v>46282</v>
      </c>
      <c r="AC18" s="5">
        <v>627.58620689655174</v>
      </c>
      <c r="AD18" s="5">
        <v>751.05999999999983</v>
      </c>
      <c r="AE18" s="5">
        <v>648.94000000000017</v>
      </c>
    </row>
    <row r="19" spans="10:31" x14ac:dyDescent="0.2">
      <c r="J19" s="40" t="s">
        <v>618</v>
      </c>
      <c r="K19" s="40" t="s">
        <v>0</v>
      </c>
      <c r="L19" s="40" t="s">
        <v>908</v>
      </c>
      <c r="AB19" s="2">
        <v>46283</v>
      </c>
      <c r="AC19" s="5">
        <v>579.31034482758628</v>
      </c>
      <c r="AD19" s="5">
        <v>688.02999999999986</v>
      </c>
      <c r="AE19" s="5">
        <v>711.97000000000014</v>
      </c>
    </row>
    <row r="20" spans="10:31" x14ac:dyDescent="0.2">
      <c r="J20" s="43">
        <v>1</v>
      </c>
      <c r="K20" t="s">
        <v>53</v>
      </c>
      <c r="L20" s="5">
        <v>17.87</v>
      </c>
      <c r="AB20" s="2">
        <v>46284</v>
      </c>
      <c r="AC20" s="5">
        <v>531.0344827586207</v>
      </c>
      <c r="AD20" s="5">
        <v>661.30999999999983</v>
      </c>
      <c r="AE20" s="5">
        <v>738.69000000000017</v>
      </c>
    </row>
    <row r="21" spans="10:31" x14ac:dyDescent="0.2">
      <c r="J21" s="44">
        <v>2</v>
      </c>
      <c r="K21" t="s">
        <v>34</v>
      </c>
      <c r="L21" s="5">
        <v>59.78</v>
      </c>
      <c r="AB21" s="2">
        <v>46285</v>
      </c>
      <c r="AC21" s="5">
        <v>482.75862068965517</v>
      </c>
      <c r="AD21" s="5">
        <v>614.51999999999987</v>
      </c>
      <c r="AE21" s="5">
        <v>785.48000000000013</v>
      </c>
    </row>
    <row r="22" spans="10:31" x14ac:dyDescent="0.2">
      <c r="J22" s="45">
        <v>3</v>
      </c>
      <c r="K22" t="s">
        <v>59</v>
      </c>
      <c r="L22" s="5">
        <v>31.81</v>
      </c>
      <c r="AB22" s="2">
        <v>46286</v>
      </c>
      <c r="AC22" s="5">
        <v>434.48275862068959</v>
      </c>
      <c r="AD22" s="5">
        <v>614.51999999999987</v>
      </c>
      <c r="AE22" s="5">
        <v>785.48000000000013</v>
      </c>
    </row>
    <row r="23" spans="10:31" x14ac:dyDescent="0.2">
      <c r="J23" s="46">
        <v>4</v>
      </c>
      <c r="K23" t="s">
        <v>51</v>
      </c>
      <c r="L23" s="5">
        <v>3.99</v>
      </c>
      <c r="AB23" s="2">
        <v>46287</v>
      </c>
      <c r="AC23" s="5">
        <v>386.20689655172413</v>
      </c>
      <c r="AD23" s="5">
        <v>614.51999999999987</v>
      </c>
      <c r="AE23" s="5">
        <v>785.48000000000013</v>
      </c>
    </row>
    <row r="24" spans="10:31" x14ac:dyDescent="0.2">
      <c r="J24" s="47">
        <v>5</v>
      </c>
      <c r="K24" t="s">
        <v>70</v>
      </c>
      <c r="L24" s="5">
        <v>19.48</v>
      </c>
      <c r="AB24" s="2">
        <v>46288</v>
      </c>
      <c r="AC24" s="5">
        <v>337.93103448275872</v>
      </c>
      <c r="AD24" s="5">
        <v>614.51999999999987</v>
      </c>
      <c r="AE24" s="5">
        <v>785.48000000000013</v>
      </c>
    </row>
    <row r="25" spans="10:31" x14ac:dyDescent="0.2">
      <c r="J25" s="48">
        <v>6</v>
      </c>
      <c r="K25" t="s">
        <v>112</v>
      </c>
      <c r="L25" s="5">
        <v>21.08</v>
      </c>
      <c r="AB25" s="2">
        <v>46289</v>
      </c>
      <c r="AC25" s="5">
        <v>289.65517241379308</v>
      </c>
      <c r="AD25" s="5">
        <v>614.51999999999987</v>
      </c>
      <c r="AE25" s="5">
        <v>785.48000000000013</v>
      </c>
    </row>
    <row r="26" spans="10:31" x14ac:dyDescent="0.2">
      <c r="J26" s="49">
        <v>7</v>
      </c>
      <c r="K26" t="s">
        <v>93</v>
      </c>
      <c r="L26" s="5">
        <v>-144.13999999999999</v>
      </c>
      <c r="AB26" s="2">
        <v>46290</v>
      </c>
      <c r="AC26" s="5">
        <v>241.37931034482759</v>
      </c>
      <c r="AD26" s="5">
        <v>614.51999999999987</v>
      </c>
      <c r="AE26" s="5">
        <v>785.48000000000013</v>
      </c>
    </row>
    <row r="27" spans="10:31" x14ac:dyDescent="0.2">
      <c r="J27" s="50">
        <v>8</v>
      </c>
      <c r="K27" t="s">
        <v>83</v>
      </c>
      <c r="L27" s="5">
        <v>137.88</v>
      </c>
      <c r="AB27" s="2">
        <v>46291</v>
      </c>
      <c r="AC27" s="5">
        <v>193.10344827586209</v>
      </c>
      <c r="AD27" s="5">
        <v>614.51999999999987</v>
      </c>
      <c r="AE27" s="5">
        <v>785.48000000000013</v>
      </c>
    </row>
    <row r="28" spans="10:31" x14ac:dyDescent="0.2">
      <c r="J28" s="51">
        <v>9</v>
      </c>
      <c r="K28" t="s">
        <v>47</v>
      </c>
      <c r="L28" s="5">
        <v>36.71</v>
      </c>
      <c r="AB28" s="2">
        <v>46292</v>
      </c>
      <c r="AC28" s="5">
        <v>144.82758620689651</v>
      </c>
      <c r="AD28" s="5">
        <v>614.51999999999987</v>
      </c>
      <c r="AE28" s="5">
        <v>785.48000000000013</v>
      </c>
    </row>
    <row r="29" spans="10:31" x14ac:dyDescent="0.2">
      <c r="J29" s="52">
        <v>10</v>
      </c>
      <c r="K29" t="s">
        <v>126</v>
      </c>
      <c r="L29" s="5">
        <v>8.1999999999999993</v>
      </c>
      <c r="AB29" s="2">
        <v>46293</v>
      </c>
      <c r="AC29" s="5">
        <v>96.551724137931075</v>
      </c>
      <c r="AD29" s="5">
        <v>614.51999999999987</v>
      </c>
      <c r="AE29" s="5">
        <v>785.48000000000013</v>
      </c>
    </row>
    <row r="30" spans="10:31" x14ac:dyDescent="0.2">
      <c r="J30" s="53">
        <v>11</v>
      </c>
      <c r="K30" t="s">
        <v>129</v>
      </c>
      <c r="L30" s="5">
        <v>30.69</v>
      </c>
      <c r="AB30" s="2">
        <v>46294</v>
      </c>
      <c r="AC30" s="5">
        <v>48.275862068965459</v>
      </c>
      <c r="AD30" s="5">
        <v>614.51999999999987</v>
      </c>
      <c r="AE30" s="5">
        <v>785.48000000000013</v>
      </c>
    </row>
    <row r="31" spans="10:31" x14ac:dyDescent="0.2">
      <c r="J31" s="54">
        <v>12</v>
      </c>
      <c r="K31" t="s">
        <v>164</v>
      </c>
      <c r="L31" s="5">
        <v>60.9</v>
      </c>
      <c r="AB31" s="2">
        <v>46295</v>
      </c>
      <c r="AC31" s="5">
        <v>0</v>
      </c>
      <c r="AD31" s="5">
        <v>614.51999999999987</v>
      </c>
      <c r="AE31" s="5">
        <v>785.48000000000013</v>
      </c>
    </row>
    <row r="32" spans="10:31" x14ac:dyDescent="0.2">
      <c r="J32" s="55">
        <v>13</v>
      </c>
      <c r="K32" t="s">
        <v>201</v>
      </c>
      <c r="L32" s="5">
        <v>0</v>
      </c>
    </row>
    <row r="33" spans="1:12" x14ac:dyDescent="0.2">
      <c r="J33" s="56">
        <v>14</v>
      </c>
      <c r="K33" t="s">
        <v>198</v>
      </c>
      <c r="L33" s="5">
        <v>14.05</v>
      </c>
    </row>
    <row r="34" spans="1:12" x14ac:dyDescent="0.2">
      <c r="J34" s="57">
        <v>15</v>
      </c>
      <c r="K34" t="s">
        <v>219</v>
      </c>
      <c r="L34" s="5">
        <v>0</v>
      </c>
    </row>
    <row r="35" spans="1:12" x14ac:dyDescent="0.2">
      <c r="J35" s="58">
        <v>16</v>
      </c>
      <c r="K35" t="s">
        <v>107</v>
      </c>
      <c r="L35" s="5">
        <v>110.57</v>
      </c>
    </row>
    <row r="36" spans="1:12" x14ac:dyDescent="0.2">
      <c r="J36" s="59">
        <v>17</v>
      </c>
      <c r="K36" t="s">
        <v>317</v>
      </c>
      <c r="L36" s="5">
        <v>0</v>
      </c>
    </row>
    <row r="37" spans="1:12" x14ac:dyDescent="0.2">
      <c r="J37" s="60">
        <v>18</v>
      </c>
      <c r="K37" t="s">
        <v>31</v>
      </c>
      <c r="L37" s="5">
        <v>76.929999999999993</v>
      </c>
    </row>
    <row r="38" spans="1:12" x14ac:dyDescent="0.2">
      <c r="J38" s="61">
        <v>19</v>
      </c>
      <c r="K38" t="s">
        <v>79</v>
      </c>
      <c r="L38" s="5">
        <v>25.94</v>
      </c>
    </row>
    <row r="39" spans="1:12" x14ac:dyDescent="0.2">
      <c r="J39" s="62">
        <v>20</v>
      </c>
      <c r="K39" t="s">
        <v>255</v>
      </c>
      <c r="L39" s="5">
        <v>71.789999999999992</v>
      </c>
    </row>
    <row r="40" spans="1:12" x14ac:dyDescent="0.2">
      <c r="J40" s="43">
        <v>21</v>
      </c>
      <c r="K40" t="s">
        <v>122</v>
      </c>
      <c r="L40" s="5">
        <v>127.81</v>
      </c>
    </row>
    <row r="41" spans="1:12" x14ac:dyDescent="0.2">
      <c r="J41" s="44">
        <v>22</v>
      </c>
      <c r="K41" t="s">
        <v>27</v>
      </c>
      <c r="L41" s="5">
        <v>29.22</v>
      </c>
    </row>
    <row r="42" spans="1:12" x14ac:dyDescent="0.2">
      <c r="J42" s="45">
        <v>23</v>
      </c>
      <c r="K42" t="s">
        <v>56</v>
      </c>
      <c r="L42" s="5">
        <v>30.54</v>
      </c>
    </row>
    <row r="43" spans="1:12" x14ac:dyDescent="0.2">
      <c r="J43" s="46">
        <v>24</v>
      </c>
      <c r="K43" t="s">
        <v>229</v>
      </c>
      <c r="L43" s="5">
        <v>0</v>
      </c>
    </row>
    <row r="44" spans="1:12" x14ac:dyDescent="0.2">
      <c r="J44" s="47">
        <v>25</v>
      </c>
      <c r="K44" t="s">
        <v>313</v>
      </c>
      <c r="L44" s="5">
        <v>14.38</v>
      </c>
    </row>
    <row r="47" spans="1:12" x14ac:dyDescent="0.2">
      <c r="A47" s="63" t="s">
        <v>922</v>
      </c>
      <c r="B47" s="64"/>
      <c r="C47" s="64"/>
      <c r="D47" s="64"/>
      <c r="E47" s="64"/>
      <c r="F47" s="64"/>
      <c r="G47" s="64"/>
      <c r="H47" s="64"/>
    </row>
    <row r="48" spans="1:12" x14ac:dyDescent="0.2">
      <c r="A48" s="64"/>
      <c r="B48" s="64"/>
      <c r="C48" s="64"/>
      <c r="D48" s="64"/>
      <c r="E48" s="64"/>
      <c r="F48" s="64"/>
      <c r="G48" s="64"/>
      <c r="H48" s="64"/>
    </row>
    <row r="49" spans="1:8" x14ac:dyDescent="0.2">
      <c r="A49" s="64"/>
      <c r="B49" s="64"/>
      <c r="C49" s="64"/>
      <c r="D49" s="64"/>
      <c r="E49" s="64"/>
      <c r="F49" s="64"/>
      <c r="G49" s="64"/>
      <c r="H49" s="64"/>
    </row>
  </sheetData>
  <mergeCells count="3">
    <mergeCell ref="J18:L18"/>
    <mergeCell ref="A47:H49"/>
    <mergeCell ref="A1:H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49"/>
  <sheetViews>
    <sheetView showGridLines="0" workbookViewId="0"/>
  </sheetViews>
  <sheetFormatPr baseColWidth="10" defaultColWidth="8.83203125" defaultRowHeight="15" x14ac:dyDescent="0.2"/>
  <cols>
    <col min="1" max="1" width="38" customWidth="1"/>
    <col min="2" max="2" width="48" customWidth="1"/>
    <col min="10" max="10" width="6" customWidth="1"/>
    <col min="11" max="11" width="28" customWidth="1"/>
    <col min="12" max="12" width="14" customWidth="1"/>
    <col min="28" max="59" width="16" customWidth="1"/>
  </cols>
  <sheetData>
    <row r="1" spans="1:59" ht="24" x14ac:dyDescent="0.3">
      <c r="A1" s="69" t="s">
        <v>923</v>
      </c>
      <c r="B1" s="64"/>
      <c r="C1" s="64"/>
      <c r="D1" s="64"/>
      <c r="E1" s="64"/>
      <c r="F1" s="64"/>
      <c r="G1" s="64"/>
      <c r="H1" s="64"/>
      <c r="AB1" s="40" t="s">
        <v>888</v>
      </c>
      <c r="AC1" s="40" t="s">
        <v>889</v>
      </c>
      <c r="AD1" s="40" t="s">
        <v>890</v>
      </c>
      <c r="AE1" s="40" t="s">
        <v>891</v>
      </c>
      <c r="AG1" s="40" t="s">
        <v>892</v>
      </c>
      <c r="AH1" s="40" t="s">
        <v>893</v>
      </c>
      <c r="AI1" s="40" t="s">
        <v>722</v>
      </c>
      <c r="AJ1" s="40" t="s">
        <v>720</v>
      </c>
      <c r="AK1" s="40" t="s">
        <v>719</v>
      </c>
      <c r="AL1" s="40" t="s">
        <v>735</v>
      </c>
      <c r="AM1" s="40" t="s">
        <v>736</v>
      </c>
      <c r="AN1" s="40" t="s">
        <v>717</v>
      </c>
      <c r="AO1" s="40" t="s">
        <v>716</v>
      </c>
      <c r="AP1" s="40" t="s">
        <v>737</v>
      </c>
      <c r="AQ1" s="40" t="s">
        <v>715</v>
      </c>
      <c r="AR1" s="40" t="s">
        <v>894</v>
      </c>
      <c r="AS1" s="40" t="s">
        <v>895</v>
      </c>
      <c r="AT1" s="40" t="s">
        <v>896</v>
      </c>
      <c r="AU1" s="40" t="s">
        <v>835</v>
      </c>
      <c r="AV1" s="40" t="s">
        <v>897</v>
      </c>
      <c r="AW1" s="40" t="s">
        <v>898</v>
      </c>
      <c r="AX1" s="40" t="s">
        <v>714</v>
      </c>
      <c r="AY1" s="40" t="s">
        <v>833</v>
      </c>
      <c r="AZ1" s="40" t="s">
        <v>899</v>
      </c>
      <c r="BA1" s="40" t="s">
        <v>900</v>
      </c>
      <c r="BB1" s="40" t="s">
        <v>901</v>
      </c>
      <c r="BC1" s="40" t="s">
        <v>902</v>
      </c>
      <c r="BD1" s="40" t="s">
        <v>903</v>
      </c>
      <c r="BE1" s="40" t="s">
        <v>904</v>
      </c>
      <c r="BF1" s="40" t="s">
        <v>905</v>
      </c>
      <c r="BG1" s="40" t="s">
        <v>906</v>
      </c>
    </row>
    <row r="2" spans="1:59" x14ac:dyDescent="0.2">
      <c r="AB2" s="2">
        <v>46266</v>
      </c>
      <c r="AC2" s="5">
        <v>233</v>
      </c>
      <c r="AD2" s="5">
        <v>233</v>
      </c>
      <c r="AE2" s="5">
        <v>0</v>
      </c>
      <c r="AG2" t="s">
        <v>893</v>
      </c>
      <c r="AH2" s="5">
        <v>233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</row>
    <row r="3" spans="1:59" x14ac:dyDescent="0.2">
      <c r="A3" s="41" t="s">
        <v>907</v>
      </c>
      <c r="B3" t="s">
        <v>923</v>
      </c>
      <c r="AB3" s="2">
        <v>46267</v>
      </c>
      <c r="AC3" s="5">
        <v>174.75</v>
      </c>
      <c r="AD3" s="5">
        <v>233</v>
      </c>
      <c r="AE3" s="5">
        <v>0</v>
      </c>
      <c r="AG3" t="s">
        <v>908</v>
      </c>
      <c r="AH3" s="5">
        <v>0</v>
      </c>
      <c r="AI3" s="5">
        <v>0</v>
      </c>
      <c r="AJ3" s="5">
        <v>0</v>
      </c>
      <c r="AK3" s="5">
        <v>6.79</v>
      </c>
      <c r="AL3" s="5">
        <v>0</v>
      </c>
      <c r="AM3" s="5">
        <v>0</v>
      </c>
      <c r="AN3" s="5">
        <v>0</v>
      </c>
      <c r="AO3" s="5">
        <v>0</v>
      </c>
      <c r="AP3" s="5">
        <v>26.16</v>
      </c>
      <c r="AQ3" s="5">
        <v>29.75</v>
      </c>
      <c r="AR3" s="5">
        <v>0</v>
      </c>
      <c r="AS3" s="5">
        <v>1.87</v>
      </c>
      <c r="AT3" s="5">
        <v>52.9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18.57</v>
      </c>
      <c r="BA3" s="5">
        <v>0</v>
      </c>
      <c r="BB3" s="5">
        <v>0</v>
      </c>
      <c r="BC3" s="5">
        <v>18.760000000000002</v>
      </c>
      <c r="BD3" s="5">
        <v>0</v>
      </c>
      <c r="BE3" s="5">
        <v>0</v>
      </c>
      <c r="BF3" s="5">
        <v>0</v>
      </c>
      <c r="BG3" s="5">
        <v>7.19</v>
      </c>
    </row>
    <row r="4" spans="1:59" x14ac:dyDescent="0.2">
      <c r="A4" s="41" t="s">
        <v>909</v>
      </c>
      <c r="B4" s="2">
        <v>46266</v>
      </c>
      <c r="AB4" s="2">
        <v>46268</v>
      </c>
      <c r="AC4" s="5">
        <v>116.5</v>
      </c>
      <c r="AD4" s="5">
        <v>71.009999999999991</v>
      </c>
      <c r="AE4" s="5">
        <v>161.99</v>
      </c>
    </row>
    <row r="5" spans="1:59" x14ac:dyDescent="0.2">
      <c r="A5" s="41" t="s">
        <v>910</v>
      </c>
      <c r="B5" s="2">
        <v>46270</v>
      </c>
      <c r="AB5" s="2">
        <v>46269</v>
      </c>
      <c r="AC5" s="5">
        <v>58.25</v>
      </c>
      <c r="AD5" s="5">
        <v>71.009999999999991</v>
      </c>
      <c r="AE5" s="5">
        <v>161.99</v>
      </c>
    </row>
    <row r="6" spans="1:59" x14ac:dyDescent="0.2">
      <c r="A6" s="41" t="s">
        <v>911</v>
      </c>
      <c r="B6" t="s">
        <v>912</v>
      </c>
      <c r="AB6" s="2">
        <v>46270</v>
      </c>
      <c r="AC6" s="5">
        <v>0</v>
      </c>
      <c r="AD6" s="5">
        <v>71.009999999999991</v>
      </c>
      <c r="AE6" s="5">
        <v>161.99</v>
      </c>
    </row>
    <row r="7" spans="1:59" x14ac:dyDescent="0.2">
      <c r="A7" s="41" t="s">
        <v>614</v>
      </c>
      <c r="B7" t="s">
        <v>912</v>
      </c>
    </row>
    <row r="8" spans="1:59" x14ac:dyDescent="0.2">
      <c r="A8" s="41" t="s">
        <v>893</v>
      </c>
      <c r="B8" s="5">
        <v>233</v>
      </c>
    </row>
    <row r="9" spans="1:59" x14ac:dyDescent="0.2">
      <c r="A9" s="41" t="s">
        <v>913</v>
      </c>
      <c r="B9" s="5">
        <v>161.99</v>
      </c>
    </row>
    <row r="10" spans="1:59" x14ac:dyDescent="0.2">
      <c r="A10" s="41" t="s">
        <v>914</v>
      </c>
      <c r="B10">
        <v>71.009999999999991</v>
      </c>
    </row>
    <row r="11" spans="1:59" x14ac:dyDescent="0.2">
      <c r="A11" s="41" t="s">
        <v>915</v>
      </c>
      <c r="B11" s="2">
        <v>46270</v>
      </c>
    </row>
    <row r="12" spans="1:59" x14ac:dyDescent="0.2">
      <c r="A12" s="41" t="s">
        <v>916</v>
      </c>
      <c r="B12" s="5">
        <v>233</v>
      </c>
    </row>
    <row r="13" spans="1:59" x14ac:dyDescent="0.2">
      <c r="A13" s="41" t="s">
        <v>917</v>
      </c>
      <c r="B13" s="5">
        <v>161.99</v>
      </c>
    </row>
    <row r="14" spans="1:59" x14ac:dyDescent="0.2">
      <c r="A14" s="41" t="s">
        <v>918</v>
      </c>
      <c r="B14" t="s">
        <v>924</v>
      </c>
    </row>
    <row r="16" spans="1:59" ht="19" x14ac:dyDescent="0.25">
      <c r="A16" s="42" t="s">
        <v>920</v>
      </c>
    </row>
    <row r="18" spans="10:12" ht="16" x14ac:dyDescent="0.2">
      <c r="J18" s="68" t="s">
        <v>921</v>
      </c>
      <c r="K18" s="64"/>
      <c r="L18" s="64"/>
    </row>
    <row r="19" spans="10:12" x14ac:dyDescent="0.2">
      <c r="J19" s="40" t="s">
        <v>618</v>
      </c>
      <c r="K19" s="40" t="s">
        <v>0</v>
      </c>
      <c r="L19" s="40" t="s">
        <v>908</v>
      </c>
    </row>
    <row r="20" spans="10:12" x14ac:dyDescent="0.2">
      <c r="J20" s="43">
        <v>1</v>
      </c>
      <c r="K20" t="s">
        <v>53</v>
      </c>
      <c r="L20" s="5">
        <v>0</v>
      </c>
    </row>
    <row r="21" spans="10:12" x14ac:dyDescent="0.2">
      <c r="J21" s="44">
        <v>2</v>
      </c>
      <c r="K21" t="s">
        <v>34</v>
      </c>
      <c r="L21" s="5">
        <v>0</v>
      </c>
    </row>
    <row r="22" spans="10:12" x14ac:dyDescent="0.2">
      <c r="J22" s="45">
        <v>3</v>
      </c>
      <c r="K22" t="s">
        <v>59</v>
      </c>
      <c r="L22" s="5">
        <v>6.79</v>
      </c>
    </row>
    <row r="23" spans="10:12" x14ac:dyDescent="0.2">
      <c r="J23" s="46">
        <v>4</v>
      </c>
      <c r="K23" t="s">
        <v>51</v>
      </c>
      <c r="L23" s="5">
        <v>0</v>
      </c>
    </row>
    <row r="24" spans="10:12" x14ac:dyDescent="0.2">
      <c r="J24" s="47">
        <v>5</v>
      </c>
      <c r="K24" t="s">
        <v>70</v>
      </c>
      <c r="L24" s="5">
        <v>0</v>
      </c>
    </row>
    <row r="25" spans="10:12" x14ac:dyDescent="0.2">
      <c r="J25" s="48">
        <v>6</v>
      </c>
      <c r="K25" t="s">
        <v>112</v>
      </c>
      <c r="L25" s="5">
        <v>0</v>
      </c>
    </row>
    <row r="26" spans="10:12" x14ac:dyDescent="0.2">
      <c r="J26" s="49">
        <v>7</v>
      </c>
      <c r="K26" t="s">
        <v>93</v>
      </c>
      <c r="L26" s="5">
        <v>0</v>
      </c>
    </row>
    <row r="27" spans="10:12" x14ac:dyDescent="0.2">
      <c r="J27" s="50">
        <v>8</v>
      </c>
      <c r="K27" t="s">
        <v>83</v>
      </c>
      <c r="L27" s="5">
        <v>26.16</v>
      </c>
    </row>
    <row r="28" spans="10:12" x14ac:dyDescent="0.2">
      <c r="J28" s="51">
        <v>9</v>
      </c>
      <c r="K28" t="s">
        <v>47</v>
      </c>
      <c r="L28" s="5">
        <v>29.75</v>
      </c>
    </row>
    <row r="29" spans="10:12" x14ac:dyDescent="0.2">
      <c r="J29" s="52">
        <v>10</v>
      </c>
      <c r="K29" t="s">
        <v>126</v>
      </c>
      <c r="L29" s="5">
        <v>0</v>
      </c>
    </row>
    <row r="30" spans="10:12" x14ac:dyDescent="0.2">
      <c r="J30" s="53">
        <v>11</v>
      </c>
      <c r="K30" t="s">
        <v>129</v>
      </c>
      <c r="L30" s="5">
        <v>1.87</v>
      </c>
    </row>
    <row r="31" spans="10:12" x14ac:dyDescent="0.2">
      <c r="J31" s="54">
        <v>12</v>
      </c>
      <c r="K31" t="s">
        <v>164</v>
      </c>
      <c r="L31" s="5">
        <v>52.9</v>
      </c>
    </row>
    <row r="32" spans="10:12" x14ac:dyDescent="0.2">
      <c r="J32" s="55">
        <v>13</v>
      </c>
      <c r="K32" t="s">
        <v>201</v>
      </c>
      <c r="L32" s="5">
        <v>0</v>
      </c>
    </row>
    <row r="33" spans="1:12" x14ac:dyDescent="0.2">
      <c r="J33" s="56">
        <v>14</v>
      </c>
      <c r="K33" t="s">
        <v>198</v>
      </c>
      <c r="L33" s="5">
        <v>0</v>
      </c>
    </row>
    <row r="34" spans="1:12" x14ac:dyDescent="0.2">
      <c r="J34" s="57">
        <v>15</v>
      </c>
      <c r="K34" t="s">
        <v>219</v>
      </c>
      <c r="L34" s="5">
        <v>0</v>
      </c>
    </row>
    <row r="35" spans="1:12" x14ac:dyDescent="0.2">
      <c r="J35" s="58">
        <v>16</v>
      </c>
      <c r="K35" t="s">
        <v>107</v>
      </c>
      <c r="L35" s="5">
        <v>0</v>
      </c>
    </row>
    <row r="36" spans="1:12" x14ac:dyDescent="0.2">
      <c r="J36" s="59">
        <v>17</v>
      </c>
      <c r="K36" t="s">
        <v>317</v>
      </c>
      <c r="L36" s="5">
        <v>0</v>
      </c>
    </row>
    <row r="37" spans="1:12" x14ac:dyDescent="0.2">
      <c r="J37" s="60">
        <v>18</v>
      </c>
      <c r="K37" t="s">
        <v>31</v>
      </c>
      <c r="L37" s="5">
        <v>18.57</v>
      </c>
    </row>
    <row r="38" spans="1:12" x14ac:dyDescent="0.2">
      <c r="J38" s="61">
        <v>19</v>
      </c>
      <c r="K38" t="s">
        <v>79</v>
      </c>
      <c r="L38" s="5">
        <v>0</v>
      </c>
    </row>
    <row r="39" spans="1:12" x14ac:dyDescent="0.2">
      <c r="J39" s="62">
        <v>20</v>
      </c>
      <c r="K39" t="s">
        <v>255</v>
      </c>
      <c r="L39" s="5">
        <v>0</v>
      </c>
    </row>
    <row r="40" spans="1:12" x14ac:dyDescent="0.2">
      <c r="J40" s="43">
        <v>21</v>
      </c>
      <c r="K40" t="s">
        <v>122</v>
      </c>
      <c r="L40" s="5">
        <v>18.760000000000002</v>
      </c>
    </row>
    <row r="41" spans="1:12" x14ac:dyDescent="0.2">
      <c r="J41" s="44">
        <v>22</v>
      </c>
      <c r="K41" t="s">
        <v>27</v>
      </c>
      <c r="L41" s="5">
        <v>0</v>
      </c>
    </row>
    <row r="42" spans="1:12" x14ac:dyDescent="0.2">
      <c r="J42" s="45">
        <v>23</v>
      </c>
      <c r="K42" t="s">
        <v>56</v>
      </c>
      <c r="L42" s="5">
        <v>0</v>
      </c>
    </row>
    <row r="43" spans="1:12" x14ac:dyDescent="0.2">
      <c r="J43" s="46">
        <v>24</v>
      </c>
      <c r="K43" t="s">
        <v>229</v>
      </c>
      <c r="L43" s="5">
        <v>0</v>
      </c>
    </row>
    <row r="44" spans="1:12" x14ac:dyDescent="0.2">
      <c r="J44" s="47">
        <v>25</v>
      </c>
      <c r="K44" t="s">
        <v>313</v>
      </c>
      <c r="L44" s="5">
        <v>7.19</v>
      </c>
    </row>
    <row r="47" spans="1:12" x14ac:dyDescent="0.2">
      <c r="A47" s="63" t="s">
        <v>922</v>
      </c>
      <c r="B47" s="64"/>
      <c r="C47" s="64"/>
      <c r="D47" s="64"/>
      <c r="E47" s="64"/>
      <c r="F47" s="64"/>
      <c r="G47" s="64"/>
      <c r="H47" s="64"/>
    </row>
    <row r="48" spans="1:12" x14ac:dyDescent="0.2">
      <c r="A48" s="64"/>
      <c r="B48" s="64"/>
      <c r="C48" s="64"/>
      <c r="D48" s="64"/>
      <c r="E48" s="64"/>
      <c r="F48" s="64"/>
      <c r="G48" s="64"/>
      <c r="H48" s="64"/>
    </row>
    <row r="49" spans="1:8" x14ac:dyDescent="0.2">
      <c r="A49" s="64"/>
      <c r="B49" s="64"/>
      <c r="C49" s="64"/>
      <c r="D49" s="64"/>
      <c r="E49" s="64"/>
      <c r="F49" s="64"/>
      <c r="G49" s="64"/>
      <c r="H49" s="64"/>
    </row>
  </sheetData>
  <mergeCells count="3">
    <mergeCell ref="J18:L18"/>
    <mergeCell ref="A47:H49"/>
    <mergeCell ref="A1:H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G49"/>
  <sheetViews>
    <sheetView showGridLines="0" workbookViewId="0"/>
  </sheetViews>
  <sheetFormatPr baseColWidth="10" defaultColWidth="8.83203125" defaultRowHeight="15" x14ac:dyDescent="0.2"/>
  <cols>
    <col min="1" max="1" width="38" customWidth="1"/>
    <col min="2" max="2" width="48" customWidth="1"/>
    <col min="10" max="10" width="6" customWidth="1"/>
    <col min="11" max="11" width="28" customWidth="1"/>
    <col min="12" max="12" width="14" customWidth="1"/>
    <col min="28" max="59" width="16" customWidth="1"/>
  </cols>
  <sheetData>
    <row r="1" spans="1:59" ht="24" x14ac:dyDescent="0.3">
      <c r="A1" s="69" t="s">
        <v>925</v>
      </c>
      <c r="B1" s="64"/>
      <c r="C1" s="64"/>
      <c r="D1" s="64"/>
      <c r="E1" s="64"/>
      <c r="F1" s="64"/>
      <c r="G1" s="64"/>
      <c r="H1" s="64"/>
      <c r="AB1" s="40" t="s">
        <v>888</v>
      </c>
      <c r="AC1" s="40" t="s">
        <v>889</v>
      </c>
      <c r="AD1" s="40" t="s">
        <v>890</v>
      </c>
      <c r="AE1" s="40" t="s">
        <v>891</v>
      </c>
      <c r="AG1" s="40" t="s">
        <v>892</v>
      </c>
      <c r="AH1" s="40" t="s">
        <v>893</v>
      </c>
      <c r="AI1" s="40" t="s">
        <v>722</v>
      </c>
      <c r="AJ1" s="40" t="s">
        <v>720</v>
      </c>
      <c r="AK1" s="40" t="s">
        <v>719</v>
      </c>
      <c r="AL1" s="40" t="s">
        <v>735</v>
      </c>
      <c r="AM1" s="40" t="s">
        <v>736</v>
      </c>
      <c r="AN1" s="40" t="s">
        <v>717</v>
      </c>
      <c r="AO1" s="40" t="s">
        <v>716</v>
      </c>
      <c r="AP1" s="40" t="s">
        <v>737</v>
      </c>
      <c r="AQ1" s="40" t="s">
        <v>715</v>
      </c>
      <c r="AR1" s="40" t="s">
        <v>894</v>
      </c>
      <c r="AS1" s="40" t="s">
        <v>895</v>
      </c>
      <c r="AT1" s="40" t="s">
        <v>896</v>
      </c>
      <c r="AU1" s="40" t="s">
        <v>835</v>
      </c>
      <c r="AV1" s="40" t="s">
        <v>897</v>
      </c>
      <c r="AW1" s="40" t="s">
        <v>898</v>
      </c>
      <c r="AX1" s="40" t="s">
        <v>714</v>
      </c>
      <c r="AY1" s="40" t="s">
        <v>833</v>
      </c>
      <c r="AZ1" s="40" t="s">
        <v>899</v>
      </c>
      <c r="BA1" s="40" t="s">
        <v>900</v>
      </c>
      <c r="BB1" s="40" t="s">
        <v>901</v>
      </c>
      <c r="BC1" s="40" t="s">
        <v>902</v>
      </c>
      <c r="BD1" s="40" t="s">
        <v>903</v>
      </c>
      <c r="BE1" s="40" t="s">
        <v>904</v>
      </c>
      <c r="BF1" s="40" t="s">
        <v>905</v>
      </c>
      <c r="BG1" s="40" t="s">
        <v>906</v>
      </c>
    </row>
    <row r="2" spans="1:59" x14ac:dyDescent="0.2">
      <c r="AB2" s="2">
        <v>46271</v>
      </c>
      <c r="AC2" s="5">
        <v>326</v>
      </c>
      <c r="AD2" s="5">
        <v>228.87</v>
      </c>
      <c r="AE2" s="5">
        <v>97.13000000000001</v>
      </c>
      <c r="AG2" t="s">
        <v>893</v>
      </c>
      <c r="AH2" s="5">
        <v>326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</row>
    <row r="3" spans="1:59" x14ac:dyDescent="0.2">
      <c r="A3" s="41" t="s">
        <v>907</v>
      </c>
      <c r="B3" t="s">
        <v>925</v>
      </c>
      <c r="AB3" s="2">
        <v>46272</v>
      </c>
      <c r="AC3" s="5">
        <v>271.66666666666669</v>
      </c>
      <c r="AD3" s="5">
        <v>12.670000000000019</v>
      </c>
      <c r="AE3" s="5">
        <v>313.33</v>
      </c>
      <c r="AG3" t="s">
        <v>908</v>
      </c>
      <c r="AH3" s="5">
        <v>0</v>
      </c>
      <c r="AI3" s="5">
        <v>0</v>
      </c>
      <c r="AJ3" s="5">
        <v>0</v>
      </c>
      <c r="AK3" s="5">
        <v>15.77</v>
      </c>
      <c r="AL3" s="5">
        <v>0</v>
      </c>
      <c r="AM3" s="5">
        <v>0</v>
      </c>
      <c r="AN3" s="5">
        <v>7.17</v>
      </c>
      <c r="AO3" s="5">
        <v>0</v>
      </c>
      <c r="AP3" s="5">
        <v>38.53</v>
      </c>
      <c r="AQ3" s="5">
        <v>6.9600000000000009</v>
      </c>
      <c r="AR3" s="5">
        <v>3.32</v>
      </c>
      <c r="AS3" s="5">
        <v>1.56</v>
      </c>
      <c r="AT3" s="5">
        <v>8</v>
      </c>
      <c r="AU3" s="5">
        <v>0</v>
      </c>
      <c r="AV3" s="5">
        <v>12.78</v>
      </c>
      <c r="AW3" s="5">
        <v>0</v>
      </c>
      <c r="AX3" s="5">
        <v>104.83</v>
      </c>
      <c r="AY3" s="5">
        <v>0</v>
      </c>
      <c r="AZ3" s="5">
        <v>0.99</v>
      </c>
      <c r="BA3" s="5">
        <v>0</v>
      </c>
      <c r="BB3" s="5">
        <v>69.199999999999989</v>
      </c>
      <c r="BC3" s="5">
        <v>46.66</v>
      </c>
      <c r="BD3" s="5">
        <v>6.97</v>
      </c>
      <c r="BE3" s="5">
        <v>3.89</v>
      </c>
      <c r="BF3" s="5">
        <v>0</v>
      </c>
      <c r="BG3" s="5">
        <v>0</v>
      </c>
    </row>
    <row r="4" spans="1:59" x14ac:dyDescent="0.2">
      <c r="A4" s="41" t="s">
        <v>909</v>
      </c>
      <c r="B4" s="2">
        <v>46271</v>
      </c>
      <c r="AB4" s="2">
        <v>46273</v>
      </c>
      <c r="AC4" s="5">
        <v>217.3333333333334</v>
      </c>
      <c r="AD4" s="5">
        <v>12.670000000000019</v>
      </c>
      <c r="AE4" s="5">
        <v>313.33</v>
      </c>
    </row>
    <row r="5" spans="1:59" x14ac:dyDescent="0.2">
      <c r="A5" s="41" t="s">
        <v>910</v>
      </c>
      <c r="B5" s="2">
        <v>46277</v>
      </c>
      <c r="AB5" s="2">
        <v>46274</v>
      </c>
      <c r="AC5" s="5">
        <v>163</v>
      </c>
      <c r="AD5" s="5">
        <v>-0.62999999999999545</v>
      </c>
      <c r="AE5" s="5">
        <v>326.63</v>
      </c>
    </row>
    <row r="6" spans="1:59" x14ac:dyDescent="0.2">
      <c r="A6" s="41" t="s">
        <v>911</v>
      </c>
      <c r="B6" t="s">
        <v>912</v>
      </c>
      <c r="AB6" s="2">
        <v>46275</v>
      </c>
      <c r="AC6" s="5">
        <v>108.6666666666667</v>
      </c>
      <c r="AD6" s="5">
        <v>-0.62999999999999545</v>
      </c>
      <c r="AE6" s="5">
        <v>326.63</v>
      </c>
    </row>
    <row r="7" spans="1:59" x14ac:dyDescent="0.2">
      <c r="A7" s="41" t="s">
        <v>614</v>
      </c>
      <c r="B7" t="s">
        <v>912</v>
      </c>
      <c r="AB7" s="2">
        <v>46276</v>
      </c>
      <c r="AC7" s="5">
        <v>54.333333333333321</v>
      </c>
      <c r="AD7" s="5">
        <v>-0.62999999999999545</v>
      </c>
      <c r="AE7" s="5">
        <v>326.63</v>
      </c>
    </row>
    <row r="8" spans="1:59" x14ac:dyDescent="0.2">
      <c r="A8" s="41" t="s">
        <v>893</v>
      </c>
      <c r="B8" s="5">
        <v>326</v>
      </c>
      <c r="AB8" s="2">
        <v>46277</v>
      </c>
      <c r="AC8" s="5">
        <v>0</v>
      </c>
      <c r="AD8" s="5">
        <v>-0.62999999999999545</v>
      </c>
      <c r="AE8" s="5">
        <v>326.63</v>
      </c>
    </row>
    <row r="9" spans="1:59" x14ac:dyDescent="0.2">
      <c r="A9" s="41" t="s">
        <v>913</v>
      </c>
      <c r="B9" s="5">
        <v>326.63</v>
      </c>
    </row>
    <row r="10" spans="1:59" x14ac:dyDescent="0.2">
      <c r="A10" s="41" t="s">
        <v>914</v>
      </c>
      <c r="B10">
        <v>-0.62999999999999545</v>
      </c>
    </row>
    <row r="11" spans="1:59" x14ac:dyDescent="0.2">
      <c r="A11" s="41" t="s">
        <v>915</v>
      </c>
      <c r="B11" s="2">
        <v>46277</v>
      </c>
    </row>
    <row r="12" spans="1:59" x14ac:dyDescent="0.2">
      <c r="A12" s="41" t="s">
        <v>916</v>
      </c>
      <c r="B12" s="5">
        <v>326</v>
      </c>
    </row>
    <row r="13" spans="1:59" x14ac:dyDescent="0.2">
      <c r="A13" s="41" t="s">
        <v>917</v>
      </c>
      <c r="B13" s="5">
        <v>326.63</v>
      </c>
    </row>
    <row r="14" spans="1:59" x14ac:dyDescent="0.2">
      <c r="A14" s="41" t="s">
        <v>918</v>
      </c>
      <c r="B14" t="s">
        <v>926</v>
      </c>
    </row>
    <row r="16" spans="1:59" ht="19" x14ac:dyDescent="0.25">
      <c r="A16" s="42" t="s">
        <v>920</v>
      </c>
    </row>
    <row r="18" spans="10:12" ht="16" x14ac:dyDescent="0.2">
      <c r="J18" s="68" t="s">
        <v>921</v>
      </c>
      <c r="K18" s="64"/>
      <c r="L18" s="64"/>
    </row>
    <row r="19" spans="10:12" x14ac:dyDescent="0.2">
      <c r="J19" s="40" t="s">
        <v>618</v>
      </c>
      <c r="K19" s="40" t="s">
        <v>0</v>
      </c>
      <c r="L19" s="40" t="s">
        <v>908</v>
      </c>
    </row>
    <row r="20" spans="10:12" x14ac:dyDescent="0.2">
      <c r="J20" s="43">
        <v>1</v>
      </c>
      <c r="K20" t="s">
        <v>53</v>
      </c>
      <c r="L20" s="5">
        <v>0</v>
      </c>
    </row>
    <row r="21" spans="10:12" x14ac:dyDescent="0.2">
      <c r="J21" s="44">
        <v>2</v>
      </c>
      <c r="K21" t="s">
        <v>34</v>
      </c>
      <c r="L21" s="5">
        <v>0</v>
      </c>
    </row>
    <row r="22" spans="10:12" x14ac:dyDescent="0.2">
      <c r="J22" s="45">
        <v>3</v>
      </c>
      <c r="K22" t="s">
        <v>59</v>
      </c>
      <c r="L22" s="5">
        <v>15.77</v>
      </c>
    </row>
    <row r="23" spans="10:12" x14ac:dyDescent="0.2">
      <c r="J23" s="46">
        <v>4</v>
      </c>
      <c r="K23" t="s">
        <v>51</v>
      </c>
      <c r="L23" s="5">
        <v>0</v>
      </c>
    </row>
    <row r="24" spans="10:12" x14ac:dyDescent="0.2">
      <c r="J24" s="47">
        <v>5</v>
      </c>
      <c r="K24" t="s">
        <v>70</v>
      </c>
      <c r="L24" s="5">
        <v>0</v>
      </c>
    </row>
    <row r="25" spans="10:12" x14ac:dyDescent="0.2">
      <c r="J25" s="48">
        <v>6</v>
      </c>
      <c r="K25" t="s">
        <v>112</v>
      </c>
      <c r="L25" s="5">
        <v>7.17</v>
      </c>
    </row>
    <row r="26" spans="10:12" x14ac:dyDescent="0.2">
      <c r="J26" s="49">
        <v>7</v>
      </c>
      <c r="K26" t="s">
        <v>93</v>
      </c>
      <c r="L26" s="5">
        <v>0</v>
      </c>
    </row>
    <row r="27" spans="10:12" x14ac:dyDescent="0.2">
      <c r="J27" s="50">
        <v>8</v>
      </c>
      <c r="K27" t="s">
        <v>83</v>
      </c>
      <c r="L27" s="5">
        <v>38.53</v>
      </c>
    </row>
    <row r="28" spans="10:12" x14ac:dyDescent="0.2">
      <c r="J28" s="51">
        <v>9</v>
      </c>
      <c r="K28" t="s">
        <v>47</v>
      </c>
      <c r="L28" s="5">
        <v>6.9600000000000009</v>
      </c>
    </row>
    <row r="29" spans="10:12" x14ac:dyDescent="0.2">
      <c r="J29" s="52">
        <v>10</v>
      </c>
      <c r="K29" t="s">
        <v>126</v>
      </c>
      <c r="L29" s="5">
        <v>3.32</v>
      </c>
    </row>
    <row r="30" spans="10:12" x14ac:dyDescent="0.2">
      <c r="J30" s="53">
        <v>11</v>
      </c>
      <c r="K30" t="s">
        <v>129</v>
      </c>
      <c r="L30" s="5">
        <v>1.56</v>
      </c>
    </row>
    <row r="31" spans="10:12" x14ac:dyDescent="0.2">
      <c r="J31" s="54">
        <v>12</v>
      </c>
      <c r="K31" t="s">
        <v>164</v>
      </c>
      <c r="L31" s="5">
        <v>8</v>
      </c>
    </row>
    <row r="32" spans="10:12" x14ac:dyDescent="0.2">
      <c r="J32" s="55">
        <v>13</v>
      </c>
      <c r="K32" t="s">
        <v>201</v>
      </c>
      <c r="L32" s="5">
        <v>0</v>
      </c>
    </row>
    <row r="33" spans="1:12" x14ac:dyDescent="0.2">
      <c r="J33" s="56">
        <v>14</v>
      </c>
      <c r="K33" t="s">
        <v>198</v>
      </c>
      <c r="L33" s="5">
        <v>12.78</v>
      </c>
    </row>
    <row r="34" spans="1:12" x14ac:dyDescent="0.2">
      <c r="J34" s="57">
        <v>15</v>
      </c>
      <c r="K34" t="s">
        <v>219</v>
      </c>
      <c r="L34" s="5">
        <v>0</v>
      </c>
    </row>
    <row r="35" spans="1:12" x14ac:dyDescent="0.2">
      <c r="J35" s="58">
        <v>16</v>
      </c>
      <c r="K35" t="s">
        <v>107</v>
      </c>
      <c r="L35" s="5">
        <v>104.83</v>
      </c>
    </row>
    <row r="36" spans="1:12" x14ac:dyDescent="0.2">
      <c r="J36" s="59">
        <v>17</v>
      </c>
      <c r="K36" t="s">
        <v>317</v>
      </c>
      <c r="L36" s="5">
        <v>0</v>
      </c>
    </row>
    <row r="37" spans="1:12" x14ac:dyDescent="0.2">
      <c r="J37" s="60">
        <v>18</v>
      </c>
      <c r="K37" t="s">
        <v>31</v>
      </c>
      <c r="L37" s="5">
        <v>0.99</v>
      </c>
    </row>
    <row r="38" spans="1:12" x14ac:dyDescent="0.2">
      <c r="J38" s="61">
        <v>19</v>
      </c>
      <c r="K38" t="s">
        <v>79</v>
      </c>
      <c r="L38" s="5">
        <v>0</v>
      </c>
    </row>
    <row r="39" spans="1:12" x14ac:dyDescent="0.2">
      <c r="J39" s="62">
        <v>20</v>
      </c>
      <c r="K39" t="s">
        <v>255</v>
      </c>
      <c r="L39" s="5">
        <v>69.199999999999989</v>
      </c>
    </row>
    <row r="40" spans="1:12" x14ac:dyDescent="0.2">
      <c r="J40" s="43">
        <v>21</v>
      </c>
      <c r="K40" t="s">
        <v>122</v>
      </c>
      <c r="L40" s="5">
        <v>46.66</v>
      </c>
    </row>
    <row r="41" spans="1:12" x14ac:dyDescent="0.2">
      <c r="J41" s="44">
        <v>22</v>
      </c>
      <c r="K41" t="s">
        <v>27</v>
      </c>
      <c r="L41" s="5">
        <v>6.97</v>
      </c>
    </row>
    <row r="42" spans="1:12" x14ac:dyDescent="0.2">
      <c r="J42" s="45">
        <v>23</v>
      </c>
      <c r="K42" t="s">
        <v>56</v>
      </c>
      <c r="L42" s="5">
        <v>3.89</v>
      </c>
    </row>
    <row r="43" spans="1:12" x14ac:dyDescent="0.2">
      <c r="J43" s="46">
        <v>24</v>
      </c>
      <c r="K43" t="s">
        <v>229</v>
      </c>
      <c r="L43" s="5">
        <v>0</v>
      </c>
    </row>
    <row r="44" spans="1:12" x14ac:dyDescent="0.2">
      <c r="J44" s="47">
        <v>25</v>
      </c>
      <c r="K44" t="s">
        <v>313</v>
      </c>
      <c r="L44" s="5">
        <v>0</v>
      </c>
    </row>
    <row r="47" spans="1:12" x14ac:dyDescent="0.2">
      <c r="A47" s="63" t="s">
        <v>922</v>
      </c>
      <c r="B47" s="64"/>
      <c r="C47" s="64"/>
      <c r="D47" s="64"/>
      <c r="E47" s="64"/>
      <c r="F47" s="64"/>
      <c r="G47" s="64"/>
      <c r="H47" s="64"/>
    </row>
    <row r="48" spans="1:12" x14ac:dyDescent="0.2">
      <c r="A48" s="64"/>
      <c r="B48" s="64"/>
      <c r="C48" s="64"/>
      <c r="D48" s="64"/>
      <c r="E48" s="64"/>
      <c r="F48" s="64"/>
      <c r="G48" s="64"/>
      <c r="H48" s="64"/>
    </row>
    <row r="49" spans="1:8" x14ac:dyDescent="0.2">
      <c r="A49" s="64"/>
      <c r="B49" s="64"/>
      <c r="C49" s="64"/>
      <c r="D49" s="64"/>
      <c r="E49" s="64"/>
      <c r="F49" s="64"/>
      <c r="G49" s="64"/>
      <c r="H49" s="64"/>
    </row>
  </sheetData>
  <mergeCells count="3">
    <mergeCell ref="J18:L18"/>
    <mergeCell ref="A47:H49"/>
    <mergeCell ref="A1:H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G49"/>
  <sheetViews>
    <sheetView showGridLines="0" workbookViewId="0"/>
  </sheetViews>
  <sheetFormatPr baseColWidth="10" defaultColWidth="8.83203125" defaultRowHeight="15" x14ac:dyDescent="0.2"/>
  <cols>
    <col min="1" max="1" width="38" customWidth="1"/>
    <col min="2" max="2" width="48" customWidth="1"/>
    <col min="10" max="10" width="6" customWidth="1"/>
    <col min="11" max="11" width="28" customWidth="1"/>
    <col min="12" max="12" width="14" customWidth="1"/>
    <col min="28" max="59" width="16" customWidth="1"/>
  </cols>
  <sheetData>
    <row r="1" spans="1:59" ht="24" x14ac:dyDescent="0.3">
      <c r="A1" s="69" t="s">
        <v>927</v>
      </c>
      <c r="B1" s="64"/>
      <c r="C1" s="64"/>
      <c r="D1" s="64"/>
      <c r="E1" s="64"/>
      <c r="F1" s="64"/>
      <c r="G1" s="64"/>
      <c r="H1" s="64"/>
      <c r="AB1" s="40" t="s">
        <v>888</v>
      </c>
      <c r="AC1" s="40" t="s">
        <v>889</v>
      </c>
      <c r="AD1" s="40" t="s">
        <v>890</v>
      </c>
      <c r="AE1" s="40" t="s">
        <v>891</v>
      </c>
      <c r="AG1" s="40" t="s">
        <v>892</v>
      </c>
      <c r="AH1" s="40" t="s">
        <v>893</v>
      </c>
      <c r="AI1" s="40" t="s">
        <v>722</v>
      </c>
      <c r="AJ1" s="40" t="s">
        <v>720</v>
      </c>
      <c r="AK1" s="40" t="s">
        <v>719</v>
      </c>
      <c r="AL1" s="40" t="s">
        <v>735</v>
      </c>
      <c r="AM1" s="40" t="s">
        <v>736</v>
      </c>
      <c r="AN1" s="40" t="s">
        <v>717</v>
      </c>
      <c r="AO1" s="40" t="s">
        <v>716</v>
      </c>
      <c r="AP1" s="40" t="s">
        <v>737</v>
      </c>
      <c r="AQ1" s="40" t="s">
        <v>715</v>
      </c>
      <c r="AR1" s="40" t="s">
        <v>894</v>
      </c>
      <c r="AS1" s="40" t="s">
        <v>895</v>
      </c>
      <c r="AT1" s="40" t="s">
        <v>896</v>
      </c>
      <c r="AU1" s="40" t="s">
        <v>835</v>
      </c>
      <c r="AV1" s="40" t="s">
        <v>897</v>
      </c>
      <c r="AW1" s="40" t="s">
        <v>898</v>
      </c>
      <c r="AX1" s="40" t="s">
        <v>714</v>
      </c>
      <c r="AY1" s="40" t="s">
        <v>833</v>
      </c>
      <c r="AZ1" s="40" t="s">
        <v>899</v>
      </c>
      <c r="BA1" s="40" t="s">
        <v>900</v>
      </c>
      <c r="BB1" s="40" t="s">
        <v>901</v>
      </c>
      <c r="BC1" s="40" t="s">
        <v>902</v>
      </c>
      <c r="BD1" s="40" t="s">
        <v>903</v>
      </c>
      <c r="BE1" s="40" t="s">
        <v>904</v>
      </c>
      <c r="BF1" s="40" t="s">
        <v>905</v>
      </c>
      <c r="BG1" s="40" t="s">
        <v>906</v>
      </c>
    </row>
    <row r="2" spans="1:59" x14ac:dyDescent="0.2">
      <c r="AB2" s="2">
        <v>46278</v>
      </c>
      <c r="AC2" s="5">
        <v>326</v>
      </c>
      <c r="AD2" s="5">
        <v>168.2699999999999</v>
      </c>
      <c r="AE2" s="5">
        <v>157.7300000000001</v>
      </c>
      <c r="AG2" t="s">
        <v>893</v>
      </c>
      <c r="AH2" s="5">
        <v>326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</row>
    <row r="3" spans="1:59" x14ac:dyDescent="0.2">
      <c r="A3" s="41" t="s">
        <v>907</v>
      </c>
      <c r="B3" t="s">
        <v>927</v>
      </c>
      <c r="AB3" s="2">
        <v>46279</v>
      </c>
      <c r="AC3" s="5">
        <v>271.66666666666669</v>
      </c>
      <c r="AD3" s="5">
        <v>168.2699999999999</v>
      </c>
      <c r="AE3" s="5">
        <v>157.7300000000001</v>
      </c>
      <c r="AG3" t="s">
        <v>908</v>
      </c>
      <c r="AH3" s="5">
        <v>0</v>
      </c>
      <c r="AI3" s="5">
        <v>17.87</v>
      </c>
      <c r="AJ3" s="5">
        <v>12.99</v>
      </c>
      <c r="AK3" s="5">
        <v>9.25</v>
      </c>
      <c r="AL3" s="5">
        <v>3.99</v>
      </c>
      <c r="AM3" s="5">
        <v>19.48</v>
      </c>
      <c r="AN3" s="5">
        <v>13.91</v>
      </c>
      <c r="AO3" s="5">
        <v>-144.13999999999999</v>
      </c>
      <c r="AP3" s="5">
        <v>73.19</v>
      </c>
      <c r="AQ3" s="5">
        <v>0</v>
      </c>
      <c r="AR3" s="5">
        <v>4.88</v>
      </c>
      <c r="AS3" s="5">
        <v>27.26</v>
      </c>
      <c r="AT3" s="5">
        <v>0</v>
      </c>
      <c r="AU3" s="5">
        <v>0</v>
      </c>
      <c r="AV3" s="5">
        <v>1.27</v>
      </c>
      <c r="AW3" s="5">
        <v>0</v>
      </c>
      <c r="AX3" s="5">
        <v>5.74</v>
      </c>
      <c r="AY3" s="5">
        <v>0</v>
      </c>
      <c r="AZ3" s="5">
        <v>57.37</v>
      </c>
      <c r="BA3" s="5">
        <v>25.94</v>
      </c>
      <c r="BB3" s="5">
        <v>2.59</v>
      </c>
      <c r="BC3" s="5">
        <v>62.389999999999993</v>
      </c>
      <c r="BD3" s="5">
        <v>22.25</v>
      </c>
      <c r="BE3" s="5">
        <v>26.65</v>
      </c>
      <c r="BF3" s="5">
        <v>0</v>
      </c>
      <c r="BG3" s="5">
        <v>7.19</v>
      </c>
    </row>
    <row r="4" spans="1:59" x14ac:dyDescent="0.2">
      <c r="A4" s="41" t="s">
        <v>909</v>
      </c>
      <c r="B4" s="2">
        <v>46278</v>
      </c>
      <c r="AB4" s="2">
        <v>46280</v>
      </c>
      <c r="AC4" s="5">
        <v>217.3333333333334</v>
      </c>
      <c r="AD4" s="5">
        <v>168.2699999999999</v>
      </c>
      <c r="AE4" s="5">
        <v>157.7300000000001</v>
      </c>
    </row>
    <row r="5" spans="1:59" x14ac:dyDescent="0.2">
      <c r="A5" s="41" t="s">
        <v>910</v>
      </c>
      <c r="B5" s="2">
        <v>46284</v>
      </c>
      <c r="AB5" s="2">
        <v>46281</v>
      </c>
      <c r="AC5" s="5">
        <v>163</v>
      </c>
      <c r="AD5" s="5">
        <v>168.2699999999999</v>
      </c>
      <c r="AE5" s="5">
        <v>157.7300000000001</v>
      </c>
    </row>
    <row r="6" spans="1:59" x14ac:dyDescent="0.2">
      <c r="A6" s="41" t="s">
        <v>911</v>
      </c>
      <c r="B6" t="s">
        <v>912</v>
      </c>
      <c r="AB6" s="2">
        <v>46282</v>
      </c>
      <c r="AC6" s="5">
        <v>108.6666666666667</v>
      </c>
      <c r="AD6" s="5">
        <v>165.67999999999989</v>
      </c>
      <c r="AE6" s="5">
        <v>160.32000000000011</v>
      </c>
    </row>
    <row r="7" spans="1:59" x14ac:dyDescent="0.2">
      <c r="A7" s="41" t="s">
        <v>614</v>
      </c>
      <c r="B7" t="s">
        <v>912</v>
      </c>
      <c r="AB7" s="2">
        <v>46283</v>
      </c>
      <c r="AC7" s="5">
        <v>54.333333333333321</v>
      </c>
      <c r="AD7" s="5">
        <v>102.64999999999991</v>
      </c>
      <c r="AE7" s="5">
        <v>223.35000000000011</v>
      </c>
    </row>
    <row r="8" spans="1:59" x14ac:dyDescent="0.2">
      <c r="A8" s="41" t="s">
        <v>893</v>
      </c>
      <c r="B8" s="5">
        <v>326</v>
      </c>
      <c r="AB8" s="2">
        <v>46284</v>
      </c>
      <c r="AC8" s="5">
        <v>0</v>
      </c>
      <c r="AD8" s="5">
        <v>75.929999999999922</v>
      </c>
      <c r="AE8" s="5">
        <v>250.07000000000011</v>
      </c>
    </row>
    <row r="9" spans="1:59" x14ac:dyDescent="0.2">
      <c r="A9" s="41" t="s">
        <v>913</v>
      </c>
      <c r="B9" s="5">
        <v>250.07000000000011</v>
      </c>
    </row>
    <row r="10" spans="1:59" x14ac:dyDescent="0.2">
      <c r="A10" s="41" t="s">
        <v>914</v>
      </c>
      <c r="B10">
        <v>75.929999999999922</v>
      </c>
    </row>
    <row r="11" spans="1:59" x14ac:dyDescent="0.2">
      <c r="A11" s="41" t="s">
        <v>915</v>
      </c>
      <c r="B11" s="2">
        <v>46284</v>
      </c>
    </row>
    <row r="12" spans="1:59" x14ac:dyDescent="0.2">
      <c r="A12" s="41" t="s">
        <v>916</v>
      </c>
      <c r="B12" s="5">
        <v>326</v>
      </c>
    </row>
    <row r="13" spans="1:59" x14ac:dyDescent="0.2">
      <c r="A13" s="41" t="s">
        <v>917</v>
      </c>
      <c r="B13" s="5">
        <v>250.07000000000011</v>
      </c>
    </row>
    <row r="14" spans="1:59" x14ac:dyDescent="0.2">
      <c r="A14" s="41" t="s">
        <v>918</v>
      </c>
      <c r="B14" t="s">
        <v>928</v>
      </c>
    </row>
    <row r="16" spans="1:59" ht="19" x14ac:dyDescent="0.25">
      <c r="A16" s="42" t="s">
        <v>920</v>
      </c>
    </row>
    <row r="18" spans="10:12" ht="16" x14ac:dyDescent="0.2">
      <c r="J18" s="68" t="s">
        <v>921</v>
      </c>
      <c r="K18" s="64"/>
      <c r="L18" s="64"/>
    </row>
    <row r="19" spans="10:12" x14ac:dyDescent="0.2">
      <c r="J19" s="40" t="s">
        <v>618</v>
      </c>
      <c r="K19" s="40" t="s">
        <v>0</v>
      </c>
      <c r="L19" s="40" t="s">
        <v>908</v>
      </c>
    </row>
    <row r="20" spans="10:12" x14ac:dyDescent="0.2">
      <c r="J20" s="43">
        <v>1</v>
      </c>
      <c r="K20" t="s">
        <v>53</v>
      </c>
      <c r="L20" s="5">
        <v>17.87</v>
      </c>
    </row>
    <row r="21" spans="10:12" x14ac:dyDescent="0.2">
      <c r="J21" s="44">
        <v>2</v>
      </c>
      <c r="K21" t="s">
        <v>34</v>
      </c>
      <c r="L21" s="5">
        <v>12.99</v>
      </c>
    </row>
    <row r="22" spans="10:12" x14ac:dyDescent="0.2">
      <c r="J22" s="45">
        <v>3</v>
      </c>
      <c r="K22" t="s">
        <v>59</v>
      </c>
      <c r="L22" s="5">
        <v>9.25</v>
      </c>
    </row>
    <row r="23" spans="10:12" x14ac:dyDescent="0.2">
      <c r="J23" s="46">
        <v>4</v>
      </c>
      <c r="K23" t="s">
        <v>51</v>
      </c>
      <c r="L23" s="5">
        <v>3.99</v>
      </c>
    </row>
    <row r="24" spans="10:12" x14ac:dyDescent="0.2">
      <c r="J24" s="47">
        <v>5</v>
      </c>
      <c r="K24" t="s">
        <v>70</v>
      </c>
      <c r="L24" s="5">
        <v>19.48</v>
      </c>
    </row>
    <row r="25" spans="10:12" x14ac:dyDescent="0.2">
      <c r="J25" s="48">
        <v>6</v>
      </c>
      <c r="K25" t="s">
        <v>112</v>
      </c>
      <c r="L25" s="5">
        <v>13.91</v>
      </c>
    </row>
    <row r="26" spans="10:12" x14ac:dyDescent="0.2">
      <c r="J26" s="49">
        <v>7</v>
      </c>
      <c r="K26" t="s">
        <v>93</v>
      </c>
      <c r="L26" s="5">
        <v>-144.13999999999999</v>
      </c>
    </row>
    <row r="27" spans="10:12" x14ac:dyDescent="0.2">
      <c r="J27" s="50">
        <v>8</v>
      </c>
      <c r="K27" t="s">
        <v>83</v>
      </c>
      <c r="L27" s="5">
        <v>73.19</v>
      </c>
    </row>
    <row r="28" spans="10:12" x14ac:dyDescent="0.2">
      <c r="J28" s="51">
        <v>9</v>
      </c>
      <c r="K28" t="s">
        <v>47</v>
      </c>
      <c r="L28" s="5">
        <v>0</v>
      </c>
    </row>
    <row r="29" spans="10:12" x14ac:dyDescent="0.2">
      <c r="J29" s="52">
        <v>10</v>
      </c>
      <c r="K29" t="s">
        <v>126</v>
      </c>
      <c r="L29" s="5">
        <v>4.88</v>
      </c>
    </row>
    <row r="30" spans="10:12" x14ac:dyDescent="0.2">
      <c r="J30" s="53">
        <v>11</v>
      </c>
      <c r="K30" t="s">
        <v>129</v>
      </c>
      <c r="L30" s="5">
        <v>27.26</v>
      </c>
    </row>
    <row r="31" spans="10:12" x14ac:dyDescent="0.2">
      <c r="J31" s="54">
        <v>12</v>
      </c>
      <c r="K31" t="s">
        <v>164</v>
      </c>
      <c r="L31" s="5">
        <v>0</v>
      </c>
    </row>
    <row r="32" spans="10:12" x14ac:dyDescent="0.2">
      <c r="J32" s="55">
        <v>13</v>
      </c>
      <c r="K32" t="s">
        <v>201</v>
      </c>
      <c r="L32" s="5">
        <v>0</v>
      </c>
    </row>
    <row r="33" spans="1:12" x14ac:dyDescent="0.2">
      <c r="J33" s="56">
        <v>14</v>
      </c>
      <c r="K33" t="s">
        <v>198</v>
      </c>
      <c r="L33" s="5">
        <v>1.27</v>
      </c>
    </row>
    <row r="34" spans="1:12" x14ac:dyDescent="0.2">
      <c r="J34" s="57">
        <v>15</v>
      </c>
      <c r="K34" t="s">
        <v>219</v>
      </c>
      <c r="L34" s="5">
        <v>0</v>
      </c>
    </row>
    <row r="35" spans="1:12" x14ac:dyDescent="0.2">
      <c r="J35" s="58">
        <v>16</v>
      </c>
      <c r="K35" t="s">
        <v>107</v>
      </c>
      <c r="L35" s="5">
        <v>5.74</v>
      </c>
    </row>
    <row r="36" spans="1:12" x14ac:dyDescent="0.2">
      <c r="J36" s="59">
        <v>17</v>
      </c>
      <c r="K36" t="s">
        <v>317</v>
      </c>
      <c r="L36" s="5">
        <v>0</v>
      </c>
    </row>
    <row r="37" spans="1:12" x14ac:dyDescent="0.2">
      <c r="J37" s="60">
        <v>18</v>
      </c>
      <c r="K37" t="s">
        <v>31</v>
      </c>
      <c r="L37" s="5">
        <v>57.37</v>
      </c>
    </row>
    <row r="38" spans="1:12" x14ac:dyDescent="0.2">
      <c r="J38" s="61">
        <v>19</v>
      </c>
      <c r="K38" t="s">
        <v>79</v>
      </c>
      <c r="L38" s="5">
        <v>25.94</v>
      </c>
    </row>
    <row r="39" spans="1:12" x14ac:dyDescent="0.2">
      <c r="J39" s="62">
        <v>20</v>
      </c>
      <c r="K39" t="s">
        <v>255</v>
      </c>
      <c r="L39" s="5">
        <v>2.59</v>
      </c>
    </row>
    <row r="40" spans="1:12" x14ac:dyDescent="0.2">
      <c r="J40" s="43">
        <v>21</v>
      </c>
      <c r="K40" t="s">
        <v>122</v>
      </c>
      <c r="L40" s="5">
        <v>62.389999999999993</v>
      </c>
    </row>
    <row r="41" spans="1:12" x14ac:dyDescent="0.2">
      <c r="J41" s="44">
        <v>22</v>
      </c>
      <c r="K41" t="s">
        <v>27</v>
      </c>
      <c r="L41" s="5">
        <v>22.25</v>
      </c>
    </row>
    <row r="42" spans="1:12" x14ac:dyDescent="0.2">
      <c r="J42" s="45">
        <v>23</v>
      </c>
      <c r="K42" t="s">
        <v>56</v>
      </c>
      <c r="L42" s="5">
        <v>26.65</v>
      </c>
    </row>
    <row r="43" spans="1:12" x14ac:dyDescent="0.2">
      <c r="J43" s="46">
        <v>24</v>
      </c>
      <c r="K43" t="s">
        <v>229</v>
      </c>
      <c r="L43" s="5">
        <v>0</v>
      </c>
    </row>
    <row r="44" spans="1:12" x14ac:dyDescent="0.2">
      <c r="J44" s="47">
        <v>25</v>
      </c>
      <c r="K44" t="s">
        <v>313</v>
      </c>
      <c r="L44" s="5">
        <v>7.19</v>
      </c>
    </row>
    <row r="47" spans="1:12" x14ac:dyDescent="0.2">
      <c r="A47" s="63" t="s">
        <v>922</v>
      </c>
      <c r="B47" s="64"/>
      <c r="C47" s="64"/>
      <c r="D47" s="64"/>
      <c r="E47" s="64"/>
      <c r="F47" s="64"/>
      <c r="G47" s="64"/>
      <c r="H47" s="64"/>
    </row>
    <row r="48" spans="1:12" x14ac:dyDescent="0.2">
      <c r="A48" s="64"/>
      <c r="B48" s="64"/>
      <c r="C48" s="64"/>
      <c r="D48" s="64"/>
      <c r="E48" s="64"/>
      <c r="F48" s="64"/>
      <c r="G48" s="64"/>
      <c r="H48" s="64"/>
    </row>
    <row r="49" spans="1:8" x14ac:dyDescent="0.2">
      <c r="A49" s="64"/>
      <c r="B49" s="64"/>
      <c r="C49" s="64"/>
      <c r="D49" s="64"/>
      <c r="E49" s="64"/>
      <c r="F49" s="64"/>
      <c r="G49" s="64"/>
      <c r="H49" s="64"/>
    </row>
  </sheetData>
  <mergeCells count="3">
    <mergeCell ref="J18:L18"/>
    <mergeCell ref="A47:H49"/>
    <mergeCell ref="A1:H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G49"/>
  <sheetViews>
    <sheetView showGridLines="0" workbookViewId="0"/>
  </sheetViews>
  <sheetFormatPr baseColWidth="10" defaultColWidth="8.83203125" defaultRowHeight="15" x14ac:dyDescent="0.2"/>
  <cols>
    <col min="1" max="1" width="38" customWidth="1"/>
    <col min="2" max="2" width="48" customWidth="1"/>
    <col min="10" max="10" width="6" customWidth="1"/>
    <col min="11" max="11" width="28" customWidth="1"/>
    <col min="12" max="12" width="14" customWidth="1"/>
    <col min="28" max="59" width="16" customWidth="1"/>
  </cols>
  <sheetData>
    <row r="1" spans="1:59" ht="24" x14ac:dyDescent="0.3">
      <c r="A1" s="69" t="s">
        <v>929</v>
      </c>
      <c r="B1" s="64"/>
      <c r="C1" s="64"/>
      <c r="D1" s="64"/>
      <c r="E1" s="64"/>
      <c r="F1" s="64"/>
      <c r="G1" s="64"/>
      <c r="H1" s="64"/>
      <c r="AB1" s="40" t="s">
        <v>888</v>
      </c>
      <c r="AC1" s="40" t="s">
        <v>889</v>
      </c>
      <c r="AD1" s="40" t="s">
        <v>890</v>
      </c>
      <c r="AE1" s="40" t="s">
        <v>891</v>
      </c>
      <c r="AG1" s="40" t="s">
        <v>892</v>
      </c>
      <c r="AH1" s="40" t="s">
        <v>893</v>
      </c>
      <c r="AI1" s="40" t="s">
        <v>722</v>
      </c>
      <c r="AJ1" s="40" t="s">
        <v>720</v>
      </c>
      <c r="AK1" s="40" t="s">
        <v>719</v>
      </c>
      <c r="AL1" s="40" t="s">
        <v>735</v>
      </c>
      <c r="AM1" s="40" t="s">
        <v>736</v>
      </c>
      <c r="AN1" s="40" t="s">
        <v>717</v>
      </c>
      <c r="AO1" s="40" t="s">
        <v>716</v>
      </c>
      <c r="AP1" s="40" t="s">
        <v>737</v>
      </c>
      <c r="AQ1" s="40" t="s">
        <v>715</v>
      </c>
      <c r="AR1" s="40" t="s">
        <v>894</v>
      </c>
      <c r="AS1" s="40" t="s">
        <v>895</v>
      </c>
      <c r="AT1" s="40" t="s">
        <v>896</v>
      </c>
      <c r="AU1" s="40" t="s">
        <v>835</v>
      </c>
      <c r="AV1" s="40" t="s">
        <v>897</v>
      </c>
      <c r="AW1" s="40" t="s">
        <v>898</v>
      </c>
      <c r="AX1" s="40" t="s">
        <v>714</v>
      </c>
      <c r="AY1" s="40" t="s">
        <v>833</v>
      </c>
      <c r="AZ1" s="40" t="s">
        <v>899</v>
      </c>
      <c r="BA1" s="40" t="s">
        <v>900</v>
      </c>
      <c r="BB1" s="40" t="s">
        <v>901</v>
      </c>
      <c r="BC1" s="40" t="s">
        <v>902</v>
      </c>
      <c r="BD1" s="40" t="s">
        <v>903</v>
      </c>
      <c r="BE1" s="40" t="s">
        <v>904</v>
      </c>
      <c r="BF1" s="40" t="s">
        <v>905</v>
      </c>
      <c r="BG1" s="40" t="s">
        <v>906</v>
      </c>
    </row>
    <row r="2" spans="1:59" x14ac:dyDescent="0.2">
      <c r="AB2" s="2">
        <v>46285</v>
      </c>
      <c r="AC2" s="5">
        <v>326</v>
      </c>
      <c r="AD2" s="5">
        <v>279.20999999999998</v>
      </c>
      <c r="AE2" s="5">
        <v>46.79</v>
      </c>
      <c r="AG2" t="s">
        <v>893</v>
      </c>
      <c r="AH2" s="5">
        <v>326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</row>
    <row r="3" spans="1:59" x14ac:dyDescent="0.2">
      <c r="A3" s="41" t="s">
        <v>907</v>
      </c>
      <c r="B3" t="s">
        <v>929</v>
      </c>
      <c r="AB3" s="2">
        <v>46286</v>
      </c>
      <c r="AC3" s="5">
        <v>271.66666666666669</v>
      </c>
      <c r="AD3" s="5">
        <v>279.20999999999998</v>
      </c>
      <c r="AE3" s="5">
        <v>46.79</v>
      </c>
      <c r="AG3" t="s">
        <v>908</v>
      </c>
      <c r="AH3" s="5">
        <v>0</v>
      </c>
      <c r="AI3" s="5">
        <v>0</v>
      </c>
      <c r="AJ3" s="5">
        <v>46.79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</row>
    <row r="4" spans="1:59" x14ac:dyDescent="0.2">
      <c r="A4" s="41" t="s">
        <v>909</v>
      </c>
      <c r="B4" s="2">
        <v>46285</v>
      </c>
      <c r="AB4" s="2">
        <v>46287</v>
      </c>
      <c r="AC4" s="5">
        <v>217.3333333333334</v>
      </c>
      <c r="AD4" s="5">
        <v>279.20999999999998</v>
      </c>
      <c r="AE4" s="5">
        <v>46.79</v>
      </c>
    </row>
    <row r="5" spans="1:59" x14ac:dyDescent="0.2">
      <c r="A5" s="41" t="s">
        <v>910</v>
      </c>
      <c r="B5" s="2">
        <v>46291</v>
      </c>
      <c r="AB5" s="2">
        <v>46288</v>
      </c>
      <c r="AC5" s="5">
        <v>163</v>
      </c>
      <c r="AD5" s="5">
        <v>279.20999999999998</v>
      </c>
      <c r="AE5" s="5">
        <v>46.79</v>
      </c>
    </row>
    <row r="6" spans="1:59" x14ac:dyDescent="0.2">
      <c r="A6" s="41" t="s">
        <v>911</v>
      </c>
      <c r="B6" t="s">
        <v>912</v>
      </c>
      <c r="AB6" s="2">
        <v>46289</v>
      </c>
      <c r="AC6" s="5">
        <v>108.6666666666667</v>
      </c>
      <c r="AD6" s="5">
        <v>279.20999999999998</v>
      </c>
      <c r="AE6" s="5">
        <v>46.79</v>
      </c>
    </row>
    <row r="7" spans="1:59" x14ac:dyDescent="0.2">
      <c r="A7" s="41" t="s">
        <v>614</v>
      </c>
      <c r="B7" t="s">
        <v>912</v>
      </c>
      <c r="AB7" s="2">
        <v>46290</v>
      </c>
      <c r="AC7" s="5">
        <v>54.333333333333321</v>
      </c>
      <c r="AD7" s="5">
        <v>279.20999999999998</v>
      </c>
      <c r="AE7" s="5">
        <v>46.79</v>
      </c>
    </row>
    <row r="8" spans="1:59" x14ac:dyDescent="0.2">
      <c r="A8" s="41" t="s">
        <v>893</v>
      </c>
      <c r="B8" s="5">
        <v>326</v>
      </c>
      <c r="AB8" s="2">
        <v>46291</v>
      </c>
      <c r="AC8" s="5">
        <v>0</v>
      </c>
      <c r="AD8" s="5">
        <v>279.20999999999998</v>
      </c>
      <c r="AE8" s="5">
        <v>46.79</v>
      </c>
    </row>
    <row r="9" spans="1:59" x14ac:dyDescent="0.2">
      <c r="A9" s="41" t="s">
        <v>913</v>
      </c>
      <c r="B9" s="5">
        <v>46.79</v>
      </c>
    </row>
    <row r="10" spans="1:59" x14ac:dyDescent="0.2">
      <c r="A10" s="41" t="s">
        <v>914</v>
      </c>
      <c r="B10">
        <v>279.20999999999998</v>
      </c>
    </row>
    <row r="11" spans="1:59" x14ac:dyDescent="0.2">
      <c r="A11" s="41" t="s">
        <v>915</v>
      </c>
      <c r="B11" s="2">
        <v>46285</v>
      </c>
    </row>
    <row r="12" spans="1:59" x14ac:dyDescent="0.2">
      <c r="A12" s="41" t="s">
        <v>916</v>
      </c>
      <c r="B12" s="5">
        <v>0</v>
      </c>
    </row>
    <row r="13" spans="1:59" x14ac:dyDescent="0.2">
      <c r="A13" s="41" t="s">
        <v>917</v>
      </c>
      <c r="B13" s="5">
        <v>46.79</v>
      </c>
    </row>
    <row r="14" spans="1:59" x14ac:dyDescent="0.2">
      <c r="A14" s="41" t="s">
        <v>918</v>
      </c>
      <c r="B14" t="s">
        <v>930</v>
      </c>
    </row>
    <row r="16" spans="1:59" ht="19" x14ac:dyDescent="0.25">
      <c r="A16" s="42" t="s">
        <v>920</v>
      </c>
    </row>
    <row r="18" spans="10:12" ht="16" x14ac:dyDescent="0.2">
      <c r="J18" s="68" t="s">
        <v>921</v>
      </c>
      <c r="K18" s="64"/>
      <c r="L18" s="64"/>
    </row>
    <row r="19" spans="10:12" x14ac:dyDescent="0.2">
      <c r="J19" s="40" t="s">
        <v>618</v>
      </c>
      <c r="K19" s="40" t="s">
        <v>0</v>
      </c>
      <c r="L19" s="40" t="s">
        <v>908</v>
      </c>
    </row>
    <row r="20" spans="10:12" x14ac:dyDescent="0.2">
      <c r="J20" s="43">
        <v>1</v>
      </c>
      <c r="K20" t="s">
        <v>53</v>
      </c>
      <c r="L20" s="5">
        <v>0</v>
      </c>
    </row>
    <row r="21" spans="10:12" x14ac:dyDescent="0.2">
      <c r="J21" s="44">
        <v>2</v>
      </c>
      <c r="K21" t="s">
        <v>34</v>
      </c>
      <c r="L21" s="5">
        <v>46.79</v>
      </c>
    </row>
    <row r="22" spans="10:12" x14ac:dyDescent="0.2">
      <c r="J22" s="45">
        <v>3</v>
      </c>
      <c r="K22" t="s">
        <v>59</v>
      </c>
      <c r="L22" s="5">
        <v>0</v>
      </c>
    </row>
    <row r="23" spans="10:12" x14ac:dyDescent="0.2">
      <c r="J23" s="46">
        <v>4</v>
      </c>
      <c r="K23" t="s">
        <v>51</v>
      </c>
      <c r="L23" s="5">
        <v>0</v>
      </c>
    </row>
    <row r="24" spans="10:12" x14ac:dyDescent="0.2">
      <c r="J24" s="47">
        <v>5</v>
      </c>
      <c r="K24" t="s">
        <v>70</v>
      </c>
      <c r="L24" s="5">
        <v>0</v>
      </c>
    </row>
    <row r="25" spans="10:12" x14ac:dyDescent="0.2">
      <c r="J25" s="48">
        <v>6</v>
      </c>
      <c r="K25" t="s">
        <v>112</v>
      </c>
      <c r="L25" s="5">
        <v>0</v>
      </c>
    </row>
    <row r="26" spans="10:12" x14ac:dyDescent="0.2">
      <c r="J26" s="49">
        <v>7</v>
      </c>
      <c r="K26" t="s">
        <v>93</v>
      </c>
      <c r="L26" s="5">
        <v>0</v>
      </c>
    </row>
    <row r="27" spans="10:12" x14ac:dyDescent="0.2">
      <c r="J27" s="50">
        <v>8</v>
      </c>
      <c r="K27" t="s">
        <v>83</v>
      </c>
      <c r="L27" s="5">
        <v>0</v>
      </c>
    </row>
    <row r="28" spans="10:12" x14ac:dyDescent="0.2">
      <c r="J28" s="51">
        <v>9</v>
      </c>
      <c r="K28" t="s">
        <v>47</v>
      </c>
      <c r="L28" s="5">
        <v>0</v>
      </c>
    </row>
    <row r="29" spans="10:12" x14ac:dyDescent="0.2">
      <c r="J29" s="52">
        <v>10</v>
      </c>
      <c r="K29" t="s">
        <v>126</v>
      </c>
      <c r="L29" s="5">
        <v>0</v>
      </c>
    </row>
    <row r="30" spans="10:12" x14ac:dyDescent="0.2">
      <c r="J30" s="53">
        <v>11</v>
      </c>
      <c r="K30" t="s">
        <v>129</v>
      </c>
      <c r="L30" s="5">
        <v>0</v>
      </c>
    </row>
    <row r="31" spans="10:12" x14ac:dyDescent="0.2">
      <c r="J31" s="54">
        <v>12</v>
      </c>
      <c r="K31" t="s">
        <v>164</v>
      </c>
      <c r="L31" s="5">
        <v>0</v>
      </c>
    </row>
    <row r="32" spans="10:12" x14ac:dyDescent="0.2">
      <c r="J32" s="55">
        <v>13</v>
      </c>
      <c r="K32" t="s">
        <v>201</v>
      </c>
      <c r="L32" s="5">
        <v>0</v>
      </c>
    </row>
    <row r="33" spans="1:12" x14ac:dyDescent="0.2">
      <c r="J33" s="56">
        <v>14</v>
      </c>
      <c r="K33" t="s">
        <v>198</v>
      </c>
      <c r="L33" s="5">
        <v>0</v>
      </c>
    </row>
    <row r="34" spans="1:12" x14ac:dyDescent="0.2">
      <c r="J34" s="57">
        <v>15</v>
      </c>
      <c r="K34" t="s">
        <v>219</v>
      </c>
      <c r="L34" s="5">
        <v>0</v>
      </c>
    </row>
    <row r="35" spans="1:12" x14ac:dyDescent="0.2">
      <c r="J35" s="58">
        <v>16</v>
      </c>
      <c r="K35" t="s">
        <v>107</v>
      </c>
      <c r="L35" s="5">
        <v>0</v>
      </c>
    </row>
    <row r="36" spans="1:12" x14ac:dyDescent="0.2">
      <c r="J36" s="59">
        <v>17</v>
      </c>
      <c r="K36" t="s">
        <v>317</v>
      </c>
      <c r="L36" s="5">
        <v>0</v>
      </c>
    </row>
    <row r="37" spans="1:12" x14ac:dyDescent="0.2">
      <c r="J37" s="60">
        <v>18</v>
      </c>
      <c r="K37" t="s">
        <v>31</v>
      </c>
      <c r="L37" s="5">
        <v>0</v>
      </c>
    </row>
    <row r="38" spans="1:12" x14ac:dyDescent="0.2">
      <c r="J38" s="61">
        <v>19</v>
      </c>
      <c r="K38" t="s">
        <v>79</v>
      </c>
      <c r="L38" s="5">
        <v>0</v>
      </c>
    </row>
    <row r="39" spans="1:12" x14ac:dyDescent="0.2">
      <c r="J39" s="62">
        <v>20</v>
      </c>
      <c r="K39" t="s">
        <v>255</v>
      </c>
      <c r="L39" s="5">
        <v>0</v>
      </c>
    </row>
    <row r="40" spans="1:12" x14ac:dyDescent="0.2">
      <c r="J40" s="43">
        <v>21</v>
      </c>
      <c r="K40" t="s">
        <v>122</v>
      </c>
      <c r="L40" s="5">
        <v>0</v>
      </c>
    </row>
    <row r="41" spans="1:12" x14ac:dyDescent="0.2">
      <c r="J41" s="44">
        <v>22</v>
      </c>
      <c r="K41" t="s">
        <v>27</v>
      </c>
      <c r="L41" s="5">
        <v>0</v>
      </c>
    </row>
    <row r="42" spans="1:12" x14ac:dyDescent="0.2">
      <c r="J42" s="45">
        <v>23</v>
      </c>
      <c r="K42" t="s">
        <v>56</v>
      </c>
      <c r="L42" s="5">
        <v>0</v>
      </c>
    </row>
    <row r="43" spans="1:12" x14ac:dyDescent="0.2">
      <c r="J43" s="46">
        <v>24</v>
      </c>
      <c r="K43" t="s">
        <v>229</v>
      </c>
      <c r="L43" s="5">
        <v>0</v>
      </c>
    </row>
    <row r="44" spans="1:12" x14ac:dyDescent="0.2">
      <c r="J44" s="47">
        <v>25</v>
      </c>
      <c r="K44" t="s">
        <v>313</v>
      </c>
      <c r="L44" s="5">
        <v>0</v>
      </c>
    </row>
    <row r="47" spans="1:12" x14ac:dyDescent="0.2">
      <c r="A47" s="63" t="s">
        <v>922</v>
      </c>
      <c r="B47" s="64"/>
      <c r="C47" s="64"/>
      <c r="D47" s="64"/>
      <c r="E47" s="64"/>
      <c r="F47" s="64"/>
      <c r="G47" s="64"/>
      <c r="H47" s="64"/>
    </row>
    <row r="48" spans="1:12" x14ac:dyDescent="0.2">
      <c r="A48" s="64"/>
      <c r="B48" s="64"/>
      <c r="C48" s="64"/>
      <c r="D48" s="64"/>
      <c r="E48" s="64"/>
      <c r="F48" s="64"/>
      <c r="G48" s="64"/>
      <c r="H48" s="64"/>
    </row>
    <row r="49" spans="1:8" x14ac:dyDescent="0.2">
      <c r="A49" s="64"/>
      <c r="B49" s="64"/>
      <c r="C49" s="64"/>
      <c r="D49" s="64"/>
      <c r="E49" s="64"/>
      <c r="F49" s="64"/>
      <c r="G49" s="64"/>
      <c r="H49" s="64"/>
    </row>
  </sheetData>
  <mergeCells count="3">
    <mergeCell ref="J18:L18"/>
    <mergeCell ref="A47:H49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Purchase History</vt:lpstr>
      <vt:lpstr>Category Manager</vt:lpstr>
      <vt:lpstr>Analytics</vt:lpstr>
      <vt:lpstr>_AnalyticsData</vt:lpstr>
      <vt:lpstr>Sub Analytics</vt:lpstr>
      <vt:lpstr>_SubAnalyticsData</vt:lpstr>
      <vt:lpstr>Imported Receipts</vt:lpstr>
      <vt:lpstr>Sheet1</vt:lpstr>
      <vt:lpstr>BP 9_26 26</vt:lpstr>
      <vt:lpstr>BP 9_26w1 26</vt:lpstr>
      <vt:lpstr>BP 9_26w2 26</vt:lpstr>
      <vt:lpstr>BP 9_26w3 26</vt:lpstr>
      <vt:lpstr>BP 9_26w4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garzoncarlosandres@gmail.com</cp:lastModifiedBy>
  <dcterms:created xsi:type="dcterms:W3CDTF">2026-08-26T22:04:37Z</dcterms:created>
  <dcterms:modified xsi:type="dcterms:W3CDTF">2026-09-21T11:08:49Z</dcterms:modified>
</cp:coreProperties>
</file>